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B354CE1-E454-4933-9137-C2DEBFD42CBB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README" sheetId="1" r:id="rId1"/>
    <sheet name="Dashboard" sheetId="8" r:id="rId2"/>
    <sheet name="Pivot Table" sheetId="7" r:id="rId3"/>
    <sheet name="Cleaned Data" sheetId="6" r:id="rId4"/>
    <sheet name="Sales Orders Raw" sheetId="2" r:id="rId5"/>
    <sheet name="Data Dictionary" sheetId="3" r:id="rId6"/>
    <sheet name="Business Questions" sheetId="4" r:id="rId7"/>
    <sheet name="Cleaning Log Template" sheetId="5" r:id="rId8"/>
  </sheets>
  <definedNames>
    <definedName name="ExternalData_1" localSheetId="3" hidden="1">'Cleaned Data'!$A$5:$Q$730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6" l="1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W27" i="6" s="1" a="1"/>
  <c r="W27" i="6" s="1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W103" i="6" s="1" a="1"/>
  <c r="W103" i="6" s="1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W131" i="6" s="1" a="1"/>
  <c r="W131" i="6" s="1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W307" i="6" s="1" a="1"/>
  <c r="W307" i="6" s="1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W335" i="6" s="1" a="1"/>
  <c r="W335" i="6" s="1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W371" i="6" s="1" a="1"/>
  <c r="W371" i="6" s="1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W399" i="6" s="1" a="1"/>
  <c r="W399" i="6" s="1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W659" i="6" s="1" a="1"/>
  <c r="W659" i="6" s="1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W342" i="6" s="1" a="1"/>
  <c r="W342" i="6" s="1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W406" i="6" s="1" a="1"/>
  <c r="W406" i="6" s="1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W446" i="6" s="1" a="1"/>
  <c r="W446" i="6" s="1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W462" i="6" s="1" a="1"/>
  <c r="W462" i="6" s="1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W478" i="6" s="1" a="1"/>
  <c r="W478" i="6" s="1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W494" i="6" s="1" a="1"/>
  <c r="W494" i="6" s="1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W510" i="6" s="1" a="1"/>
  <c r="W510" i="6" s="1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W526" i="6" s="1" a="1"/>
  <c r="W526" i="6" s="1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W625" i="6" s="1" a="1"/>
  <c r="W625" i="6" s="1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D20" i="7"/>
  <c r="D21" i="7"/>
  <c r="D22" i="7"/>
  <c r="D23" i="7"/>
  <c r="D24" i="7"/>
  <c r="D19" i="7"/>
  <c r="W730" i="6" l="1" a="1"/>
  <c r="W730" i="6" s="1"/>
  <c r="W714" i="6" a="1"/>
  <c r="W714" i="6" s="1"/>
  <c r="W674" i="6" a="1"/>
  <c r="W674" i="6" s="1"/>
  <c r="W658" i="6" a="1"/>
  <c r="W658" i="6" s="1"/>
  <c r="W650" i="6" a="1"/>
  <c r="W650" i="6" s="1"/>
  <c r="W646" i="6" a="1"/>
  <c r="W646" i="6" s="1"/>
  <c r="W642" i="6" a="1"/>
  <c r="W642" i="6" s="1"/>
  <c r="W638" i="6" a="1"/>
  <c r="W638" i="6" s="1"/>
  <c r="W622" i="6" a="1"/>
  <c r="W622" i="6" s="1"/>
  <c r="W606" i="6" a="1"/>
  <c r="W606" i="6" s="1"/>
  <c r="W590" i="6" a="1"/>
  <c r="W590" i="6" s="1"/>
  <c r="W574" i="6" a="1"/>
  <c r="W574" i="6" s="1"/>
  <c r="W558" i="6" a="1"/>
  <c r="W558" i="6" s="1"/>
  <c r="W542" i="6" a="1"/>
  <c r="W542" i="6" s="1"/>
  <c r="W412" i="6" a="1"/>
  <c r="W412" i="6" s="1"/>
  <c r="W692" i="6" a="1"/>
  <c r="W692" i="6" s="1"/>
  <c r="W684" i="6" a="1"/>
  <c r="W684" i="6" s="1"/>
  <c r="W676" i="6" a="1"/>
  <c r="W676" i="6" s="1"/>
  <c r="W672" i="6" a="1"/>
  <c r="W672" i="6" s="1"/>
  <c r="W664" i="6" a="1"/>
  <c r="W664" i="6" s="1"/>
  <c r="W604" i="6" a="1"/>
  <c r="W604" i="6" s="1"/>
  <c r="W572" i="6" a="1"/>
  <c r="W572" i="6" s="1"/>
  <c r="W540" i="6" a="1"/>
  <c r="W540" i="6" s="1"/>
  <c r="W476" i="6" a="1"/>
  <c r="W476" i="6" s="1"/>
  <c r="W444" i="6" a="1"/>
  <c r="W444" i="6" s="1"/>
  <c r="W392" i="6" a="1"/>
  <c r="W392" i="6" s="1"/>
  <c r="W185" i="6" a="1"/>
  <c r="W185" i="6" s="1"/>
  <c r="W698" i="6" a="1"/>
  <c r="W698" i="6" s="1"/>
  <c r="W716" i="6" a="1"/>
  <c r="W716" i="6" s="1"/>
  <c r="W481" i="6" a="1"/>
  <c r="W481" i="6" s="1"/>
  <c r="W88" i="6" a="1"/>
  <c r="W88" i="6" s="1"/>
  <c r="W577" i="6" a="1"/>
  <c r="W577" i="6" s="1"/>
  <c r="W529" i="6" a="1"/>
  <c r="W529" i="6" s="1"/>
  <c r="W449" i="6" a="1"/>
  <c r="W449" i="6" s="1"/>
  <c r="W704" i="6" a="1"/>
  <c r="W704" i="6" s="1"/>
  <c r="W688" i="6" a="1"/>
  <c r="W688" i="6" s="1"/>
  <c r="W513" i="6" a="1"/>
  <c r="W513" i="6" s="1"/>
  <c r="W433" i="6" a="1"/>
  <c r="W433" i="6" s="1"/>
  <c r="W281" i="6" a="1"/>
  <c r="W281" i="6" s="1"/>
  <c r="W706" i="6" a="1"/>
  <c r="W706" i="6" s="1"/>
  <c r="W238" i="6" a="1"/>
  <c r="W238" i="6" s="1"/>
  <c r="W728" i="6" a="1"/>
  <c r="W728" i="6" s="1"/>
  <c r="W720" i="6" a="1"/>
  <c r="W720" i="6" s="1"/>
  <c r="W609" i="6" a="1"/>
  <c r="W609" i="6" s="1"/>
  <c r="W249" i="6" a="1"/>
  <c r="W249" i="6" s="1"/>
  <c r="W117" i="6" a="1"/>
  <c r="W117" i="6" s="1"/>
  <c r="W49" i="6" a="1"/>
  <c r="W49" i="6" s="1"/>
  <c r="W718" i="6" a="1"/>
  <c r="W718" i="6" s="1"/>
  <c r="W710" i="6" a="1"/>
  <c r="W710" i="6" s="1"/>
  <c r="W690" i="6" a="1"/>
  <c r="W690" i="6" s="1"/>
  <c r="W682" i="6" a="1"/>
  <c r="W682" i="6" s="1"/>
  <c r="W670" i="6" a="1"/>
  <c r="W670" i="6" s="1"/>
  <c r="W724" i="6" a="1"/>
  <c r="W724" i="6" s="1"/>
  <c r="W708" i="6" a="1"/>
  <c r="W708" i="6" s="1"/>
  <c r="W700" i="6" a="1"/>
  <c r="W700" i="6" s="1"/>
  <c r="W680" i="6" a="1"/>
  <c r="W680" i="6" s="1"/>
  <c r="W668" i="6" a="1"/>
  <c r="W668" i="6" s="1"/>
  <c r="W561" i="6" a="1"/>
  <c r="W561" i="6" s="1"/>
  <c r="W385" i="6" a="1"/>
  <c r="W385" i="6" s="1"/>
  <c r="W722" i="6" a="1"/>
  <c r="W722" i="6" s="1"/>
  <c r="W694" i="6" a="1"/>
  <c r="W694" i="6" s="1"/>
  <c r="W678" i="6" a="1"/>
  <c r="W678" i="6" s="1"/>
  <c r="W666" i="6" a="1"/>
  <c r="W666" i="6" s="1"/>
  <c r="W270" i="6" a="1"/>
  <c r="W270" i="6" s="1"/>
  <c r="W712" i="6" a="1"/>
  <c r="W712" i="6" s="1"/>
  <c r="W497" i="6" a="1"/>
  <c r="W497" i="6" s="1"/>
  <c r="W321" i="6" a="1"/>
  <c r="W321" i="6" s="1"/>
  <c r="W217" i="6" a="1"/>
  <c r="W217" i="6" s="1"/>
  <c r="W726" i="6" a="1"/>
  <c r="W726" i="6" s="1"/>
  <c r="W702" i="6" a="1"/>
  <c r="W702" i="6" s="1"/>
  <c r="W686" i="6" a="1"/>
  <c r="W686" i="6" s="1"/>
  <c r="W662" i="6" a="1"/>
  <c r="W662" i="6" s="1"/>
  <c r="W206" i="6" a="1"/>
  <c r="W206" i="6" s="1"/>
  <c r="W696" i="6" a="1"/>
  <c r="W696" i="6" s="1"/>
  <c r="W630" i="6" a="1"/>
  <c r="W630" i="6" s="1"/>
  <c r="W614" i="6" a="1"/>
  <c r="W614" i="6" s="1"/>
  <c r="W598" i="6" a="1"/>
  <c r="W598" i="6" s="1"/>
  <c r="W582" i="6" a="1"/>
  <c r="W582" i="6" s="1"/>
  <c r="W566" i="6" a="1"/>
  <c r="W566" i="6" s="1"/>
  <c r="W550" i="6" a="1"/>
  <c r="W550" i="6" s="1"/>
  <c r="W534" i="6" a="1"/>
  <c r="W534" i="6" s="1"/>
  <c r="W518" i="6" a="1"/>
  <c r="W518" i="6" s="1"/>
  <c r="W502" i="6" a="1"/>
  <c r="W502" i="6" s="1"/>
  <c r="W620" i="6" a="1"/>
  <c r="W620" i="6" s="1"/>
  <c r="W636" i="6" a="1"/>
  <c r="W636" i="6" s="1"/>
  <c r="W486" i="6" a="1"/>
  <c r="W486" i="6" s="1"/>
  <c r="W470" i="6" a="1"/>
  <c r="W470" i="6" s="1"/>
  <c r="W454" i="6" a="1"/>
  <c r="W454" i="6" s="1"/>
  <c r="W438" i="6" a="1"/>
  <c r="W438" i="6" s="1"/>
  <c r="W434" i="6" a="1"/>
  <c r="W434" i="6" s="1"/>
  <c r="W430" i="6" a="1"/>
  <c r="W430" i="6" s="1"/>
  <c r="W426" i="6" a="1"/>
  <c r="W426" i="6" s="1"/>
  <c r="W422" i="6" a="1"/>
  <c r="W422" i="6" s="1"/>
  <c r="W418" i="6" a="1"/>
  <c r="W418" i="6" s="1"/>
  <c r="W414" i="6" a="1"/>
  <c r="W414" i="6" s="1"/>
  <c r="W410" i="6" a="1"/>
  <c r="W410" i="6" s="1"/>
  <c r="W402" i="6" a="1"/>
  <c r="W402" i="6" s="1"/>
  <c r="W398" i="6" a="1"/>
  <c r="W398" i="6" s="1"/>
  <c r="W394" i="6" a="1"/>
  <c r="W394" i="6" s="1"/>
  <c r="W390" i="6" a="1"/>
  <c r="W390" i="6" s="1"/>
  <c r="W386" i="6" a="1"/>
  <c r="W386" i="6" s="1"/>
  <c r="W382" i="6" a="1"/>
  <c r="W382" i="6" s="1"/>
  <c r="W378" i="6" a="1"/>
  <c r="W378" i="6" s="1"/>
  <c r="W374" i="6" a="1"/>
  <c r="W374" i="6" s="1"/>
  <c r="W370" i="6" a="1"/>
  <c r="W370" i="6" s="1"/>
  <c r="W366" i="6" a="1"/>
  <c r="W366" i="6" s="1"/>
  <c r="W362" i="6" a="1"/>
  <c r="W362" i="6" s="1"/>
  <c r="W358" i="6" a="1"/>
  <c r="W358" i="6" s="1"/>
  <c r="W354" i="6" a="1"/>
  <c r="W354" i="6" s="1"/>
  <c r="W350" i="6" a="1"/>
  <c r="W350" i="6" s="1"/>
  <c r="W346" i="6" a="1"/>
  <c r="W346" i="6" s="1"/>
  <c r="W338" i="6" a="1"/>
  <c r="W338" i="6" s="1"/>
  <c r="W334" i="6" a="1"/>
  <c r="W334" i="6" s="1"/>
  <c r="W330" i="6" a="1"/>
  <c r="W330" i="6" s="1"/>
  <c r="W326" i="6" a="1"/>
  <c r="W326" i="6" s="1"/>
  <c r="W322" i="6" a="1"/>
  <c r="W322" i="6" s="1"/>
  <c r="W318" i="6" a="1"/>
  <c r="W318" i="6" s="1"/>
  <c r="W314" i="6" a="1"/>
  <c r="W314" i="6" s="1"/>
  <c r="W310" i="6" a="1"/>
  <c r="W310" i="6" s="1"/>
  <c r="W306" i="6" a="1"/>
  <c r="W306" i="6" s="1"/>
  <c r="W302" i="6" a="1"/>
  <c r="W302" i="6" s="1"/>
  <c r="W298" i="6" a="1"/>
  <c r="W298" i="6" s="1"/>
  <c r="W294" i="6" a="1"/>
  <c r="W294" i="6" s="1"/>
  <c r="W290" i="6" a="1"/>
  <c r="W290" i="6" s="1"/>
  <c r="W286" i="6" a="1"/>
  <c r="W286" i="6" s="1"/>
  <c r="W282" i="6" a="1"/>
  <c r="W282" i="6" s="1"/>
  <c r="W278" i="6" a="1"/>
  <c r="W278" i="6" s="1"/>
  <c r="W274" i="6" a="1"/>
  <c r="W274" i="6" s="1"/>
  <c r="W266" i="6" a="1"/>
  <c r="W266" i="6" s="1"/>
  <c r="W262" i="6" a="1"/>
  <c r="W262" i="6" s="1"/>
  <c r="W258" i="6" a="1"/>
  <c r="W258" i="6" s="1"/>
  <c r="W254" i="6" a="1"/>
  <c r="W254" i="6" s="1"/>
  <c r="W250" i="6" a="1"/>
  <c r="W250" i="6" s="1"/>
  <c r="W246" i="6" a="1"/>
  <c r="W246" i="6" s="1"/>
  <c r="W242" i="6" a="1"/>
  <c r="W242" i="6" s="1"/>
  <c r="W234" i="6" a="1"/>
  <c r="W234" i="6" s="1"/>
  <c r="W230" i="6" a="1"/>
  <c r="W230" i="6" s="1"/>
  <c r="W226" i="6" a="1"/>
  <c r="W226" i="6" s="1"/>
  <c r="W222" i="6" a="1"/>
  <c r="W222" i="6" s="1"/>
  <c r="W218" i="6" a="1"/>
  <c r="W218" i="6" s="1"/>
  <c r="W214" i="6" a="1"/>
  <c r="W214" i="6" s="1"/>
  <c r="W210" i="6" a="1"/>
  <c r="W210" i="6" s="1"/>
  <c r="W202" i="6" a="1"/>
  <c r="W202" i="6" s="1"/>
  <c r="W198" i="6" a="1"/>
  <c r="W198" i="6" s="1"/>
  <c r="W194" i="6" a="1"/>
  <c r="W194" i="6" s="1"/>
  <c r="W190" i="6" a="1"/>
  <c r="W190" i="6" s="1"/>
  <c r="W186" i="6" a="1"/>
  <c r="W186" i="6" s="1"/>
  <c r="W182" i="6" a="1"/>
  <c r="W182" i="6" s="1"/>
  <c r="W178" i="6" a="1"/>
  <c r="W178" i="6" s="1"/>
  <c r="W174" i="6" a="1"/>
  <c r="W174" i="6" s="1"/>
  <c r="W170" i="6" a="1"/>
  <c r="W170" i="6" s="1"/>
  <c r="W166" i="6" a="1"/>
  <c r="W166" i="6" s="1"/>
  <c r="W162" i="6" a="1"/>
  <c r="W162" i="6" s="1"/>
  <c r="W158" i="6" a="1"/>
  <c r="W158" i="6" s="1"/>
  <c r="W154" i="6" a="1"/>
  <c r="W154" i="6" s="1"/>
  <c r="W150" i="6" a="1"/>
  <c r="W150" i="6" s="1"/>
  <c r="W146" i="6" a="1"/>
  <c r="W146" i="6" s="1"/>
  <c r="W142" i="6" a="1"/>
  <c r="W142" i="6" s="1"/>
  <c r="W138" i="6" a="1"/>
  <c r="W138" i="6" s="1"/>
  <c r="W134" i="6" a="1"/>
  <c r="W134" i="6" s="1"/>
  <c r="W130" i="6" a="1"/>
  <c r="W130" i="6" s="1"/>
  <c r="W126" i="6" a="1"/>
  <c r="W126" i="6" s="1"/>
  <c r="W122" i="6" a="1"/>
  <c r="W122" i="6" s="1"/>
  <c r="W118" i="6" a="1"/>
  <c r="W118" i="6" s="1"/>
  <c r="W114" i="6" a="1"/>
  <c r="W114" i="6" s="1"/>
  <c r="W110" i="6" a="1"/>
  <c r="W110" i="6" s="1"/>
  <c r="W106" i="6" a="1"/>
  <c r="W106" i="6" s="1"/>
  <c r="W102" i="6" a="1"/>
  <c r="W102" i="6" s="1"/>
  <c r="W98" i="6" a="1"/>
  <c r="W98" i="6" s="1"/>
  <c r="W94" i="6" a="1"/>
  <c r="W94" i="6" s="1"/>
  <c r="W90" i="6" a="1"/>
  <c r="W90" i="6" s="1"/>
  <c r="W86" i="6" a="1"/>
  <c r="W86" i="6" s="1"/>
  <c r="W82" i="6" a="1"/>
  <c r="W82" i="6" s="1"/>
  <c r="W78" i="6" a="1"/>
  <c r="W78" i="6" s="1"/>
  <c r="W74" i="6" a="1"/>
  <c r="W74" i="6" s="1"/>
  <c r="W70" i="6" a="1"/>
  <c r="W70" i="6" s="1"/>
  <c r="W66" i="6" a="1"/>
  <c r="W66" i="6" s="1"/>
  <c r="W62" i="6" a="1"/>
  <c r="W62" i="6" s="1"/>
  <c r="W58" i="6" a="1"/>
  <c r="W58" i="6" s="1"/>
  <c r="W54" i="6" a="1"/>
  <c r="W54" i="6" s="1"/>
  <c r="W50" i="6" a="1"/>
  <c r="W50" i="6" s="1"/>
  <c r="W46" i="6" a="1"/>
  <c r="W46" i="6" s="1"/>
  <c r="W42" i="6" a="1"/>
  <c r="W42" i="6" s="1"/>
  <c r="W38" i="6" a="1"/>
  <c r="W38" i="6" s="1"/>
  <c r="W34" i="6" a="1"/>
  <c r="W34" i="6" s="1"/>
  <c r="W30" i="6" a="1"/>
  <c r="W30" i="6" s="1"/>
  <c r="W26" i="6" a="1"/>
  <c r="W26" i="6" s="1"/>
  <c r="W22" i="6" a="1"/>
  <c r="W22" i="6" s="1"/>
  <c r="W18" i="6" a="1"/>
  <c r="W18" i="6" s="1"/>
  <c r="W14" i="6" a="1"/>
  <c r="W14" i="6" s="1"/>
  <c r="W10" i="6" a="1"/>
  <c r="W10" i="6" s="1"/>
  <c r="W727" i="6" a="1"/>
  <c r="W727" i="6" s="1"/>
  <c r="W723" i="6" a="1"/>
  <c r="W723" i="6" s="1"/>
  <c r="W719" i="6" a="1"/>
  <c r="W719" i="6" s="1"/>
  <c r="W715" i="6" a="1"/>
  <c r="W715" i="6" s="1"/>
  <c r="W711" i="6" a="1"/>
  <c r="W711" i="6" s="1"/>
  <c r="W707" i="6" a="1"/>
  <c r="W707" i="6" s="1"/>
  <c r="W703" i="6" a="1"/>
  <c r="W703" i="6" s="1"/>
  <c r="W699" i="6" a="1"/>
  <c r="W699" i="6" s="1"/>
  <c r="W695" i="6" a="1"/>
  <c r="W695" i="6" s="1"/>
  <c r="W691" i="6" a="1"/>
  <c r="W691" i="6" s="1"/>
  <c r="W687" i="6" a="1"/>
  <c r="W687" i="6" s="1"/>
  <c r="W683" i="6" a="1"/>
  <c r="W683" i="6" s="1"/>
  <c r="W679" i="6" a="1"/>
  <c r="W679" i="6" s="1"/>
  <c r="W675" i="6" a="1"/>
  <c r="W675" i="6" s="1"/>
  <c r="W671" i="6" a="1"/>
  <c r="W671" i="6" s="1"/>
  <c r="W667" i="6" a="1"/>
  <c r="W667" i="6" s="1"/>
  <c r="W663" i="6" a="1"/>
  <c r="W663" i="6" s="1"/>
  <c r="W655" i="6" a="1"/>
  <c r="W655" i="6" s="1"/>
  <c r="W651" i="6" a="1"/>
  <c r="W651" i="6" s="1"/>
  <c r="W647" i="6" a="1"/>
  <c r="W647" i="6" s="1"/>
  <c r="W643" i="6" a="1"/>
  <c r="W643" i="6" s="1"/>
  <c r="W639" i="6" a="1"/>
  <c r="W639" i="6" s="1"/>
  <c r="W635" i="6" a="1"/>
  <c r="W635" i="6" s="1"/>
  <c r="W631" i="6" a="1"/>
  <c r="W631" i="6" s="1"/>
  <c r="W627" i="6" a="1"/>
  <c r="W627" i="6" s="1"/>
  <c r="W623" i="6" a="1"/>
  <c r="W623" i="6" s="1"/>
  <c r="W619" i="6" a="1"/>
  <c r="W619" i="6" s="1"/>
  <c r="W615" i="6" a="1"/>
  <c r="W615" i="6" s="1"/>
  <c r="W611" i="6" a="1"/>
  <c r="W611" i="6" s="1"/>
  <c r="W607" i="6" a="1"/>
  <c r="W607" i="6" s="1"/>
  <c r="W603" i="6" a="1"/>
  <c r="W603" i="6" s="1"/>
  <c r="W599" i="6" a="1"/>
  <c r="W599" i="6" s="1"/>
  <c r="W595" i="6" a="1"/>
  <c r="W595" i="6" s="1"/>
  <c r="W591" i="6" a="1"/>
  <c r="W591" i="6" s="1"/>
  <c r="W587" i="6" a="1"/>
  <c r="W587" i="6" s="1"/>
  <c r="W583" i="6" a="1"/>
  <c r="W583" i="6" s="1"/>
  <c r="W579" i="6" a="1"/>
  <c r="W579" i="6" s="1"/>
  <c r="W575" i="6" a="1"/>
  <c r="W575" i="6" s="1"/>
  <c r="W571" i="6" a="1"/>
  <c r="W571" i="6" s="1"/>
  <c r="W567" i="6" a="1"/>
  <c r="W567" i="6" s="1"/>
  <c r="W563" i="6" a="1"/>
  <c r="W563" i="6" s="1"/>
  <c r="W559" i="6" a="1"/>
  <c r="W559" i="6" s="1"/>
  <c r="W555" i="6" a="1"/>
  <c r="W555" i="6" s="1"/>
  <c r="W551" i="6" a="1"/>
  <c r="W551" i="6" s="1"/>
  <c r="W547" i="6" a="1"/>
  <c r="W547" i="6" s="1"/>
  <c r="W543" i="6" a="1"/>
  <c r="W543" i="6" s="1"/>
  <c r="W539" i="6" a="1"/>
  <c r="W539" i="6" s="1"/>
  <c r="W535" i="6" a="1"/>
  <c r="W535" i="6" s="1"/>
  <c r="W531" i="6" a="1"/>
  <c r="W531" i="6" s="1"/>
  <c r="W527" i="6" a="1"/>
  <c r="W527" i="6" s="1"/>
  <c r="W523" i="6" a="1"/>
  <c r="W523" i="6" s="1"/>
  <c r="W519" i="6" a="1"/>
  <c r="W519" i="6" s="1"/>
  <c r="W515" i="6" a="1"/>
  <c r="W515" i="6" s="1"/>
  <c r="W511" i="6" a="1"/>
  <c r="W511" i="6" s="1"/>
  <c r="W507" i="6" a="1"/>
  <c r="W507" i="6" s="1"/>
  <c r="W503" i="6" a="1"/>
  <c r="W503" i="6" s="1"/>
  <c r="W499" i="6" a="1"/>
  <c r="W499" i="6" s="1"/>
  <c r="W495" i="6" a="1"/>
  <c r="W495" i="6" s="1"/>
  <c r="W491" i="6" a="1"/>
  <c r="W491" i="6" s="1"/>
  <c r="W487" i="6" a="1"/>
  <c r="W487" i="6" s="1"/>
  <c r="W483" i="6" a="1"/>
  <c r="W483" i="6" s="1"/>
  <c r="W479" i="6" a="1"/>
  <c r="W479" i="6" s="1"/>
  <c r="W475" i="6" a="1"/>
  <c r="W475" i="6" s="1"/>
  <c r="W471" i="6" a="1"/>
  <c r="W471" i="6" s="1"/>
  <c r="W467" i="6" a="1"/>
  <c r="W467" i="6" s="1"/>
  <c r="W463" i="6" a="1"/>
  <c r="W463" i="6" s="1"/>
  <c r="W459" i="6" a="1"/>
  <c r="W459" i="6" s="1"/>
  <c r="W455" i="6" a="1"/>
  <c r="W455" i="6" s="1"/>
  <c r="W451" i="6" a="1"/>
  <c r="W451" i="6" s="1"/>
  <c r="W447" i="6" a="1"/>
  <c r="W447" i="6" s="1"/>
  <c r="W443" i="6" a="1"/>
  <c r="W443" i="6" s="1"/>
  <c r="W439" i="6" a="1"/>
  <c r="W439" i="6" s="1"/>
  <c r="W435" i="6" a="1"/>
  <c r="W435" i="6" s="1"/>
  <c r="W431" i="6" a="1"/>
  <c r="W431" i="6" s="1"/>
  <c r="W427" i="6" a="1"/>
  <c r="W427" i="6" s="1"/>
  <c r="W423" i="6" a="1"/>
  <c r="W423" i="6" s="1"/>
  <c r="W419" i="6" a="1"/>
  <c r="W419" i="6" s="1"/>
  <c r="W415" i="6" a="1"/>
  <c r="W415" i="6" s="1"/>
  <c r="W411" i="6" a="1"/>
  <c r="W411" i="6" s="1"/>
  <c r="W407" i="6" a="1"/>
  <c r="W407" i="6" s="1"/>
  <c r="W403" i="6" a="1"/>
  <c r="W403" i="6" s="1"/>
  <c r="W395" i="6" a="1"/>
  <c r="W395" i="6" s="1"/>
  <c r="W391" i="6" a="1"/>
  <c r="W391" i="6" s="1"/>
  <c r="W387" i="6" a="1"/>
  <c r="W387" i="6" s="1"/>
  <c r="W383" i="6" a="1"/>
  <c r="W383" i="6" s="1"/>
  <c r="W379" i="6" a="1"/>
  <c r="W379" i="6" s="1"/>
  <c r="W375" i="6" a="1"/>
  <c r="W375" i="6" s="1"/>
  <c r="W367" i="6" a="1"/>
  <c r="W367" i="6" s="1"/>
  <c r="W363" i="6" a="1"/>
  <c r="W363" i="6" s="1"/>
  <c r="W359" i="6" a="1"/>
  <c r="W359" i="6" s="1"/>
  <c r="W355" i="6" a="1"/>
  <c r="W355" i="6" s="1"/>
  <c r="W351" i="6" a="1"/>
  <c r="W351" i="6" s="1"/>
  <c r="W347" i="6" a="1"/>
  <c r="W347" i="6" s="1"/>
  <c r="W343" i="6" a="1"/>
  <c r="W343" i="6" s="1"/>
  <c r="W339" i="6" a="1"/>
  <c r="W339" i="6" s="1"/>
  <c r="W331" i="6" a="1"/>
  <c r="W331" i="6" s="1"/>
  <c r="W327" i="6" a="1"/>
  <c r="W327" i="6" s="1"/>
  <c r="W323" i="6" a="1"/>
  <c r="W323" i="6" s="1"/>
  <c r="W319" i="6" a="1"/>
  <c r="W319" i="6" s="1"/>
  <c r="W315" i="6" a="1"/>
  <c r="W315" i="6" s="1"/>
  <c r="W311" i="6" a="1"/>
  <c r="W311" i="6" s="1"/>
  <c r="W303" i="6" a="1"/>
  <c r="W303" i="6" s="1"/>
  <c r="W299" i="6" a="1"/>
  <c r="W299" i="6" s="1"/>
  <c r="W295" i="6" a="1"/>
  <c r="W295" i="6" s="1"/>
  <c r="W291" i="6" a="1"/>
  <c r="W291" i="6" s="1"/>
  <c r="W287" i="6" a="1"/>
  <c r="W287" i="6" s="1"/>
  <c r="W283" i="6" a="1"/>
  <c r="W283" i="6" s="1"/>
  <c r="W279" i="6" a="1"/>
  <c r="W279" i="6" s="1"/>
  <c r="W275" i="6" a="1"/>
  <c r="W275" i="6" s="1"/>
  <c r="W271" i="6" a="1"/>
  <c r="W271" i="6" s="1"/>
  <c r="W267" i="6" a="1"/>
  <c r="W267" i="6" s="1"/>
  <c r="W263" i="6" a="1"/>
  <c r="W263" i="6" s="1"/>
  <c r="W259" i="6" a="1"/>
  <c r="W259" i="6" s="1"/>
  <c r="W255" i="6" a="1"/>
  <c r="W255" i="6" s="1"/>
  <c r="W251" i="6" a="1"/>
  <c r="W251" i="6" s="1"/>
  <c r="W247" i="6" a="1"/>
  <c r="W247" i="6" s="1"/>
  <c r="W243" i="6" a="1"/>
  <c r="W243" i="6" s="1"/>
  <c r="W239" i="6" a="1"/>
  <c r="W239" i="6" s="1"/>
  <c r="W235" i="6" a="1"/>
  <c r="W235" i="6" s="1"/>
  <c r="W231" i="6" a="1"/>
  <c r="W231" i="6" s="1"/>
  <c r="W227" i="6" a="1"/>
  <c r="W227" i="6" s="1"/>
  <c r="W223" i="6" a="1"/>
  <c r="W223" i="6" s="1"/>
  <c r="W219" i="6" a="1"/>
  <c r="W219" i="6" s="1"/>
  <c r="W215" i="6" a="1"/>
  <c r="W215" i="6" s="1"/>
  <c r="W211" i="6" a="1"/>
  <c r="W211" i="6" s="1"/>
  <c r="W207" i="6" a="1"/>
  <c r="W207" i="6" s="1"/>
  <c r="W203" i="6" a="1"/>
  <c r="W203" i="6" s="1"/>
  <c r="W199" i="6" a="1"/>
  <c r="W199" i="6" s="1"/>
  <c r="W195" i="6" a="1"/>
  <c r="W195" i="6" s="1"/>
  <c r="W191" i="6" a="1"/>
  <c r="W191" i="6" s="1"/>
  <c r="W187" i="6" a="1"/>
  <c r="W187" i="6" s="1"/>
  <c r="W183" i="6" a="1"/>
  <c r="W183" i="6" s="1"/>
  <c r="W179" i="6" a="1"/>
  <c r="W179" i="6" s="1"/>
  <c r="W175" i="6" a="1"/>
  <c r="W175" i="6" s="1"/>
  <c r="W171" i="6" a="1"/>
  <c r="W171" i="6" s="1"/>
  <c r="W167" i="6" a="1"/>
  <c r="W167" i="6" s="1"/>
  <c r="W163" i="6" a="1"/>
  <c r="W163" i="6" s="1"/>
  <c r="W159" i="6" a="1"/>
  <c r="W159" i="6" s="1"/>
  <c r="W155" i="6" a="1"/>
  <c r="W155" i="6" s="1"/>
  <c r="W151" i="6" a="1"/>
  <c r="W151" i="6" s="1"/>
  <c r="W147" i="6" a="1"/>
  <c r="W147" i="6" s="1"/>
  <c r="W143" i="6" a="1"/>
  <c r="W143" i="6" s="1"/>
  <c r="W139" i="6" a="1"/>
  <c r="W139" i="6" s="1"/>
  <c r="W135" i="6" a="1"/>
  <c r="W135" i="6" s="1"/>
  <c r="W127" i="6" a="1"/>
  <c r="W127" i="6" s="1"/>
  <c r="W123" i="6" a="1"/>
  <c r="W123" i="6" s="1"/>
  <c r="W119" i="6" a="1"/>
  <c r="W119" i="6" s="1"/>
  <c r="W115" i="6" a="1"/>
  <c r="W115" i="6" s="1"/>
  <c r="W111" i="6" a="1"/>
  <c r="W111" i="6" s="1"/>
  <c r="W107" i="6" a="1"/>
  <c r="W107" i="6" s="1"/>
  <c r="W99" i="6" a="1"/>
  <c r="W99" i="6" s="1"/>
  <c r="W95" i="6" a="1"/>
  <c r="W95" i="6" s="1"/>
  <c r="W91" i="6" a="1"/>
  <c r="W91" i="6" s="1"/>
  <c r="W87" i="6" a="1"/>
  <c r="W87" i="6" s="1"/>
  <c r="W83" i="6" a="1"/>
  <c r="W83" i="6" s="1"/>
  <c r="W79" i="6" a="1"/>
  <c r="W79" i="6" s="1"/>
  <c r="W75" i="6" a="1"/>
  <c r="W75" i="6" s="1"/>
  <c r="W71" i="6" a="1"/>
  <c r="W71" i="6" s="1"/>
  <c r="W67" i="6" a="1"/>
  <c r="W67" i="6" s="1"/>
  <c r="W63" i="6" a="1"/>
  <c r="W63" i="6" s="1"/>
  <c r="W59" i="6" a="1"/>
  <c r="W59" i="6" s="1"/>
  <c r="W55" i="6" a="1"/>
  <c r="W55" i="6" s="1"/>
  <c r="W51" i="6" a="1"/>
  <c r="W51" i="6" s="1"/>
  <c r="W47" i="6" a="1"/>
  <c r="W47" i="6" s="1"/>
  <c r="W43" i="6" a="1"/>
  <c r="W43" i="6" s="1"/>
  <c r="W39" i="6" a="1"/>
  <c r="W39" i="6" s="1"/>
  <c r="W35" i="6" a="1"/>
  <c r="W35" i="6" s="1"/>
  <c r="W31" i="6" a="1"/>
  <c r="W31" i="6" s="1"/>
  <c r="W23" i="6" a="1"/>
  <c r="W23" i="6" s="1"/>
  <c r="W19" i="6" a="1"/>
  <c r="W19" i="6" s="1"/>
  <c r="W15" i="6" a="1"/>
  <c r="W15" i="6" s="1"/>
  <c r="W11" i="6" a="1"/>
  <c r="W11" i="6" s="1"/>
  <c r="W7" i="6" a="1"/>
  <c r="W7" i="6" s="1"/>
  <c r="W660" i="6" a="1"/>
  <c r="W660" i="6" s="1"/>
  <c r="W656" i="6" a="1"/>
  <c r="W656" i="6" s="1"/>
  <c r="W652" i="6" a="1"/>
  <c r="W652" i="6" s="1"/>
  <c r="W648" i="6" a="1"/>
  <c r="W648" i="6" s="1"/>
  <c r="W644" i="6" a="1"/>
  <c r="W644" i="6" s="1"/>
  <c r="W640" i="6" a="1"/>
  <c r="W640" i="6" s="1"/>
  <c r="W632" i="6" a="1"/>
  <c r="W632" i="6" s="1"/>
  <c r="W628" i="6" a="1"/>
  <c r="W628" i="6" s="1"/>
  <c r="W624" i="6" a="1"/>
  <c r="W624" i="6" s="1"/>
  <c r="W616" i="6" a="1"/>
  <c r="W616" i="6" s="1"/>
  <c r="W612" i="6" a="1"/>
  <c r="W612" i="6" s="1"/>
  <c r="W608" i="6" a="1"/>
  <c r="W608" i="6" s="1"/>
  <c r="W600" i="6" a="1"/>
  <c r="W600" i="6" s="1"/>
  <c r="W596" i="6" a="1"/>
  <c r="W596" i="6" s="1"/>
  <c r="W592" i="6" a="1"/>
  <c r="W592" i="6" s="1"/>
  <c r="W584" i="6" a="1"/>
  <c r="W584" i="6" s="1"/>
  <c r="W580" i="6" a="1"/>
  <c r="W580" i="6" s="1"/>
  <c r="W576" i="6" a="1"/>
  <c r="W576" i="6" s="1"/>
  <c r="W568" i="6" a="1"/>
  <c r="W568" i="6" s="1"/>
  <c r="W564" i="6" a="1"/>
  <c r="W564" i="6" s="1"/>
  <c r="W560" i="6" a="1"/>
  <c r="W560" i="6" s="1"/>
  <c r="W556" i="6" a="1"/>
  <c r="W556" i="6" s="1"/>
  <c r="W552" i="6" a="1"/>
  <c r="W552" i="6" s="1"/>
  <c r="W548" i="6" a="1"/>
  <c r="W548" i="6" s="1"/>
  <c r="W544" i="6" a="1"/>
  <c r="W544" i="6" s="1"/>
  <c r="W536" i="6" a="1"/>
  <c r="W536" i="6" s="1"/>
  <c r="W532" i="6" a="1"/>
  <c r="W532" i="6" s="1"/>
  <c r="W528" i="6" a="1"/>
  <c r="W528" i="6" s="1"/>
  <c r="W524" i="6" a="1"/>
  <c r="W524" i="6" s="1"/>
  <c r="W520" i="6" a="1"/>
  <c r="W520" i="6" s="1"/>
  <c r="W516" i="6" a="1"/>
  <c r="W516" i="6" s="1"/>
  <c r="W512" i="6" a="1"/>
  <c r="W512" i="6" s="1"/>
  <c r="W508" i="6" a="1"/>
  <c r="W508" i="6" s="1"/>
  <c r="W504" i="6" a="1"/>
  <c r="W504" i="6" s="1"/>
  <c r="W500" i="6" a="1"/>
  <c r="W500" i="6" s="1"/>
  <c r="W496" i="6" a="1"/>
  <c r="W496" i="6" s="1"/>
  <c r="W492" i="6" a="1"/>
  <c r="W492" i="6" s="1"/>
  <c r="W488" i="6" a="1"/>
  <c r="W488" i="6" s="1"/>
  <c r="W484" i="6" a="1"/>
  <c r="W484" i="6" s="1"/>
  <c r="W480" i="6" a="1"/>
  <c r="W480" i="6" s="1"/>
  <c r="W472" i="6" a="1"/>
  <c r="W472" i="6" s="1"/>
  <c r="W468" i="6" a="1"/>
  <c r="W468" i="6" s="1"/>
  <c r="W464" i="6" a="1"/>
  <c r="W464" i="6" s="1"/>
  <c r="W460" i="6" a="1"/>
  <c r="W460" i="6" s="1"/>
  <c r="W456" i="6" a="1"/>
  <c r="W456" i="6" s="1"/>
  <c r="W452" i="6" a="1"/>
  <c r="W452" i="6" s="1"/>
  <c r="W448" i="6" a="1"/>
  <c r="W448" i="6" s="1"/>
  <c r="W440" i="6" a="1"/>
  <c r="W440" i="6" s="1"/>
  <c r="W436" i="6" a="1"/>
  <c r="W436" i="6" s="1"/>
  <c r="W432" i="6" a="1"/>
  <c r="W432" i="6" s="1"/>
  <c r="W428" i="6" a="1"/>
  <c r="W428" i="6" s="1"/>
  <c r="W424" i="6" a="1"/>
  <c r="W424" i="6" s="1"/>
  <c r="W420" i="6" a="1"/>
  <c r="W420" i="6" s="1"/>
  <c r="W416" i="6" a="1"/>
  <c r="W416" i="6" s="1"/>
  <c r="W408" i="6" a="1"/>
  <c r="W408" i="6" s="1"/>
  <c r="W404" i="6" a="1"/>
  <c r="W404" i="6" s="1"/>
  <c r="W400" i="6" a="1"/>
  <c r="W400" i="6" s="1"/>
  <c r="W396" i="6" a="1"/>
  <c r="W396" i="6" s="1"/>
  <c r="W593" i="6" a="1"/>
  <c r="W593" i="6" s="1"/>
  <c r="W545" i="6" a="1"/>
  <c r="W545" i="6" s="1"/>
  <c r="W465" i="6" a="1"/>
  <c r="W465" i="6" s="1"/>
  <c r="W417" i="6" a="1"/>
  <c r="W417" i="6" s="1"/>
  <c r="W588" i="6" a="1"/>
  <c r="W588" i="6" s="1"/>
  <c r="W388" i="6" a="1"/>
  <c r="W388" i="6" s="1"/>
  <c r="W384" i="6" a="1"/>
  <c r="W384" i="6" s="1"/>
  <c r="W380" i="6" a="1"/>
  <c r="W380" i="6" s="1"/>
  <c r="W376" i="6" a="1"/>
  <c r="W376" i="6" s="1"/>
  <c r="W372" i="6" a="1"/>
  <c r="W372" i="6" s="1"/>
  <c r="W368" i="6" a="1"/>
  <c r="W368" i="6" s="1"/>
  <c r="W364" i="6" a="1"/>
  <c r="W364" i="6" s="1"/>
  <c r="W360" i="6" a="1"/>
  <c r="W360" i="6" s="1"/>
  <c r="W356" i="6" a="1"/>
  <c r="W356" i="6" s="1"/>
  <c r="W352" i="6" a="1"/>
  <c r="W352" i="6" s="1"/>
  <c r="W348" i="6" a="1"/>
  <c r="W348" i="6" s="1"/>
  <c r="W344" i="6" a="1"/>
  <c r="W344" i="6" s="1"/>
  <c r="W340" i="6" a="1"/>
  <c r="W340" i="6" s="1"/>
  <c r="W336" i="6" a="1"/>
  <c r="W336" i="6" s="1"/>
  <c r="W332" i="6" a="1"/>
  <c r="W332" i="6" s="1"/>
  <c r="W328" i="6" a="1"/>
  <c r="W328" i="6" s="1"/>
  <c r="W324" i="6" a="1"/>
  <c r="W324" i="6" s="1"/>
  <c r="W320" i="6" a="1"/>
  <c r="W320" i="6" s="1"/>
  <c r="W316" i="6" a="1"/>
  <c r="W316" i="6" s="1"/>
  <c r="W312" i="6" a="1"/>
  <c r="W312" i="6" s="1"/>
  <c r="W308" i="6" a="1"/>
  <c r="W308" i="6" s="1"/>
  <c r="W304" i="6" a="1"/>
  <c r="W304" i="6" s="1"/>
  <c r="W300" i="6" a="1"/>
  <c r="W300" i="6" s="1"/>
  <c r="W296" i="6" a="1"/>
  <c r="W296" i="6" s="1"/>
  <c r="W292" i="6" a="1"/>
  <c r="W292" i="6" s="1"/>
  <c r="W288" i="6" a="1"/>
  <c r="W288" i="6" s="1"/>
  <c r="W284" i="6" a="1"/>
  <c r="W284" i="6" s="1"/>
  <c r="W280" i="6" a="1"/>
  <c r="W280" i="6" s="1"/>
  <c r="W276" i="6" a="1"/>
  <c r="W276" i="6" s="1"/>
  <c r="W272" i="6" a="1"/>
  <c r="W272" i="6" s="1"/>
  <c r="W268" i="6" a="1"/>
  <c r="W268" i="6" s="1"/>
  <c r="W264" i="6" a="1"/>
  <c r="W264" i="6" s="1"/>
  <c r="W260" i="6" a="1"/>
  <c r="W260" i="6" s="1"/>
  <c r="W256" i="6" a="1"/>
  <c r="W256" i="6" s="1"/>
  <c r="W252" i="6" a="1"/>
  <c r="W252" i="6" s="1"/>
  <c r="W248" i="6" a="1"/>
  <c r="W248" i="6" s="1"/>
  <c r="W244" i="6" a="1"/>
  <c r="W244" i="6" s="1"/>
  <c r="W240" i="6" a="1"/>
  <c r="W240" i="6" s="1"/>
  <c r="W236" i="6" a="1"/>
  <c r="W236" i="6" s="1"/>
  <c r="W232" i="6" a="1"/>
  <c r="W232" i="6" s="1"/>
  <c r="W228" i="6" a="1"/>
  <c r="W228" i="6" s="1"/>
  <c r="W224" i="6" a="1"/>
  <c r="W224" i="6" s="1"/>
  <c r="W220" i="6" a="1"/>
  <c r="W220" i="6" s="1"/>
  <c r="W216" i="6" a="1"/>
  <c r="W216" i="6" s="1"/>
  <c r="W212" i="6" a="1"/>
  <c r="W212" i="6" s="1"/>
  <c r="W208" i="6" a="1"/>
  <c r="W208" i="6" s="1"/>
  <c r="W204" i="6" a="1"/>
  <c r="W204" i="6" s="1"/>
  <c r="W200" i="6" a="1"/>
  <c r="W200" i="6" s="1"/>
  <c r="W196" i="6" a="1"/>
  <c r="W196" i="6" s="1"/>
  <c r="W192" i="6" a="1"/>
  <c r="W192" i="6" s="1"/>
  <c r="W188" i="6" a="1"/>
  <c r="W188" i="6" s="1"/>
  <c r="W184" i="6" a="1"/>
  <c r="W184" i="6" s="1"/>
  <c r="W180" i="6" a="1"/>
  <c r="W180" i="6" s="1"/>
  <c r="W176" i="6" a="1"/>
  <c r="W176" i="6" s="1"/>
  <c r="W172" i="6" a="1"/>
  <c r="W172" i="6" s="1"/>
  <c r="W168" i="6" a="1"/>
  <c r="W168" i="6" s="1"/>
  <c r="W164" i="6" a="1"/>
  <c r="W164" i="6" s="1"/>
  <c r="W160" i="6" a="1"/>
  <c r="W160" i="6" s="1"/>
  <c r="W156" i="6" a="1"/>
  <c r="W156" i="6" s="1"/>
  <c r="W152" i="6" a="1"/>
  <c r="W152" i="6" s="1"/>
  <c r="W148" i="6" a="1"/>
  <c r="W148" i="6" s="1"/>
  <c r="W144" i="6" a="1"/>
  <c r="W144" i="6" s="1"/>
  <c r="W140" i="6" a="1"/>
  <c r="W140" i="6" s="1"/>
  <c r="W136" i="6" a="1"/>
  <c r="W136" i="6" s="1"/>
  <c r="W132" i="6" a="1"/>
  <c r="W132" i="6" s="1"/>
  <c r="W128" i="6" a="1"/>
  <c r="W128" i="6" s="1"/>
  <c r="W124" i="6" a="1"/>
  <c r="W124" i="6" s="1"/>
  <c r="W120" i="6" a="1"/>
  <c r="W120" i="6" s="1"/>
  <c r="W116" i="6" a="1"/>
  <c r="W116" i="6" s="1"/>
  <c r="W112" i="6" a="1"/>
  <c r="W112" i="6" s="1"/>
  <c r="W108" i="6" a="1"/>
  <c r="W108" i="6" s="1"/>
  <c r="W104" i="6" a="1"/>
  <c r="W104" i="6" s="1"/>
  <c r="W100" i="6" a="1"/>
  <c r="W100" i="6" s="1"/>
  <c r="W96" i="6" a="1"/>
  <c r="W96" i="6" s="1"/>
  <c r="W92" i="6" a="1"/>
  <c r="W92" i="6" s="1"/>
  <c r="W84" i="6" a="1"/>
  <c r="W84" i="6" s="1"/>
  <c r="W80" i="6" a="1"/>
  <c r="W80" i="6" s="1"/>
  <c r="W76" i="6" a="1"/>
  <c r="W76" i="6" s="1"/>
  <c r="W72" i="6" a="1"/>
  <c r="W72" i="6" s="1"/>
  <c r="W68" i="6" a="1"/>
  <c r="W68" i="6" s="1"/>
  <c r="W64" i="6" a="1"/>
  <c r="W64" i="6" s="1"/>
  <c r="W60" i="6" a="1"/>
  <c r="W60" i="6" s="1"/>
  <c r="W56" i="6" a="1"/>
  <c r="W56" i="6" s="1"/>
  <c r="W52" i="6" a="1"/>
  <c r="W52" i="6" s="1"/>
  <c r="W48" i="6" a="1"/>
  <c r="W48" i="6" s="1"/>
  <c r="W44" i="6" a="1"/>
  <c r="W44" i="6" s="1"/>
  <c r="W40" i="6" a="1"/>
  <c r="W40" i="6" s="1"/>
  <c r="W36" i="6" a="1"/>
  <c r="W36" i="6" s="1"/>
  <c r="W32" i="6" a="1"/>
  <c r="W32" i="6" s="1"/>
  <c r="W28" i="6" a="1"/>
  <c r="W28" i="6" s="1"/>
  <c r="W24" i="6" a="1"/>
  <c r="W24" i="6" s="1"/>
  <c r="W20" i="6" a="1"/>
  <c r="W20" i="6" s="1"/>
  <c r="W16" i="6" a="1"/>
  <c r="W16" i="6" s="1"/>
  <c r="W12" i="6" a="1"/>
  <c r="W12" i="6" s="1"/>
  <c r="W8" i="6" a="1"/>
  <c r="W8" i="6" s="1"/>
  <c r="W729" i="6" a="1"/>
  <c r="W729" i="6" s="1"/>
  <c r="W725" i="6" a="1"/>
  <c r="W725" i="6" s="1"/>
  <c r="W721" i="6" a="1"/>
  <c r="W721" i="6" s="1"/>
  <c r="W717" i="6" a="1"/>
  <c r="W717" i="6" s="1"/>
  <c r="W713" i="6" a="1"/>
  <c r="W713" i="6" s="1"/>
  <c r="W709" i="6" a="1"/>
  <c r="W709" i="6" s="1"/>
  <c r="W705" i="6" a="1"/>
  <c r="W705" i="6" s="1"/>
  <c r="W701" i="6" a="1"/>
  <c r="W701" i="6" s="1"/>
  <c r="W697" i="6" a="1"/>
  <c r="W697" i="6" s="1"/>
  <c r="W693" i="6" a="1"/>
  <c r="W693" i="6" s="1"/>
  <c r="W689" i="6" a="1"/>
  <c r="W689" i="6" s="1"/>
  <c r="W685" i="6" a="1"/>
  <c r="W685" i="6" s="1"/>
  <c r="W681" i="6" a="1"/>
  <c r="W681" i="6" s="1"/>
  <c r="W677" i="6" a="1"/>
  <c r="W677" i="6" s="1"/>
  <c r="W673" i="6" a="1"/>
  <c r="W673" i="6" s="1"/>
  <c r="W669" i="6" a="1"/>
  <c r="W669" i="6" s="1"/>
  <c r="W665" i="6" a="1"/>
  <c r="W665" i="6" s="1"/>
  <c r="W661" i="6" a="1"/>
  <c r="W661" i="6" s="1"/>
  <c r="W657" i="6" a="1"/>
  <c r="W657" i="6" s="1"/>
  <c r="W653" i="6" a="1"/>
  <c r="W653" i="6" s="1"/>
  <c r="W649" i="6" a="1"/>
  <c r="W649" i="6" s="1"/>
  <c r="W645" i="6" a="1"/>
  <c r="W645" i="6" s="1"/>
  <c r="W641" i="6" a="1"/>
  <c r="W641" i="6" s="1"/>
  <c r="W637" i="6" a="1"/>
  <c r="W637" i="6" s="1"/>
  <c r="W633" i="6" a="1"/>
  <c r="W633" i="6" s="1"/>
  <c r="W629" i="6" a="1"/>
  <c r="W629" i="6" s="1"/>
  <c r="W621" i="6" a="1"/>
  <c r="W621" i="6" s="1"/>
  <c r="W617" i="6" a="1"/>
  <c r="W617" i="6" s="1"/>
  <c r="W613" i="6" a="1"/>
  <c r="W613" i="6" s="1"/>
  <c r="W605" i="6" a="1"/>
  <c r="W605" i="6" s="1"/>
  <c r="W601" i="6" a="1"/>
  <c r="W601" i="6" s="1"/>
  <c r="W597" i="6" a="1"/>
  <c r="W597" i="6" s="1"/>
  <c r="W589" i="6" a="1"/>
  <c r="W589" i="6" s="1"/>
  <c r="W585" i="6" a="1"/>
  <c r="W585" i="6" s="1"/>
  <c r="W581" i="6" a="1"/>
  <c r="W581" i="6" s="1"/>
  <c r="W573" i="6" a="1"/>
  <c r="W573" i="6" s="1"/>
  <c r="W569" i="6" a="1"/>
  <c r="W569" i="6" s="1"/>
  <c r="W565" i="6" a="1"/>
  <c r="W565" i="6" s="1"/>
  <c r="W557" i="6" a="1"/>
  <c r="W557" i="6" s="1"/>
  <c r="W553" i="6" a="1"/>
  <c r="W553" i="6" s="1"/>
  <c r="W549" i="6" a="1"/>
  <c r="W549" i="6" s="1"/>
  <c r="W541" i="6" a="1"/>
  <c r="W541" i="6" s="1"/>
  <c r="W537" i="6" a="1"/>
  <c r="W537" i="6" s="1"/>
  <c r="W533" i="6" a="1"/>
  <c r="W533" i="6" s="1"/>
  <c r="W525" i="6" a="1"/>
  <c r="W525" i="6" s="1"/>
  <c r="W521" i="6" a="1"/>
  <c r="W521" i="6" s="1"/>
  <c r="W517" i="6" a="1"/>
  <c r="W517" i="6" s="1"/>
  <c r="W509" i="6" a="1"/>
  <c r="W509" i="6" s="1"/>
  <c r="W505" i="6" a="1"/>
  <c r="W505" i="6" s="1"/>
  <c r="W501" i="6" a="1"/>
  <c r="W501" i="6" s="1"/>
  <c r="W493" i="6" a="1"/>
  <c r="W493" i="6" s="1"/>
  <c r="W489" i="6" a="1"/>
  <c r="W489" i="6" s="1"/>
  <c r="W485" i="6" a="1"/>
  <c r="W485" i="6" s="1"/>
  <c r="W477" i="6" a="1"/>
  <c r="W477" i="6" s="1"/>
  <c r="W473" i="6" a="1"/>
  <c r="W473" i="6" s="1"/>
  <c r="W469" i="6" a="1"/>
  <c r="W469" i="6" s="1"/>
  <c r="W461" i="6" a="1"/>
  <c r="W461" i="6" s="1"/>
  <c r="W457" i="6" a="1"/>
  <c r="W457" i="6" s="1"/>
  <c r="W453" i="6" a="1"/>
  <c r="W453" i="6" s="1"/>
  <c r="W445" i="6" a="1"/>
  <c r="W445" i="6" s="1"/>
  <c r="W441" i="6" a="1"/>
  <c r="W441" i="6" s="1"/>
  <c r="W437" i="6" a="1"/>
  <c r="W437" i="6" s="1"/>
  <c r="W429" i="6" a="1"/>
  <c r="W429" i="6" s="1"/>
  <c r="W425" i="6" a="1"/>
  <c r="W425" i="6" s="1"/>
  <c r="W421" i="6" a="1"/>
  <c r="W421" i="6" s="1"/>
  <c r="W413" i="6" a="1"/>
  <c r="W413" i="6" s="1"/>
  <c r="W409" i="6" a="1"/>
  <c r="W409" i="6" s="1"/>
  <c r="W405" i="6" a="1"/>
  <c r="W405" i="6" s="1"/>
  <c r="W401" i="6" a="1"/>
  <c r="W401" i="6" s="1"/>
  <c r="W397" i="6" a="1"/>
  <c r="W397" i="6" s="1"/>
  <c r="W393" i="6" a="1"/>
  <c r="W393" i="6" s="1"/>
  <c r="W389" i="6" a="1"/>
  <c r="W389" i="6" s="1"/>
  <c r="W381" i="6" a="1"/>
  <c r="W381" i="6" s="1"/>
  <c r="W377" i="6" a="1"/>
  <c r="W377" i="6" s="1"/>
  <c r="W373" i="6" a="1"/>
  <c r="W373" i="6" s="1"/>
  <c r="W369" i="6" a="1"/>
  <c r="W369" i="6" s="1"/>
  <c r="W365" i="6" a="1"/>
  <c r="W365" i="6" s="1"/>
  <c r="W361" i="6" a="1"/>
  <c r="W361" i="6" s="1"/>
  <c r="W357" i="6" a="1"/>
  <c r="W357" i="6" s="1"/>
  <c r="W353" i="6" a="1"/>
  <c r="W353" i="6" s="1"/>
  <c r="W349" i="6" a="1"/>
  <c r="W349" i="6" s="1"/>
  <c r="W345" i="6" a="1"/>
  <c r="W345" i="6" s="1"/>
  <c r="W341" i="6" a="1"/>
  <c r="W341" i="6" s="1"/>
  <c r="W337" i="6" a="1"/>
  <c r="W337" i="6" s="1"/>
  <c r="W333" i="6" a="1"/>
  <c r="W333" i="6" s="1"/>
  <c r="W329" i="6" a="1"/>
  <c r="W329" i="6" s="1"/>
  <c r="W325" i="6" a="1"/>
  <c r="W325" i="6" s="1"/>
  <c r="W317" i="6" a="1"/>
  <c r="W317" i="6" s="1"/>
  <c r="W313" i="6" a="1"/>
  <c r="W313" i="6" s="1"/>
  <c r="W309" i="6" a="1"/>
  <c r="W309" i="6" s="1"/>
  <c r="W305" i="6" a="1"/>
  <c r="W305" i="6" s="1"/>
  <c r="W301" i="6" a="1"/>
  <c r="W301" i="6" s="1"/>
  <c r="W297" i="6" a="1"/>
  <c r="W297" i="6" s="1"/>
  <c r="W293" i="6" a="1"/>
  <c r="W293" i="6" s="1"/>
  <c r="W289" i="6" a="1"/>
  <c r="W289" i="6" s="1"/>
  <c r="W285" i="6" a="1"/>
  <c r="W285" i="6" s="1"/>
  <c r="W277" i="6" a="1"/>
  <c r="W277" i="6" s="1"/>
  <c r="W273" i="6" a="1"/>
  <c r="W273" i="6" s="1"/>
  <c r="W269" i="6" a="1"/>
  <c r="W269" i="6" s="1"/>
  <c r="W265" i="6" a="1"/>
  <c r="W265" i="6" s="1"/>
  <c r="W261" i="6" a="1"/>
  <c r="W261" i="6" s="1"/>
  <c r="W257" i="6" a="1"/>
  <c r="W257" i="6" s="1"/>
  <c r="W253" i="6" a="1"/>
  <c r="W253" i="6" s="1"/>
  <c r="W245" i="6" a="1"/>
  <c r="W245" i="6" s="1"/>
  <c r="W241" i="6" a="1"/>
  <c r="W241" i="6" s="1"/>
  <c r="W237" i="6" a="1"/>
  <c r="W237" i="6" s="1"/>
  <c r="W233" i="6" a="1"/>
  <c r="W233" i="6" s="1"/>
  <c r="W229" i="6" a="1"/>
  <c r="W229" i="6" s="1"/>
  <c r="W225" i="6" a="1"/>
  <c r="W225" i="6" s="1"/>
  <c r="W221" i="6" a="1"/>
  <c r="W221" i="6" s="1"/>
  <c r="W213" i="6" a="1"/>
  <c r="W213" i="6" s="1"/>
  <c r="W209" i="6" a="1"/>
  <c r="W209" i="6" s="1"/>
  <c r="W205" i="6" a="1"/>
  <c r="W205" i="6" s="1"/>
  <c r="W201" i="6" a="1"/>
  <c r="W201" i="6" s="1"/>
  <c r="W197" i="6" a="1"/>
  <c r="W197" i="6" s="1"/>
  <c r="W193" i="6" a="1"/>
  <c r="W193" i="6" s="1"/>
  <c r="W189" i="6" a="1"/>
  <c r="W189" i="6" s="1"/>
  <c r="W181" i="6" a="1"/>
  <c r="W181" i="6" s="1"/>
  <c r="W177" i="6" a="1"/>
  <c r="W177" i="6" s="1"/>
  <c r="W173" i="6" a="1"/>
  <c r="W173" i="6" s="1"/>
  <c r="W169" i="6" a="1"/>
  <c r="W169" i="6" s="1"/>
  <c r="W165" i="6" a="1"/>
  <c r="W165" i="6" s="1"/>
  <c r="W161" i="6" a="1"/>
  <c r="W161" i="6" s="1"/>
  <c r="W157" i="6" a="1"/>
  <c r="W157" i="6" s="1"/>
  <c r="W153" i="6" a="1"/>
  <c r="W153" i="6" s="1"/>
  <c r="W149" i="6" a="1"/>
  <c r="W149" i="6" s="1"/>
  <c r="W145" i="6" a="1"/>
  <c r="W145" i="6" s="1"/>
  <c r="W141" i="6" a="1"/>
  <c r="W141" i="6" s="1"/>
  <c r="W137" i="6" a="1"/>
  <c r="W137" i="6" s="1"/>
  <c r="W133" i="6" a="1"/>
  <c r="W133" i="6" s="1"/>
  <c r="W129" i="6" a="1"/>
  <c r="W129" i="6" s="1"/>
  <c r="W125" i="6" a="1"/>
  <c r="W125" i="6" s="1"/>
  <c r="W121" i="6" a="1"/>
  <c r="W121" i="6" s="1"/>
  <c r="W113" i="6" a="1"/>
  <c r="W113" i="6" s="1"/>
  <c r="W109" i="6" a="1"/>
  <c r="W109" i="6" s="1"/>
  <c r="W105" i="6" a="1"/>
  <c r="W105" i="6" s="1"/>
  <c r="W101" i="6" a="1"/>
  <c r="W101" i="6" s="1"/>
  <c r="W97" i="6" a="1"/>
  <c r="W97" i="6" s="1"/>
  <c r="W93" i="6" a="1"/>
  <c r="W93" i="6" s="1"/>
  <c r="W89" i="6" a="1"/>
  <c r="W89" i="6" s="1"/>
  <c r="W85" i="6" a="1"/>
  <c r="W85" i="6" s="1"/>
  <c r="W81" i="6" a="1"/>
  <c r="W81" i="6" s="1"/>
  <c r="W77" i="6" a="1"/>
  <c r="W77" i="6" s="1"/>
  <c r="W73" i="6" a="1"/>
  <c r="W73" i="6" s="1"/>
  <c r="W69" i="6" a="1"/>
  <c r="W69" i="6" s="1"/>
  <c r="W65" i="6" a="1"/>
  <c r="W65" i="6" s="1"/>
  <c r="W61" i="6" a="1"/>
  <c r="W61" i="6" s="1"/>
  <c r="W57" i="6" a="1"/>
  <c r="W57" i="6" s="1"/>
  <c r="W53" i="6" a="1"/>
  <c r="W53" i="6" s="1"/>
  <c r="W45" i="6" a="1"/>
  <c r="W45" i="6" s="1"/>
  <c r="W41" i="6" a="1"/>
  <c r="W41" i="6" s="1"/>
  <c r="W37" i="6" a="1"/>
  <c r="W37" i="6" s="1"/>
  <c r="W33" i="6" a="1"/>
  <c r="W33" i="6" s="1"/>
  <c r="W29" i="6" a="1"/>
  <c r="W29" i="6" s="1"/>
  <c r="W25" i="6" a="1"/>
  <c r="W25" i="6" s="1"/>
  <c r="W21" i="6" a="1"/>
  <c r="W21" i="6" s="1"/>
  <c r="W17" i="6" a="1"/>
  <c r="W17" i="6" s="1"/>
  <c r="W13" i="6" a="1"/>
  <c r="W13" i="6" s="1"/>
  <c r="W9" i="6" a="1"/>
  <c r="W9" i="6" s="1"/>
  <c r="W654" i="6" a="1"/>
  <c r="W654" i="6" s="1"/>
  <c r="W6" i="6" a="1"/>
  <c r="W6" i="6" s="1"/>
  <c r="W634" i="6" a="1"/>
  <c r="W634" i="6" s="1"/>
  <c r="W626" i="6" a="1"/>
  <c r="W626" i="6" s="1"/>
  <c r="W618" i="6" a="1"/>
  <c r="W618" i="6" s="1"/>
  <c r="W610" i="6" a="1"/>
  <c r="W610" i="6" s="1"/>
  <c r="W602" i="6" a="1"/>
  <c r="W602" i="6" s="1"/>
  <c r="W594" i="6" a="1"/>
  <c r="W594" i="6" s="1"/>
  <c r="W586" i="6" a="1"/>
  <c r="W586" i="6" s="1"/>
  <c r="W578" i="6" a="1"/>
  <c r="W578" i="6" s="1"/>
  <c r="W570" i="6" a="1"/>
  <c r="W570" i="6" s="1"/>
  <c r="W562" i="6" a="1"/>
  <c r="W562" i="6" s="1"/>
  <c r="W554" i="6" a="1"/>
  <c r="W554" i="6" s="1"/>
  <c r="W546" i="6" a="1"/>
  <c r="W546" i="6" s="1"/>
  <c r="W538" i="6" a="1"/>
  <c r="W538" i="6" s="1"/>
  <c r="W530" i="6" a="1"/>
  <c r="W530" i="6" s="1"/>
  <c r="W522" i="6" a="1"/>
  <c r="W522" i="6" s="1"/>
  <c r="W514" i="6" a="1"/>
  <c r="W514" i="6" s="1"/>
  <c r="W506" i="6" a="1"/>
  <c r="W506" i="6" s="1"/>
  <c r="W498" i="6" a="1"/>
  <c r="W498" i="6" s="1"/>
  <c r="W490" i="6" a="1"/>
  <c r="W490" i="6" s="1"/>
  <c r="W482" i="6" a="1"/>
  <c r="W482" i="6" s="1"/>
  <c r="W474" i="6" a="1"/>
  <c r="W474" i="6" s="1"/>
  <c r="W466" i="6" a="1"/>
  <c r="W466" i="6" s="1"/>
  <c r="W458" i="6" a="1"/>
  <c r="W458" i="6" s="1"/>
  <c r="W450" i="6" a="1"/>
  <c r="W450" i="6" s="1"/>
  <c r="W442" i="6" a="1"/>
  <c r="W442" i="6" s="1"/>
  <c r="A4" i="8" l="1"/>
  <c r="A6" i="8"/>
  <c r="C4" i="8"/>
  <c r="B4" i="8"/>
  <c r="E4" i="8" l="1"/>
  <c r="D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A267A9-064E-463D-8EB5-0E451435AD90}" keepAlive="1" name="Query - SalesOrdersRaw" description="Connection to the 'SalesOrdersRaw' query in the workbook." type="5" refreshedVersion="8" background="1" saveData="1">
    <dbPr connection="Provider=Microsoft.Mashup.OleDb.1;Data Source=$Workbook$;Location=SalesOrdersRaw;Extended Properties=&quot;&quot;" command="SELECT * FROM [SalesOrders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<sst xmlns="http://schemas.openxmlformats.org/spreadsheetml/2006/main" count="14060" uniqueCount="1011">
  <si>
    <t>Dataset 1 - Sales Performance Analysis</t>
  </si>
  <si>
    <t>Portfolio dataset for analyzing revenue, profit, product performance, sales channel, region, and order status.</t>
  </si>
  <si>
    <t>Item</t>
  </si>
  <si>
    <t>Details</t>
  </si>
  <si>
    <t>Recommended Use</t>
  </si>
  <si>
    <t>Use this dataset for an Excel portfolio project.</t>
  </si>
  <si>
    <t>Expected Output</t>
  </si>
  <si>
    <t>Cleaned data, summary analysis, dashboard, business insights, and GitHub README.</t>
  </si>
  <si>
    <t>Important</t>
  </si>
  <si>
    <t>This dataset includes intentional data quality issues for practice.</t>
  </si>
  <si>
    <t>Business Style</t>
  </si>
  <si>
    <t>Explain data cleaning in business terms: issue, risk, and action taken.</t>
  </si>
  <si>
    <t>Sales Orders Raw</t>
  </si>
  <si>
    <t>Raw order-level dataset with intentional data quality issues.</t>
  </si>
  <si>
    <t>Order ID</t>
  </si>
  <si>
    <t>Order Date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</si>
  <si>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</si>
  <si>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</si>
  <si>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</si>
  <si>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</si>
  <si>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</si>
  <si>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</si>
  <si>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</si>
  <si>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</si>
  <si>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</si>
  <si>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</si>
  <si>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</si>
  <si>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</si>
  <si>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Sales Rep</t>
  </si>
  <si>
    <t>ORD-0001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</si>
  <si>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</si>
  <si>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</si>
  <si>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</si>
  <si>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</si>
  <si>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</si>
  <si>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</si>
  <si>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</si>
  <si>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</si>
  <si>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</si>
  <si>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</si>
  <si>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</si>
  <si>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</si>
  <si>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</si>
  <si>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</si>
  <si>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</si>
  <si>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</si>
  <si>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</si>
  <si>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</si>
  <si>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</si>
  <si>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</si>
  <si>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</si>
  <si>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</si>
  <si>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</si>
  <si>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</si>
  <si>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</si>
  <si>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</si>
  <si>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</si>
  <si>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</si>
  <si>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</si>
  <si>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</si>
  <si>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</si>
  <si>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</si>
  <si>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</si>
  <si>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</si>
  <si>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</si>
  <si>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</si>
  <si>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</si>
  <si>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</si>
  <si>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</si>
  <si>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</si>
  <si>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</si>
  <si>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</si>
  <si>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</si>
  <si>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</si>
  <si>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</si>
  <si>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</si>
  <si>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</si>
  <si>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</si>
  <si>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</si>
  <si>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</si>
  <si>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</si>
  <si>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</si>
  <si>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</si>
  <si>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</si>
  <si>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</si>
  <si>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</si>
  <si>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</si>
  <si>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</si>
  <si>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</si>
  <si>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</si>
  <si>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</si>
  <si>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</si>
  <si>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ORD-0014</t>
  </si>
  <si>
    <t>Nadia</t>
  </si>
  <si>
    <t>ORD-0015</t>
  </si>
  <si>
    <t>PT Sinar Jaya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</si>
  <si>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</si>
  <si>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</si>
  <si>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</si>
  <si>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</si>
  <si>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</si>
  <si>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</si>
  <si>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</si>
  <si>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</si>
  <si>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</si>
  <si>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</si>
  <si>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</si>
  <si>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</si>
  <si>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</si>
  <si>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</si>
  <si>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</si>
  <si>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</si>
  <si>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</si>
  <si>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</si>
  <si>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</si>
  <si>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</si>
  <si>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</si>
  <si>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</si>
  <si>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</si>
  <si>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</si>
  <si>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BDG</t>
  </si>
  <si>
    <t>ORD-0038</t>
  </si>
  <si>
    <t xml:space="preserve"> completed </t>
  </si>
  <si>
    <t>ORD-0039</t>
  </si>
  <si>
    <t>ORD-0040</t>
  </si>
  <si>
    <t xml:space="preserve"> electronics </t>
  </si>
  <si>
    <t>ORD-0041</t>
  </si>
  <si>
    <t>Rp 2.375.000</t>
  </si>
  <si>
    <t>ORD-0042</t>
  </si>
  <si>
    <t>ORD-0043</t>
  </si>
  <si>
    <t xml:space="preserve"> retail </t>
  </si>
  <si>
    <t>ORD-0044</t>
  </si>
  <si>
    <t>ORD-0045</t>
  </si>
  <si>
    <t>ORD-0046</t>
  </si>
  <si>
    <t>ORD-0047</t>
  </si>
  <si>
    <t>11/02/2026</t>
  </si>
  <si>
    <t>ORD-0048</t>
  </si>
  <si>
    <t>ORD-0049</t>
  </si>
  <si>
    <t>ORD-0050</t>
  </si>
  <si>
    <t>ORD-0051</t>
  </si>
  <si>
    <t>ORD-0052</t>
  </si>
  <si>
    <t>medan</t>
  </si>
  <si>
    <t>ORD-0053</t>
  </si>
  <si>
    <t>ORD-0054</t>
  </si>
  <si>
    <t>ORD-0055</t>
  </si>
  <si>
    <t>ORD-0056</t>
  </si>
  <si>
    <t>COMPLETED</t>
  </si>
  <si>
    <t>ORD-0057</t>
  </si>
  <si>
    <t>ORD-0058</t>
  </si>
  <si>
    <t>STATIONERY</t>
  </si>
  <si>
    <t>ORD-0059</t>
  </si>
  <si>
    <t>01/24/2026</t>
  </si>
  <si>
    <t>ORD-0060</t>
  </si>
  <si>
    <t>ORD-0061</t>
  </si>
  <si>
    <t>ONLINE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</si>
  <si>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</si>
  <si>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</si>
  <si>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</si>
  <si>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</si>
  <si>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</si>
  <si>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</si>
  <si>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</si>
  <si>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</si>
  <si>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</si>
  <si>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</si>
  <si>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p-4001</t>
  </si>
  <si>
    <t>ORD-0072</t>
  </si>
  <si>
    <t>ORD-0073</t>
  </si>
  <si>
    <t>ORD-0074</t>
  </si>
  <si>
    <t>JKT</t>
  </si>
  <si>
    <t>ORD-0075</t>
  </si>
  <si>
    <t>ORD-0076</t>
  </si>
  <si>
    <t>ORD-0077</t>
  </si>
  <si>
    <t>ORD-0078</t>
  </si>
  <si>
    <t>ORD-0079</t>
  </si>
  <si>
    <t>ORD-0080</t>
  </si>
  <si>
    <t>ORD-0081</t>
  </si>
  <si>
    <t xml:space="preserve"> pending </t>
  </si>
  <si>
    <t>ORD-0082</t>
  </si>
  <si>
    <t>Rp 1.306.250</t>
  </si>
  <si>
    <t>ORD-0083</t>
  </si>
  <si>
    <t xml:space="preserve"> accessories 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</si>
  <si>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</si>
  <si>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</si>
  <si>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</si>
  <si>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</si>
  <si>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</si>
  <si>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</si>
  <si>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</si>
  <si>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</si>
  <si>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</si>
  <si>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</si>
  <si>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</si>
  <si>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22/01/2026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</si>
  <si>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</si>
  <si>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</si>
  <si>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</si>
  <si>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</si>
  <si>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</si>
  <si>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</si>
  <si>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</si>
  <si>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</si>
  <si>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</si>
  <si>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</si>
  <si>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makassar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</si>
  <si>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</si>
  <si>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</si>
  <si>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</si>
  <si>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</si>
  <si>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</si>
  <si>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</si>
  <si>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</si>
  <si>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</si>
  <si>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</si>
  <si>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</si>
  <si>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</si>
  <si>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</si>
  <si>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</si>
  <si>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RETURNED</t>
  </si>
  <si>
    <t>ORD-0118</t>
  </si>
  <si>
    <t>01/04/2026</t>
  </si>
  <si>
    <t>ORD-0119</t>
  </si>
  <si>
    <t>FURNITURE</t>
  </si>
  <si>
    <t>ORD-0120</t>
  </si>
  <si>
    <t>ORD-0121</t>
  </si>
  <si>
    <t>ORD-0122</t>
  </si>
  <si>
    <t>RETAIL</t>
  </si>
  <si>
    <t>ORD-0123</t>
  </si>
  <si>
    <t>Rp 735.000</t>
  </si>
  <si>
    <t>ORD-0124</t>
  </si>
  <si>
    <t>ORD-0125</t>
  </si>
  <si>
    <t>ORD-0126</t>
  </si>
  <si>
    <t>ORD-0127</t>
  </si>
  <si>
    <t>ORD-0128</t>
  </si>
  <si>
    <t>ORD-0129</t>
  </si>
  <si>
    <t xml:space="preserve"> online 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</si>
  <si>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</si>
  <si>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</si>
  <si>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</si>
  <si>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</si>
  <si>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</si>
  <si>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</si>
  <si>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</si>
  <si>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</si>
  <si>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</si>
  <si>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</si>
  <si>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</si>
  <si>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</si>
  <si>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12/03/2026</t>
  </si>
  <si>
    <t>ORD-0142</t>
  </si>
  <si>
    <t>p-2002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</si>
  <si>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</si>
  <si>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</si>
  <si>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</si>
  <si>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</si>
  <si>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</si>
  <si>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</si>
  <si>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</si>
  <si>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</si>
  <si>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</si>
  <si>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</si>
  <si>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</si>
  <si>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</si>
  <si>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</si>
  <si>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</si>
  <si>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</si>
  <si>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</si>
  <si>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</si>
  <si>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</si>
  <si>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</si>
  <si>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</si>
  <si>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</si>
  <si>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</si>
  <si>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Rp 8.787.500</t>
  </si>
  <si>
    <t>ORD-0165</t>
  </si>
  <si>
    <t>ORD-0166</t>
  </si>
  <si>
    <t>ORD-0167</t>
  </si>
  <si>
    <t>ORD-0168</t>
  </si>
  <si>
    <t>ORD-0169</t>
  </si>
  <si>
    <t xml:space="preserve"> furniture </t>
  </si>
  <si>
    <t>ORD-0170</t>
  </si>
  <si>
    <t>ORD-0171</t>
  </si>
  <si>
    <t>ORD-0172</t>
  </si>
  <si>
    <t xml:space="preserve"> marketplace </t>
  </si>
  <si>
    <t>ORD-0173</t>
  </si>
  <si>
    <t>ORD-0174</t>
  </si>
  <si>
    <t>ORD-0175</t>
  </si>
  <si>
    <t>ORD-0176</t>
  </si>
  <si>
    <t>ORD-0177</t>
  </si>
  <si>
    <t>01/27/2026</t>
  </si>
  <si>
    <t>ORD-0178</t>
  </si>
  <si>
    <t>ORD-0179</t>
  </si>
  <si>
    <t>ORD-0180</t>
  </si>
  <si>
    <t>ELECTRONICS</t>
  </si>
  <si>
    <t>ORD-0181</t>
  </si>
  <si>
    <t>ORD-0182</t>
  </si>
  <si>
    <t>ORD-0183</t>
  </si>
  <si>
    <t>MARKETPLACE</t>
  </si>
  <si>
    <t>ORD-0184</t>
  </si>
  <si>
    <t>ORD-0185</t>
  </si>
  <si>
    <t>ORD-0186</t>
  </si>
  <si>
    <t>ORD-0187</t>
  </si>
  <si>
    <t>ORD-0188</t>
  </si>
  <si>
    <t>14/03/2026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</si>
  <si>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</si>
  <si>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</si>
  <si>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</si>
  <si>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</si>
  <si>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</si>
  <si>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</si>
  <si>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</si>
  <si>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</si>
  <si>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</si>
  <si>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</si>
  <si>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</si>
  <si>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</si>
  <si>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</si>
  <si>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</si>
  <si>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</si>
  <si>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</si>
  <si>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</si>
  <si>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Rp 119.600</t>
  </si>
  <si>
    <t>ORD-0206</t>
  </si>
  <si>
    <t>ORD-0207</t>
  </si>
  <si>
    <t>ORD-0208</t>
  </si>
  <si>
    <t>bandung</t>
  </si>
  <si>
    <t>ORD-0209</t>
  </si>
  <si>
    <t>ORD-0210</t>
  </si>
  <si>
    <t>ORD-0211</t>
  </si>
  <si>
    <t>ORD-0212</t>
  </si>
  <si>
    <t>ORD-0213</t>
  </si>
  <si>
    <t>p-1002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</si>
  <si>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</si>
  <si>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</si>
  <si>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</si>
  <si>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</si>
  <si>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</si>
  <si>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</si>
  <si>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</si>
  <si>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</si>
  <si>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</si>
  <si>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</si>
  <si>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</si>
  <si>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</si>
  <si>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</si>
  <si>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</si>
  <si>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</si>
  <si>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</si>
  <si>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</si>
  <si>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</si>
  <si>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</si>
  <si>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</si>
  <si>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</si>
  <si>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</si>
  <si>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25/01/2026</t>
  </si>
  <si>
    <t>ORD-0236</t>
  </si>
  <si>
    <t>06/04/2026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</si>
  <si>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</si>
  <si>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</si>
  <si>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</si>
  <si>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</si>
  <si>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</si>
  <si>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</si>
  <si>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</si>
  <si>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</si>
  <si>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</si>
  <si>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</si>
  <si>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Rp 2.356.000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</si>
  <si>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</si>
  <si>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</si>
  <si>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</si>
  <si>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</si>
  <si>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</si>
  <si>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</si>
  <si>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</si>
  <si>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</si>
  <si>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</si>
  <si>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 xml:space="preserve"> stationery </t>
  </si>
  <si>
    <t>ORD-0256</t>
  </si>
  <si>
    <t>ORD-0257</t>
  </si>
  <si>
    <t>ORD-0258</t>
  </si>
  <si>
    <t xml:space="preserve"> corporate </t>
  </si>
  <si>
    <t>ORD-0259</t>
  </si>
  <si>
    <t>ORD-0260</t>
  </si>
  <si>
    <t>surabaya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</si>
  <si>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</si>
  <si>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</si>
  <si>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</si>
  <si>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</si>
  <si>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</si>
  <si>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</si>
  <si>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</si>
  <si>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</si>
  <si>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</si>
  <si>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</si>
  <si>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</si>
  <si>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</si>
  <si>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</si>
  <si>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</si>
  <si>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</si>
  <si>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</si>
  <si>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</si>
  <si>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</si>
  <si>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</si>
  <si>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</si>
  <si>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</si>
  <si>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</si>
  <si>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31/05/2026</t>
  </si>
  <si>
    <t>ORD-0283</t>
  </si>
  <si>
    <t>ORD-0284</t>
  </si>
  <si>
    <t>p-5001</t>
  </si>
  <si>
    <t>ORD-0285</t>
  </si>
  <si>
    <t>ORD-0286</t>
  </si>
  <si>
    <t>ORD-0287</t>
  </si>
  <si>
    <t>Rp 831.250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</si>
  <si>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</si>
  <si>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</si>
  <si>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</si>
  <si>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</si>
  <si>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</si>
  <si>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</si>
  <si>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</si>
  <si>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</si>
  <si>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03/18/2026</t>
  </si>
  <si>
    <t>ORD-0296</t>
  </si>
  <si>
    <t>ORD-0297</t>
  </si>
  <si>
    <t>ORD-0298</t>
  </si>
  <si>
    <t>ORD-0299</t>
  </si>
  <si>
    <t>ORD-0300</t>
  </si>
  <si>
    <t>PENDING</t>
  </si>
  <si>
    <t>ORD-0301</t>
  </si>
  <si>
    <t>ORD-0302</t>
  </si>
  <si>
    <t>ORD-0303</t>
  </si>
  <si>
    <t>ORD-0304</t>
  </si>
  <si>
    <t>ORD-0305</t>
  </si>
  <si>
    <t>CORPORATE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</si>
  <si>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</si>
  <si>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</si>
  <si>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</si>
  <si>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</si>
  <si>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</si>
  <si>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</si>
  <si>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</si>
  <si>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</si>
  <si>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</si>
  <si>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</si>
  <si>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</si>
  <si>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</si>
  <si>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</si>
  <si>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</si>
  <si>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</si>
  <si>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</si>
  <si>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</si>
  <si>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</si>
  <si>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</si>
  <si>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</si>
  <si>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</si>
  <si>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</si>
  <si>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</si>
  <si>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Rp 72.250</t>
  </si>
  <si>
    <t>ORD-0329</t>
  </si>
  <si>
    <t>02/01/2026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</si>
  <si>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</si>
  <si>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</si>
  <si>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</si>
  <si>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</si>
  <si>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</si>
  <si>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</si>
  <si>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</si>
  <si>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</si>
  <si>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</si>
  <si>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</si>
  <si>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</si>
  <si>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</si>
  <si>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</si>
  <si>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</si>
  <si>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</si>
  <si>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</si>
  <si>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</si>
  <si>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</si>
  <si>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</si>
  <si>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</si>
  <si>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</si>
  <si>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</si>
  <si>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</si>
  <si>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</si>
  <si>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</si>
  <si>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01/01/2026</t>
  </si>
  <si>
    <t>ORD-0355</t>
  </si>
  <si>
    <t>p-3001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</si>
  <si>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</si>
  <si>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</si>
  <si>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</si>
  <si>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</si>
  <si>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</si>
  <si>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</si>
  <si>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</si>
  <si>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</si>
  <si>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ACCESSORIES</t>
  </si>
  <si>
    <t>ORD-0364</t>
  </si>
  <si>
    <t>jakarta</t>
  </si>
  <si>
    <t>ORD-0365</t>
  </si>
  <si>
    <t>ORD-0366</t>
  </si>
  <si>
    <t>ORD-0367</t>
  </si>
  <si>
    <t>ORD-0368</t>
  </si>
  <si>
    <t>ORD-0369</t>
  </si>
  <si>
    <t>Rp 3.697.500</t>
  </si>
  <si>
    <t>ORD-0370</t>
  </si>
  <si>
    <t>SBY</t>
  </si>
  <si>
    <t>ORD-0371</t>
  </si>
  <si>
    <t>ORD-0372</t>
  </si>
  <si>
    <t>ORD-0373</t>
  </si>
  <si>
    <t>ORD-0374</t>
  </si>
  <si>
    <t>ORD-0375</t>
  </si>
  <si>
    <t>ORD-0376</t>
  </si>
  <si>
    <t>27/05/2026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</si>
  <si>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</si>
  <si>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</si>
  <si>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</si>
  <si>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</si>
  <si>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</si>
  <si>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</si>
  <si>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</si>
  <si>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</si>
  <si>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</si>
  <si>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</si>
  <si>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</si>
  <si>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</si>
  <si>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</si>
  <si>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</si>
  <si>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</si>
  <si>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</si>
  <si>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</si>
  <si>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</si>
  <si>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</si>
  <si>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</si>
  <si>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</si>
  <si>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</si>
  <si>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</si>
  <si>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</si>
  <si>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</si>
  <si>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</si>
  <si>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</si>
  <si>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</si>
  <si>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</si>
  <si>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</si>
  <si>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</si>
  <si>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</si>
  <si>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</si>
  <si>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</si>
  <si>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Rp 892.500</t>
  </si>
  <si>
    <t>ORD-0411</t>
  </si>
  <si>
    <t>ORD-0412</t>
  </si>
  <si>
    <t>ORD-0413</t>
  </si>
  <si>
    <t>04/25/2026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</si>
  <si>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</si>
  <si>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</si>
  <si>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</si>
  <si>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</si>
  <si>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</si>
  <si>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</si>
  <si>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</si>
  <si>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</si>
  <si>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</si>
  <si>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</si>
  <si>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12/04/2026</t>
  </si>
  <si>
    <t>ORD-0424</t>
  </si>
  <si>
    <t>ORD-0425</t>
  </si>
  <si>
    <t>ORD-0426</t>
  </si>
  <si>
    <t>p-1003</t>
  </si>
  <si>
    <t>ORD-0427</t>
  </si>
  <si>
    <t xml:space="preserve"> office supplies 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</si>
  <si>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</si>
  <si>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</si>
  <si>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</si>
  <si>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</si>
  <si>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</si>
  <si>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</si>
  <si>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</si>
  <si>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</si>
  <si>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</si>
  <si>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</si>
  <si>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</si>
  <si>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</si>
  <si>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</si>
  <si>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</si>
  <si>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</si>
  <si>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</si>
  <si>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</si>
  <si>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</si>
  <si>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</si>
  <si>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</si>
  <si>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</si>
  <si>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</si>
  <si>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</si>
  <si>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</si>
  <si>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Rp 1.353.750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</si>
  <si>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</si>
  <si>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</si>
  <si>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</si>
  <si>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</si>
  <si>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</si>
  <si>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</si>
  <si>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</si>
  <si>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</si>
  <si>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</si>
  <si>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</si>
  <si>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</si>
  <si>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</si>
  <si>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</si>
  <si>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</si>
  <si>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</si>
  <si>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</si>
  <si>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</si>
  <si>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</si>
  <si>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</si>
  <si>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09/03/2026</t>
  </si>
  <si>
    <t>ORD-0471</t>
  </si>
  <si>
    <t>ORD-0472</t>
  </si>
  <si>
    <t>02/08/2026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</si>
  <si>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</si>
  <si>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</si>
  <si>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</si>
  <si>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</si>
  <si>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</si>
  <si>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</si>
  <si>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</si>
  <si>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</si>
  <si>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</si>
  <si>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</si>
  <si>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</si>
  <si>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</si>
  <si>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</si>
  <si>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</si>
  <si>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</si>
  <si>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</si>
  <si>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</si>
  <si>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</si>
  <si>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</si>
  <si>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</si>
  <si>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Rp 1.870.000</t>
  </si>
  <si>
    <t>ORD-0493</t>
  </si>
  <si>
    <t>ORD-0494</t>
  </si>
  <si>
    <t>ORD-0495</t>
  </si>
  <si>
    <t>ORD-0496</t>
  </si>
  <si>
    <t>ORD-0497</t>
  </si>
  <si>
    <t>p-6001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</si>
  <si>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</si>
  <si>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</si>
  <si>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</si>
  <si>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</si>
  <si>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</si>
  <si>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</si>
  <si>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</si>
  <si>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</si>
  <si>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</si>
  <si>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</si>
  <si>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</si>
  <si>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</si>
  <si>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</si>
  <si>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</si>
  <si>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</si>
  <si>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</si>
  <si>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</si>
  <si>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</si>
  <si>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</si>
  <si>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</si>
  <si>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10/04/2026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</si>
  <si>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</si>
  <si>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</si>
  <si>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</si>
  <si>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</si>
  <si>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</si>
  <si>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</si>
  <si>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</si>
  <si>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</si>
  <si>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</si>
  <si>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</si>
  <si>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</si>
  <si>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</si>
  <si>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</si>
  <si>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</si>
  <si>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01/20/2026</t>
  </si>
  <si>
    <t>ORD-0532</t>
  </si>
  <si>
    <t>ORD-0533</t>
  </si>
  <si>
    <t>Rp 1.188.250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</si>
  <si>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</si>
  <si>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</si>
  <si>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</si>
  <si>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</si>
  <si>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</si>
  <si>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</si>
  <si>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</si>
  <si>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</si>
  <si>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</si>
  <si>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</si>
  <si>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</si>
  <si>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</si>
  <si>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</si>
  <si>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</si>
  <si>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</si>
  <si>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</si>
  <si>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</si>
  <si>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</si>
  <si>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</si>
  <si>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</si>
  <si>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</si>
  <si>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</si>
  <si>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</si>
  <si>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</si>
  <si>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</si>
  <si>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</si>
  <si>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</si>
  <si>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</si>
  <si>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</si>
  <si>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</si>
  <si>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</si>
  <si>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30/03/2026</t>
  </si>
  <si>
    <t>ORD-0565</t>
  </si>
  <si>
    <t>ORD-0566</t>
  </si>
  <si>
    <t>ORD-0567</t>
  </si>
  <si>
    <t>ORD-0568</t>
  </si>
  <si>
    <t>p-3002</t>
  </si>
  <si>
    <t>ORD-0569</t>
  </si>
  <si>
    <t>ORD-0570</t>
  </si>
  <si>
    <t>ORD-0571</t>
  </si>
  <si>
    <t>ORD-0572</t>
  </si>
  <si>
    <t>ORD-0573</t>
  </si>
  <si>
    <t>ORD-0574</t>
  </si>
  <si>
    <t>Rp 5.106.000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</si>
  <si>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</si>
  <si>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</si>
  <si>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</si>
  <si>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</si>
  <si>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</si>
  <si>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</si>
  <si>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</si>
  <si>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</si>
  <si>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</si>
  <si>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</si>
  <si>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</si>
  <si>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</si>
  <si>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</si>
  <si>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</si>
  <si>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</si>
  <si>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</si>
  <si>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02/17/2026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</si>
  <si>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</si>
  <si>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</si>
  <si>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</si>
  <si>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</si>
  <si>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</si>
  <si>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</si>
  <si>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</si>
  <si>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</si>
  <si>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</si>
  <si>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</si>
  <si>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</si>
  <si>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</si>
  <si>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</si>
  <si>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</si>
  <si>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</si>
  <si>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</si>
  <si>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</si>
  <si>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OFFICE SUPPLIES</t>
  </si>
  <si>
    <t>ORD-0608</t>
  </si>
  <si>
    <t>ORD-0609</t>
  </si>
  <si>
    <t>ORD-0610</t>
  </si>
  <si>
    <t>ORD-0611</t>
  </si>
  <si>
    <t>20/06/2026</t>
  </si>
  <si>
    <t>ORD-0612</t>
  </si>
  <si>
    <t>ORD-0613</t>
  </si>
  <si>
    <t>ORD-0614</t>
  </si>
  <si>
    <t>ORD-0615</t>
  </si>
  <si>
    <t>Rp 358.800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</si>
  <si>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</si>
  <si>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</si>
  <si>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</si>
  <si>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</si>
  <si>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</si>
  <si>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</si>
  <si>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</si>
  <si>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</si>
  <si>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</si>
  <si>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</si>
  <si>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</si>
  <si>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</si>
  <si>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</si>
  <si>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</si>
  <si>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</si>
  <si>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</si>
  <si>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</si>
  <si>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</si>
  <si>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</si>
  <si>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</si>
  <si>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</si>
  <si>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</si>
  <si>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</si>
  <si>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</si>
  <si>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p-2001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</si>
  <si>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</si>
  <si>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</si>
  <si>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</si>
  <si>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</si>
  <si>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</si>
  <si>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</si>
  <si>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</si>
  <si>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</si>
  <si>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</si>
  <si>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</si>
  <si>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02/22/2026</t>
  </si>
  <si>
    <t>ORD-0650</t>
  </si>
  <si>
    <t>ORD-0651</t>
  </si>
  <si>
    <t>ORD-0652</t>
  </si>
  <si>
    <t>ORD-0653</t>
  </si>
  <si>
    <t>ORD-0654</t>
  </si>
  <si>
    <t>ORD-0655</t>
  </si>
  <si>
    <t>ORD-0656</t>
  </si>
  <si>
    <t>Rp 1.503.500</t>
  </si>
  <si>
    <t>ORD-0657</t>
  </si>
  <si>
    <t>ORD-0658</t>
  </si>
  <si>
    <t>25/04/2026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</si>
  <si>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</si>
  <si>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</si>
  <si>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</si>
  <si>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</si>
  <si>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</si>
  <si>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</si>
  <si>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</si>
  <si>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</si>
  <si>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</si>
  <si>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</si>
  <si>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</si>
  <si>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</si>
  <si>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</si>
  <si>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</si>
  <si>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</si>
  <si>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</si>
  <si>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</si>
  <si>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</si>
  <si>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</si>
  <si>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</si>
  <si>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</si>
  <si>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</si>
  <si>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</si>
  <si>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</si>
  <si>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</si>
  <si>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</si>
  <si>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</si>
  <si>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</si>
  <si>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</si>
  <si>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</si>
  <si>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</si>
  <si>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</si>
  <si>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</si>
  <si>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</si>
  <si>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</si>
  <si>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</si>
  <si>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</si>
  <si>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</si>
  <si>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</si>
  <si>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Rp 970.000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</si>
  <si>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</si>
  <si>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</si>
  <si>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</si>
  <si>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</si>
  <si>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</si>
  <si>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</si>
  <si>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</si>
  <si>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</si>
  <si>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21/05/2026</t>
  </si>
  <si>
    <t>ORD-0706</t>
  </si>
  <si>
    <t>ORD-0707</t>
  </si>
  <si>
    <t>ORD-0708</t>
  </si>
  <si>
    <t>03/21/2026</t>
  </si>
  <si>
    <t>ORD-0709</t>
  </si>
  <si>
    <t>ORD-0710</t>
  </si>
  <si>
    <t>p-1001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</si>
  <si>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</si>
  <si>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</si>
  <si>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</si>
  <si>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</si>
  <si>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</si>
  <si>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</si>
  <si>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</si>
  <si>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</si>
  <si>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</si>
  <si>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</si>
  <si>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Data Dictionary</t>
  </si>
  <si>
    <t>Column definitions for the Sales Performance dataset.</t>
  </si>
  <si>
    <t>Column</t>
  </si>
  <si>
    <t>Meaning</t>
  </si>
  <si>
    <t>Example</t>
  </si>
  <si>
    <t>Unique order identifier</t>
  </si>
  <si>
    <t>Date when the order was recorded</t>
  </si>
  <si>
    <t>2026-03-15</t>
  </si>
  <si>
    <t>Customer or account name</t>
  </si>
  <si>
    <t>Sales region</t>
  </si>
  <si>
    <t>Sales channel</t>
  </si>
  <si>
    <t>Order completion condition</t>
  </si>
  <si>
    <t>Product identifier</t>
  </si>
  <si>
    <t>Product label</t>
  </si>
  <si>
    <t>Product category</t>
  </si>
  <si>
    <t>Units sold</t>
  </si>
  <si>
    <t>3</t>
  </si>
  <si>
    <t>Discount applied to the order</t>
  </si>
  <si>
    <t>5%</t>
  </si>
  <si>
    <t>Sales value after discount</t>
  </si>
  <si>
    <t>1050000</t>
  </si>
  <si>
    <t>Estimated product cost</t>
  </si>
  <si>
    <t>630000</t>
  </si>
  <si>
    <t>Revenue minus cost</t>
  </si>
  <si>
    <t>420000</t>
  </si>
  <si>
    <t>Salesperson responsible for the order</t>
  </si>
  <si>
    <t>Suggested Business Questions</t>
  </si>
  <si>
    <t>Use these questions to guide analysis and dashboard design.</t>
  </si>
  <si>
    <t>Question</t>
  </si>
  <si>
    <t>Suggested Analysis</t>
  </si>
  <si>
    <t>Which product category generates the highest revenue?</t>
  </si>
  <si>
    <t>Group revenue by category.</t>
  </si>
  <si>
    <t>Which category has the strongest profit margin?</t>
  </si>
  <si>
    <t>Compare profit divided by revenue by category.</t>
  </si>
  <si>
    <t>Which region performs best?</t>
  </si>
  <si>
    <t>Compare revenue and profit by region.</t>
  </si>
  <si>
    <t>Which channel contributes the most completed sales?</t>
  </si>
  <si>
    <t>Filter completed orders and compare revenue by channel.</t>
  </si>
  <si>
    <t>Are there months with unusually high or low performance?</t>
  </si>
  <si>
    <t>Analyze monthly revenue and profit trend.</t>
  </si>
  <si>
    <t>Which rows should be reviewed before dashboarding?</t>
  </si>
  <si>
    <t>Use the cleaning log and issue flags.</t>
  </si>
  <si>
    <t>Data Quality &amp; Preparation Log</t>
  </si>
  <si>
    <t>Use this sheet to document cleaning decisions in business language.</t>
  </si>
  <si>
    <t>Issue Area</t>
  </si>
  <si>
    <t>What Was Found</t>
  </si>
  <si>
    <t>Business Risk</t>
  </si>
  <si>
    <t>Action Taken</t>
  </si>
  <si>
    <t>Missing values</t>
  </si>
  <si>
    <t>Duplicate records</t>
  </si>
  <si>
    <t>Inconsistent categories</t>
  </si>
  <si>
    <t>Date formatting</t>
  </si>
  <si>
    <t>Numeric fields</t>
  </si>
  <si>
    <t>Outliers or unusual values</t>
  </si>
  <si>
    <t>Month Name</t>
  </si>
  <si>
    <t>Month</t>
  </si>
  <si>
    <t>Februari</t>
  </si>
  <si>
    <t>Juni</t>
  </si>
  <si>
    <t>Mei</t>
  </si>
  <si>
    <t>Maret</t>
  </si>
  <si>
    <t>Januari</t>
  </si>
  <si>
    <t>April</t>
  </si>
  <si>
    <t>Agustus</t>
  </si>
  <si>
    <t>Quality Flag</t>
  </si>
  <si>
    <t>Cek Duplikat</t>
  </si>
  <si>
    <t>Cek Qty</t>
  </si>
  <si>
    <t>Cek Tanggal</t>
  </si>
  <si>
    <t>Cek Revenue</t>
  </si>
  <si>
    <t>Cek Status</t>
  </si>
  <si>
    <t>Cleaned Sales Data</t>
  </si>
  <si>
    <t>Cleaned table used for analysis and dashboard.</t>
  </si>
  <si>
    <t>Row Labels</t>
  </si>
  <si>
    <t>Grand Total</t>
  </si>
  <si>
    <t>Sum of Revenue</t>
  </si>
  <si>
    <t>Clean</t>
  </si>
  <si>
    <t>Revenue per Category</t>
  </si>
  <si>
    <t>Profit Margin per Category</t>
  </si>
  <si>
    <t>Sum of Profit</t>
  </si>
  <si>
    <t>Profit Margin</t>
  </si>
  <si>
    <t>Revenue &amp; Profit per Region</t>
  </si>
  <si>
    <t>Revenue per Channel</t>
  </si>
  <si>
    <t>Revenue &amp; Profit per Bulan</t>
  </si>
  <si>
    <t>Total Revenue</t>
  </si>
  <si>
    <t>Total Profit</t>
  </si>
  <si>
    <t>Clean Orders</t>
  </si>
  <si>
    <t>Average Order Value</t>
  </si>
  <si>
    <t>Rows To Review</t>
  </si>
  <si>
    <t>Sales Performance Dashboard</t>
  </si>
  <si>
    <t>Profit from clean rows</t>
  </si>
  <si>
    <t>Rows used in dashboard</t>
  </si>
  <si>
    <t>Revenue per clean order</t>
  </si>
  <si>
    <t>Profit % of revenue</t>
  </si>
  <si>
    <t>Excluded from main review</t>
  </si>
  <si>
    <t>Business Readout</t>
  </si>
  <si>
    <t>Count of Order ID</t>
  </si>
  <si>
    <t>Orders By Channel</t>
  </si>
  <si>
    <t>Built from validated sales data only - rows with data issues are tracked separately so the numbers above stay reliable.</t>
  </si>
  <si>
    <t>Makassar and Jakarta bring in the most revenue, but that alone doesn't guarantee they're the most profitable - worth digging into their margins before doubling down on either region.</t>
  </si>
  <si>
    <t>Answer</t>
  </si>
  <si>
    <t>Electronics generates the highest revenue (~Rp745.989.000), more than double the next category, Furniture.</t>
  </si>
  <si>
    <t>Makassar performs best, with the highest revenue (~Rp327.737.100) and highest profit (~Rp95.278.100) among all regions.</t>
  </si>
  <si>
    <t>Yes- revenue peaked in March (~Rp297.174.300) and dropped sharply in August (~Rp495.000), suggesting a seasonal slowdown or incomplete data.</t>
  </si>
  <si>
    <t>105 out of 725 rows were flagged for review (duplicates, missing values, Returned/Cancelled orders) and excluded from the clean dashboard totals.</t>
  </si>
  <si>
    <t>8 rows with blank order date, 8 with blank quantity, 10 with blank revenue</t>
  </si>
  <si>
    <t>Would distort totals or break SUM/AVERAGE formulas</t>
  </si>
  <si>
    <t>Flagged via Quality Flag column, excluded from clean totals</t>
  </si>
  <si>
    <t>5 Order IDs appeared twice (10 rows total)</t>
  </si>
  <si>
    <t>Risk of double counting revenue</t>
  </si>
  <si>
    <t>Flagged as "Duplicate Order", kept in data (not deleted) for review</t>
  </si>
  <si>
    <t>Would break grouping in PivotTables, inflating category counts</t>
  </si>
  <si>
    <t>Standardized with Trim + Capitalize Each Word</t>
  </si>
  <si>
    <t>Order Date stored as raw serial numbers (e.g. 46096) instead of readable dates</t>
  </si>
  <si>
    <t>Dates unusable for monthly trend analysis</t>
  </si>
  <si>
    <t>Converted column to proper Date type in Power Query</t>
  </si>
  <si>
    <t>Revenue and Quantity columns needed to stay purely numeric</t>
  </si>
  <si>
    <t>Text values mixed into numeric columns would break Sum aggregation</t>
  </si>
  <si>
    <t>Verified/enforced Decimal &amp; Whole Number data types</t>
  </si>
  <si>
    <t>Some Returned orders had Revenue = 0</t>
  </si>
  <si>
    <t>Could be misread as a legitimate zero value sale instead of a return</t>
  </si>
  <si>
    <t>Flagged as "Review Status", excluded from clean revenue totals</t>
  </si>
  <si>
    <t>Retail contributes the most revenue from completed orders, slightly ahead of Corporate, Marketplace, and Online</t>
  </si>
  <si>
    <t>Stationery has the strongest profit margin (~46,88%), even though it's not the top revenue category - showing better cost efficiency relative to its sales</t>
  </si>
  <si>
    <t>Order Status had mixed casing/spacing ("completed". "COMPLETED") ; Channel had extra whitespace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</si>
</sst>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66" formatCode="0.0%"/>
  </numFmts>
  <fonts count="17" x14ac:knownFonts="1">
    <font>
      <sz val="11"/>
      <color theme="1"/>
      <name val="Calibri"/>
      <family val="2"/>
      <scheme val="minor"/>
    </font>
    <font>
      <sz val="10"/>
      <color rgb="FF667085"/>
      <name val="Aptos"/>
    </font>
    <font>
      <b/>
      <sz val="10"/>
      <color rgb="FF0B2545"/>
      <name val="Aptos"/>
    </font>
    <font>
      <sz val="10"/>
      <color theme="1"/>
      <name val="Aptos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E8F2F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65" fontId="0" fillId="0" borderId="0" xfId="0" applyNumberFormat="1"/>
    <xf numFmtId="0" fontId="7" fillId="0" borderId="0" xfId="0" applyFont="1"/>
    <xf numFmtId="0" fontId="6" fillId="0" borderId="0" xfId="0" applyFont="1" applyAlignment="1">
      <alignment vertical="center"/>
    </xf>
    <xf numFmtId="9" fontId="0" fillId="0" borderId="0" xfId="1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10" fontId="0" fillId="0" borderId="0" xfId="0" applyNumberFormat="1"/>
    <xf numFmtId="0" fontId="6" fillId="3" borderId="0" xfId="0" applyFont="1" applyFill="1"/>
    <xf numFmtId="10" fontId="6" fillId="3" borderId="0" xfId="0" applyNumberFormat="1" applyFont="1" applyFill="1"/>
    <xf numFmtId="0" fontId="6" fillId="4" borderId="2" xfId="0" applyFont="1" applyFill="1" applyBorder="1"/>
    <xf numFmtId="0" fontId="10" fillId="0" borderId="11" xfId="0" applyFont="1" applyBorder="1"/>
    <xf numFmtId="0" fontId="0" fillId="0" borderId="0" xfId="0" applyAlignment="1">
      <alignment horizontal="centerContinuous" wrapText="1"/>
    </xf>
    <xf numFmtId="0" fontId="0" fillId="0" borderId="12" xfId="0" applyBorder="1"/>
    <xf numFmtId="0" fontId="8" fillId="7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9" borderId="0" xfId="0" applyFont="1" applyFill="1"/>
    <xf numFmtId="0" fontId="10" fillId="9" borderId="0" xfId="0" applyFont="1" applyFill="1"/>
    <xf numFmtId="0" fontId="13" fillId="9" borderId="0" xfId="0" applyFont="1" applyFill="1" applyAlignment="1">
      <alignment vertical="center" wrapText="1"/>
    </xf>
    <xf numFmtId="0" fontId="8" fillId="6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Continuous"/>
    </xf>
    <xf numFmtId="0" fontId="0" fillId="0" borderId="5" xfId="0" applyBorder="1" applyAlignment="1">
      <alignment horizontal="centerContinuous" wrapText="1"/>
    </xf>
    <xf numFmtId="0" fontId="0" fillId="0" borderId="14" xfId="0" applyBorder="1" applyAlignment="1">
      <alignment horizontal="centerContinuous" wrapText="1"/>
    </xf>
    <xf numFmtId="0" fontId="8" fillId="6" borderId="15" xfId="0" applyFont="1" applyFill="1" applyBorder="1" applyAlignment="1">
      <alignment horizontal="center" vertical="center"/>
    </xf>
    <xf numFmtId="0" fontId="0" fillId="0" borderId="14" xfId="0" applyBorder="1"/>
    <xf numFmtId="0" fontId="12" fillId="0" borderId="1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3" fontId="14" fillId="8" borderId="13" xfId="0" applyNumberFormat="1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/>
    </xf>
    <xf numFmtId="3" fontId="6" fillId="10" borderId="3" xfId="0" applyNumberFormat="1" applyFont="1" applyFill="1" applyBorder="1"/>
    <xf numFmtId="0" fontId="6" fillId="10" borderId="2" xfId="0" applyFont="1" applyFill="1" applyBorder="1"/>
    <xf numFmtId="0" fontId="12" fillId="0" borderId="16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166" fontId="14" fillId="8" borderId="21" xfId="0" applyNumberFormat="1" applyFont="1" applyFill="1" applyBorder="1" applyAlignment="1">
      <alignment horizontal="center" vertical="center"/>
    </xf>
    <xf numFmtId="166" fontId="14" fillId="8" borderId="22" xfId="0" applyNumberFormat="1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/>
    </xf>
    <xf numFmtId="0" fontId="0" fillId="8" borderId="7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/>
    </xf>
    <xf numFmtId="0" fontId="15" fillId="0" borderId="0" xfId="0" applyFont="1" applyAlignment="1">
      <alignment wrapText="1"/>
    </xf>
    <xf numFmtId="0" fontId="16" fillId="3" borderId="0" xfId="0" applyFont="1" applyFill="1" applyAlignment="1">
      <alignment horizontal="left" wrapText="1"/>
    </xf>
    <xf numFmtId="0" fontId="15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[sales-performance-analysiss.xlsx]Pivot Table!PivotTable1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27867891513560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BE-4843-918E-F85419ABDE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ABE-4843-918E-F85419ABDE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BE-4843-918E-F85419ABDE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ABE-4843-918E-F85419ABDE8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ABE-4843-918E-F85419ABDE8E}"/>
              </c:ext>
            </c:extLst>
          </c:dPt>
          <c:cat>
            <c:strRef>
              <c:f>'Pivot Table'!$A$6:$A$11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'Pivot Table'!$B$6:$B$11</c:f>
              <c:numCache>
                <c:formatCode>#,##0</c:formatCode>
                <c:ptCount val="5"/>
                <c:pt idx="0">
                  <c:v>141661000</c:v>
                </c:pt>
                <c:pt idx="1">
                  <c:v>745989000</c:v>
                </c:pt>
                <c:pt idx="2">
                  <c:v>467981250</c:v>
                </c:pt>
                <c:pt idx="3">
                  <c:v>35866250</c:v>
                </c:pt>
                <c:pt idx="4">
                  <c:v>38839400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BE-4843-918E-F85419ABD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592879"/>
        <c:axId val="1825594319"/>
      </c:barChart>
      <c:catAx>
        <c:axId val="1825592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Category</a:t>
                </a:r>
              </a:p>
            </c:rich>
          </c:tx>
          <c:layout>
            <c:manualLayout>
              <c:xMode val="edge"/>
              <c:yMode val="edge"/>
              <c:x val="0.46205619507265488"/>
              <c:y val="0.88658955545455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94319"/>
        <c:crosses val="autoZero"/>
        <c:auto val="1"/>
        <c:lblAlgn val="ctr"/>
        <c:lblOffset val="100"/>
        <c:noMultiLvlLbl val="0"/>
      </c:catAx>
      <c:valAx>
        <c:axId val="182559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[sales-performance-analysiss.xlsx]Pivot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Monthly Revenue</a:t>
            </a:r>
            <a:r>
              <a:rPr lang="en-ID" baseline="0"/>
              <a:t> and Profit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Table'!$A$54:$A$61</c:f>
              <c:strCache>
                <c:ptCount val="7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Agustus</c:v>
                </c:pt>
              </c:strCache>
            </c:strRef>
          </c:cat>
          <c:val>
            <c:numRef>
              <c:f>'Pivot Table'!$B$54:$B$61</c:f>
              <c:numCache>
                <c:formatCode>#,##0</c:formatCode>
                <c:ptCount val="7"/>
                <c:pt idx="0">
                  <c:v>286005350</c:v>
                </c:pt>
                <c:pt idx="1">
                  <c:v>172326400</c:v>
                </c:pt>
                <c:pt idx="2">
                  <c:v>297174300</c:v>
                </c:pt>
                <c:pt idx="3">
                  <c:v>235103300</c:v>
                </c:pt>
                <c:pt idx="4">
                  <c:v>203396100</c:v>
                </c:pt>
                <c:pt idx="5">
                  <c:v>235836450</c:v>
                </c:pt>
                <c:pt idx="6">
                  <c:v>495000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1B-43C9-8CCD-ABE11BC2FF9B}"/>
            </c:ext>
          </c:extLst>
        </c:ser>
        <c:ser>
          <c:idx val="1"/>
          <c:order val="1"/>
          <c:tx>
            <c:strRef>
              <c:f>'Pivot Table'!$C$53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Table'!$A$54:$A$61</c:f>
              <c:strCache>
                <c:ptCount val="7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Agustus</c:v>
                </c:pt>
              </c:strCache>
            </c:strRef>
          </c:cat>
          <c:val>
            <c:numRef>
              <c:f>'Pivot Table'!$C$54:$C$61</c:f>
              <c:numCache>
                <c:formatCode>#,##0</c:formatCode>
                <c:ptCount val="7"/>
                <c:pt idx="0">
                  <c:v>83727350</c:v>
                </c:pt>
                <c:pt idx="1">
                  <c:v>50640400</c:v>
                </c:pt>
                <c:pt idx="2">
                  <c:v>89208300</c:v>
                </c:pt>
                <c:pt idx="3">
                  <c:v>69448300</c:v>
                </c:pt>
                <c:pt idx="4">
                  <c:v>61886100</c:v>
                </c:pt>
                <c:pt idx="5">
                  <c:v>68766450</c:v>
                </c:pt>
                <c:pt idx="6">
                  <c:v>185000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1B-43C9-8CCD-ABE11BC2F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269855"/>
        <c:axId val="1704270335"/>
      </c:lineChart>
      <c:catAx>
        <c:axId val="170426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270335"/>
        <c:crosses val="autoZero"/>
        <c:auto val="1"/>
        <c:lblAlgn val="ctr"/>
        <c:lblOffset val="100"/>
        <c:noMultiLvlLbl val="0"/>
      </c:catAx>
      <c:valAx>
        <c:axId val="170427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26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Table'!$F$30</c:f>
              <c:strCache>
                <c:ptCount val="1"/>
                <c:pt idx="0">
                  <c:v>Sum of Revenue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F1-4866-9781-BBE0A6C33D2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F1-4866-9781-BBE0A6C33D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F1-4866-9781-BBE0A6C33D2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1F1-4866-9781-BBE0A6C33D2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1-4866-9781-BBE0A6C33D22}"/>
              </c:ext>
            </c:extLst>
          </c:dPt>
          <c:cat>
            <c:strRef>
              <c:f>'Pivot Table'!$E$31:$E$35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'Pivot Table'!$F$31:$F$35</c:f>
              <c:numCache>
                <c:formatCode>#,##0</c:formatCode>
                <c:ptCount val="5"/>
                <c:pt idx="0">
                  <c:v>263815150</c:v>
                </c:pt>
                <c:pt idx="1">
                  <c:v>295257050</c:v>
                </c:pt>
                <c:pt idx="2">
                  <c:v>327737100</c:v>
                </c:pt>
                <c:pt idx="3">
                  <c:v>265208100</c:v>
                </c:pt>
                <c:pt idx="4">
                  <c:v>278319500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7-4CA0-BBF2-335174AFE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3295311"/>
        <c:axId val="1753298671"/>
      </c:barChart>
      <c:catAx>
        <c:axId val="1753295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98671"/>
        <c:crosses val="autoZero"/>
        <c:auto val="1"/>
        <c:lblAlgn val="ctr"/>
        <c:lblOffset val="100"/>
        <c:noMultiLvlLbl val="0"/>
      </c:catAx>
      <c:valAx>
        <c:axId val="175329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9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[sales-performance-analysiss.xlsx]Pivot Table!PivotTable11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Table'!$B$70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10-42B9-9EFB-C4349737C1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10-42B9-9EFB-C4349737C1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10-42B9-9EFB-C4349737C1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10-42B9-9EFB-C4349737C1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Table'!$A$71:$A$75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</c:v>
                </c:pt>
                <c:pt idx="3">
                  <c:v>Retail</c:v>
                </c:pt>
              </c:strCache>
            </c:strRef>
          </c:cat>
          <c:val>
            <c:numRef>
              <c:f>'Pivot Table'!$B$71:$B$75</c:f>
              <c:numCache>
                <c:formatCode>General</c:formatCode>
                <c:ptCount val="4"/>
                <c:pt idx="0">
                  <c:v>146</c:v>
                </c:pt>
                <c:pt idx="1">
                  <c:v>147</c:v>
                </c:pt>
                <c:pt idx="2">
                  <c:v>159</c:v>
                </c:pt>
                <c:pt idx="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10-42B9-9EFB-C4349737C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9071</xdr:colOff>
      <xdr:row>7</xdr:row>
      <xdr:rowOff>178001</xdr:rowOff>
    </xdr:from>
    <xdr:to>
      <xdr:col>2</xdr:col>
      <xdr:colOff>968627</xdr:colOff>
      <xdr:row>22</xdr:row>
      <xdr:rowOff>148973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C956C-D73F-33F1-48D2-6FE63D4C7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959556</xdr:colOff>
      <xdr:row>8</xdr:row>
      <xdr:rowOff>3032</xdr:rowOff>
    </xdr:from>
    <xdr:to>
      <xdr:col>6</xdr:col>
      <xdr:colOff>5320</xdr:colOff>
      <xdr:row>22</xdr:row>
      <xdr:rowOff>154727</xdr:rowOff>
    </xdr:to>
    <xdr:graphicFrame macro="">
      <xdr:nvGraphicFramePr>
        <xdr:cNvPr id="3" name="Chart 16">
          <a:extLst>
            <a:ext uri="{FF2B5EF4-FFF2-40B4-BE49-F238E27FC236}">
              <a16:creationId xmlns:a16="http://schemas.microsoft.com/office/drawing/2014/main" id="{651A2013-7C72-F817-BECC-5EB2F630C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148701</xdr:rowOff>
    </xdr:from>
    <xdr:to>
      <xdr:col>3</xdr:col>
      <xdr:colOff>148167</xdr:colOff>
      <xdr:row>38</xdr:row>
      <xdr:rowOff>0</xdr:rowOff>
    </xdr:to>
    <xdr:graphicFrame macro="">
      <xdr:nvGraphicFramePr>
        <xdr:cNvPr id="4" name="Chart 17">
          <a:extLst>
            <a:ext uri="{FF2B5EF4-FFF2-40B4-BE49-F238E27FC236}">
              <a16:creationId xmlns:a16="http://schemas.microsoft.com/office/drawing/2014/main" id="{32C452F0-45D2-107D-DB18-864AF9A94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146151</xdr:colOff>
      <xdr:row>22</xdr:row>
      <xdr:rowOff>154137</xdr:rowOff>
    </xdr:from>
    <xdr:to>
      <xdr:col>6</xdr:col>
      <xdr:colOff>2707</xdr:colOff>
      <xdr:row>38</xdr:row>
      <xdr:rowOff>0</xdr:rowOff>
    </xdr:to>
    <xdr:graphicFrame macro="">
      <xdr:nvGraphicFramePr>
        <xdr:cNvPr id="5" name="Chart 18">
          <a:extLst>
            <a:ext uri="{FF2B5EF4-FFF2-40B4-BE49-F238E27FC236}">
              <a16:creationId xmlns:a16="http://schemas.microsoft.com/office/drawing/2014/main" id="{06B9451C-BDB7-4839-1514-A152C9868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36.671620486108" createdVersion="8" refreshedVersion="8" minRefreshableVersion="3" recordCount="725" xr:uid="{42E126C1-437F-49E0-8457-76F2E8746C2C}">
  <cacheSource type="worksheet">
    <worksheetSource name="CleanedSalesData"/>
  </cacheSource>
  <cacheFields count="23">
    <cacheField name="Order ID" numFmtId="0">
      <sharedItems/>
    </cacheField>
    <cacheField name="Order Date" numFmtId="165">
      <sharedItems containsNonDate="0" containsDate="1" containsString="0" containsBlank="1" minDate="1990-01-01T00:00:00" maxDate="2026-08-03T00:00:00"/>
    </cacheField>
    <cacheField name="Month Name" numFmtId="0">
      <sharedItems containsBlank="1" count="8">
        <s v="Juni"/>
        <s v="Mei"/>
        <s v="Februari"/>
        <s v="Maret"/>
        <s v="Januari"/>
        <s v="April"/>
        <m/>
        <s v="Agustus"/>
      </sharedItems>
    </cacheField>
    <cacheField name="Month" numFmtId="0">
      <sharedItems containsString="0" containsBlank="1" containsNumber="1" containsInteger="1" minValue="1" maxValue="8"/>
    </cacheField>
    <cacheField name="Customer Name" numFmtId="0">
      <sharedItems/>
    </cacheField>
    <cacheField name="Region" numFmtId="0">
      <sharedItems count="5">
        <s v="Bandung"/>
        <s v="Jakarta"/>
        <s v="Makassar"/>
        <s v="Medan"/>
        <s v="Surabaya"/>
      </sharedItems>
    </cacheField>
    <cacheField name="Channel" numFmtId="0">
      <sharedItems count="8">
        <s v="Retail"/>
        <s v="Online"/>
        <s v="Corporate"/>
        <s v="Marketplace"/>
        <s v=" Retail " u="1"/>
        <s v=" Online " u="1"/>
        <s v=" Marketplace " u="1"/>
        <s v=" Corporate " u="1"/>
      </sharedItems>
    </cacheField>
    <cacheField name="Order Status" numFmtId="0">
      <sharedItems count="4">
        <s v="Completed"/>
        <s v="Returned"/>
        <s v="Pending"/>
        <s v="Cancelled"/>
      </sharedItems>
    </cacheField>
    <cacheField name="Product ID" numFmtId="0">
      <sharedItems/>
    </cacheField>
    <cacheField name="Product Name" numFmtId="0">
      <sharedItems/>
    </cacheField>
    <cacheField name="Category" numFmtId="0">
      <sharedItems count="5">
        <s v="Electronics"/>
        <s v="Furniture"/>
        <s v="Accessories"/>
        <s v="Stationery"/>
        <s v="Office Supplies"/>
      </sharedItems>
    </cacheField>
    <cacheField name="Quantity" numFmtId="0">
      <sharedItems containsString="0" containsBlank="1" containsNumber="1" containsInteger="1" minValue="1" maxValue="8"/>
    </cacheField>
    <cacheField name="Discount Rate" numFmtId="9">
      <sharedItems containsSemiMixedTypes="0" containsString="0" containsNumber="1" minValue="0" maxValue="0.15"/>
    </cacheField>
    <cacheField name="Revenue" numFmtId="3">
      <sharedItems containsString="0" containsBlank="1" containsNumber="1" containsInteger="1" minValue="0" maxValue="14800000"/>
    </cacheField>
    <cacheField name="Cost" numFmtId="3">
      <sharedItems containsSemiMixedTypes="0" containsString="0" containsNumber="1" containsInteger="1" minValue="31000" maxValue="10560000"/>
    </cacheField>
    <cacheField name="Profit" numFmtId="3">
      <sharedItems containsSemiMixedTypes="0" containsString="0" containsNumber="1" containsInteger="1" minValue="-6971000" maxValue="4240000"/>
    </cacheField>
    <cacheField name="Sales Rep" numFmtId="0">
      <sharedItems/>
    </cacheField>
    <cacheField name="Cek Duplikat" numFmtId="0">
      <sharedItems/>
    </cacheField>
    <cacheField name="Cek Qty" numFmtId="0">
      <sharedItems/>
    </cacheField>
    <cacheField name="Cek Tanggal" numFmtId="0">
      <sharedItems/>
    </cacheField>
    <cacheField name="Cek Revenue" numFmtId="0">
      <sharedItems/>
    </cacheField>
    <cacheField name="Cek Status" numFmtId="0">
      <sharedItems/>
    </cacheField>
    <cacheField name="Quality Flag" numFmtId="0">
      <sharedItems count="6">
        <s v="Clean"/>
        <s v="Review Status"/>
        <s v="Check Revenue"/>
        <s v="Check Date"/>
        <s v="Check Quantity"/>
        <s v="Duplicate Or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">
  <r>
    <s v="ORD-0001"/>
    <d v="2026-06-13T00:00:00"/>
    <x v="0"/>
    <n v="6"/>
    <s v="Alya Putri"/>
    <x v="0"/>
    <x v="0"/>
    <x v="0"/>
    <s v="P-4001"/>
    <s v="Keyboard"/>
    <x v="0"/>
    <n v="2"/>
    <n v="0"/>
    <n v="950000"/>
    <n v="570000"/>
    <n v="380000"/>
    <s v="Bima"/>
    <b v="0"/>
    <b v="0"/>
    <b v="0"/>
    <b v="0"/>
    <b v="0"/>
    <x v="0"/>
  </r>
  <r>
    <s v="ORD-0002"/>
    <d v="2026-06-23T00:00:00"/>
    <x v="0"/>
    <n v="6"/>
    <s v="Bima Santoso"/>
    <x v="1"/>
    <x v="1"/>
    <x v="0"/>
    <s v="P-2002"/>
    <s v="Desk Lamp"/>
    <x v="1"/>
    <n v="2"/>
    <n v="0.1"/>
    <n v="495000"/>
    <n v="310000"/>
    <n v="185000"/>
    <s v="Dimas"/>
    <b v="0"/>
    <b v="0"/>
    <b v="0"/>
    <b v="0"/>
    <b v="0"/>
    <x v="0"/>
  </r>
  <r>
    <s v="ORD-0003"/>
    <d v="2026-05-10T00:00:00"/>
    <x v="1"/>
    <n v="5"/>
    <s v="Bima Santoso"/>
    <x v="2"/>
    <x v="2"/>
    <x v="0"/>
    <s v="P-1002"/>
    <s v="Wireless Mouse"/>
    <x v="2"/>
    <n v="1"/>
    <n v="0.1"/>
    <n v="220500"/>
    <n v="145000"/>
    <n v="75500"/>
    <s v="Fajar"/>
    <b v="0"/>
    <b v="0"/>
    <b v="0"/>
    <b v="0"/>
    <b v="0"/>
    <x v="0"/>
  </r>
  <r>
    <s v="ORD-0004"/>
    <d v="2026-05-31T00:00:00"/>
    <x v="1"/>
    <n v="5"/>
    <s v="Dimas Pratama"/>
    <x v="0"/>
    <x v="2"/>
    <x v="0"/>
    <s v="P-5001"/>
    <s v="Monitor 24 inch"/>
    <x v="0"/>
    <n v="5"/>
    <n v="0"/>
    <n v="9250000"/>
    <n v="6600000"/>
    <n v="2650000"/>
    <s v="Raka"/>
    <b v="0"/>
    <b v="0"/>
    <b v="0"/>
    <b v="0"/>
    <b v="0"/>
    <x v="0"/>
  </r>
  <r>
    <s v="ORD-0005"/>
    <d v="2026-02-09T00:00:00"/>
    <x v="2"/>
    <n v="2"/>
    <s v="Dimas Pratama"/>
    <x v="3"/>
    <x v="1"/>
    <x v="0"/>
    <s v="P-3001"/>
    <s v="Notebook Pack"/>
    <x v="3"/>
    <n v="4"/>
    <n v="0.05"/>
    <n v="247000"/>
    <n v="124000"/>
    <n v="123000"/>
    <s v="Sari"/>
    <b v="0"/>
    <b v="0"/>
    <b v="0"/>
    <b v="0"/>
    <b v="0"/>
    <x v="0"/>
  </r>
  <r>
    <s v="ORD-0006"/>
    <d v="2026-06-04T00:00:00"/>
    <x v="0"/>
    <n v="6"/>
    <s v="Raka Wijaya"/>
    <x v="2"/>
    <x v="1"/>
    <x v="0"/>
    <s v="P-1003"/>
    <s v="Laptop Stand"/>
    <x v="2"/>
    <n v="5"/>
    <n v="0"/>
    <n v="1550000"/>
    <n v="950000"/>
    <n v="600000"/>
    <s v="Bima"/>
    <b v="0"/>
    <b v="0"/>
    <b v="0"/>
    <b v="0"/>
    <b v="0"/>
    <x v="0"/>
  </r>
  <r>
    <s v="ORD-0007"/>
    <d v="2026-05-22T00:00:00"/>
    <x v="1"/>
    <n v="5"/>
    <s v="CV Maju Bersama"/>
    <x v="4"/>
    <x v="0"/>
    <x v="0"/>
    <s v="P-6001"/>
    <s v="Storage Box"/>
    <x v="4"/>
    <n v="5"/>
    <n v="0.15"/>
    <n v="531250"/>
    <n v="350000"/>
    <n v="181250"/>
    <s v="Alya"/>
    <b v="0"/>
    <b v="0"/>
    <b v="0"/>
    <b v="0"/>
    <b v="0"/>
    <x v="0"/>
  </r>
  <r>
    <s v="ORD-0008"/>
    <d v="2026-06-19T00:00:00"/>
    <x v="0"/>
    <n v="6"/>
    <s v="Citra Dewi"/>
    <x v="1"/>
    <x v="2"/>
    <x v="1"/>
    <s v="P-3002"/>
    <s v="Marker Set"/>
    <x v="3"/>
    <n v="4"/>
    <n v="0.05"/>
    <n v="0"/>
    <n v="172000"/>
    <n v="-172000"/>
    <s v="Fajar"/>
    <b v="0"/>
    <b v="0"/>
    <b v="0"/>
    <b v="0"/>
    <b v="1"/>
    <x v="1"/>
  </r>
  <r>
    <s v="ORD-0009"/>
    <d v="2026-06-12T00:00:00"/>
    <x v="0"/>
    <n v="6"/>
    <s v="CV Maju Bersama"/>
    <x v="0"/>
    <x v="3"/>
    <x v="0"/>
    <s v="P-2001"/>
    <s v="Office Chair"/>
    <x v="1"/>
    <n v="6"/>
    <n v="0.03"/>
    <n v="8439000"/>
    <n v="5880000"/>
    <n v="2559000"/>
    <s v="Citra"/>
    <b v="0"/>
    <b v="0"/>
    <b v="0"/>
    <b v="0"/>
    <b v="0"/>
    <x v="0"/>
  </r>
  <r>
    <s v="ORD-0010"/>
    <d v="2026-05-17T00:00:00"/>
    <x v="1"/>
    <n v="5"/>
    <s v="Dimas Pratama"/>
    <x v="4"/>
    <x v="0"/>
    <x v="0"/>
    <s v="P-1001"/>
    <s v="USB-C Hub"/>
    <x v="0"/>
    <n v="4"/>
    <n v="0.03"/>
    <n v="1358000"/>
    <n v="840000"/>
    <n v="518000"/>
    <s v="Alya"/>
    <b v="0"/>
    <b v="0"/>
    <b v="0"/>
    <b v="0"/>
    <b v="0"/>
    <x v="0"/>
  </r>
  <r>
    <s v="ORD-0011"/>
    <d v="2026-02-28T00:00:00"/>
    <x v="2"/>
    <n v="2"/>
    <s v="Dimas Pratama"/>
    <x v="1"/>
    <x v="0"/>
    <x v="0"/>
    <s v="P-4001"/>
    <s v="Keyboard"/>
    <x v="0"/>
    <n v="1"/>
    <n v="0.05"/>
    <n v="451250"/>
    <n v="285000"/>
    <n v="166250"/>
    <s v="Dimas"/>
    <b v="0"/>
    <b v="0"/>
    <b v="0"/>
    <b v="0"/>
    <b v="0"/>
    <x v="0"/>
  </r>
  <r>
    <s v="ORD-0012"/>
    <d v="2026-06-17T00:00:00"/>
    <x v="0"/>
    <n v="6"/>
    <s v="Citra Dewi"/>
    <x v="3"/>
    <x v="0"/>
    <x v="2"/>
    <s v="P-2002"/>
    <s v="Desk Lamp"/>
    <x v="1"/>
    <n v="8"/>
    <n v="0.08"/>
    <n v="2024000"/>
    <n v="1240000"/>
    <n v="784000"/>
    <s v="Citra"/>
    <b v="0"/>
    <b v="0"/>
    <b v="0"/>
    <b v="0"/>
    <b v="0"/>
    <x v="0"/>
  </r>
  <r>
    <s v="ORD-0013"/>
    <d v="2026-03-05T00:00:00"/>
    <x v="3"/>
    <n v="3"/>
    <s v="Dimas Pratama"/>
    <x v="2"/>
    <x v="2"/>
    <x v="0"/>
    <s v="P-1002"/>
    <s v="Wireless Mouse"/>
    <x v="2"/>
    <n v="5"/>
    <n v="0.15"/>
    <n v="1041250"/>
    <n v="725000"/>
    <n v="316250"/>
    <s v="Dimas"/>
    <b v="0"/>
    <b v="0"/>
    <b v="0"/>
    <b v="0"/>
    <b v="0"/>
    <x v="0"/>
  </r>
  <r>
    <s v="ORD-0014"/>
    <d v="2026-02-05T00:00:00"/>
    <x v="2"/>
    <n v="2"/>
    <s v="Alya Putri"/>
    <x v="1"/>
    <x v="0"/>
    <x v="0"/>
    <s v="P-5001"/>
    <s v="Monitor 24 inch"/>
    <x v="0"/>
    <n v="8"/>
    <n v="0"/>
    <n v="14800000"/>
    <n v="10560000"/>
    <n v="4240000"/>
    <s v="Nadia"/>
    <b v="0"/>
    <b v="0"/>
    <b v="0"/>
    <b v="0"/>
    <b v="0"/>
    <x v="0"/>
  </r>
  <r>
    <s v="ORD-0015"/>
    <d v="2026-06-02T00:00:00"/>
    <x v="0"/>
    <n v="6"/>
    <s v="PT Sinar Jaya"/>
    <x v="3"/>
    <x v="3"/>
    <x v="0"/>
    <s v="P-3001"/>
    <s v="Notebook Pack"/>
    <x v="3"/>
    <n v="2"/>
    <n v="0.08"/>
    <n v="119600"/>
    <n v="62000"/>
    <n v="57600"/>
    <s v="Bima"/>
    <b v="0"/>
    <b v="0"/>
    <b v="0"/>
    <b v="0"/>
    <b v="0"/>
    <x v="0"/>
  </r>
  <r>
    <s v="ORD-0016"/>
    <d v="2026-06-24T00:00:00"/>
    <x v="0"/>
    <n v="6"/>
    <s v="Alya Putri"/>
    <x v="4"/>
    <x v="2"/>
    <x v="0"/>
    <s v="P-1003"/>
    <s v="Laptop Stand"/>
    <x v="2"/>
    <n v="5"/>
    <n v="0.15"/>
    <n v="1317500"/>
    <n v="950000"/>
    <n v="367500"/>
    <s v="Fajar"/>
    <b v="0"/>
    <b v="0"/>
    <b v="0"/>
    <b v="0"/>
    <b v="0"/>
    <x v="0"/>
  </r>
  <r>
    <s v="ORD-0017"/>
    <d v="2026-01-01T00:00:00"/>
    <x v="4"/>
    <n v="1"/>
    <s v="Citra Dewi"/>
    <x v="2"/>
    <x v="1"/>
    <x v="0"/>
    <s v="P-6001"/>
    <s v="Storage Box"/>
    <x v="4"/>
    <n v="5"/>
    <n v="0.1"/>
    <n v="562500"/>
    <n v="350000"/>
    <n v="212500"/>
    <s v="Dimas"/>
    <b v="0"/>
    <b v="0"/>
    <b v="0"/>
    <b v="0"/>
    <b v="0"/>
    <x v="0"/>
  </r>
  <r>
    <s v="ORD-0018"/>
    <d v="2026-02-09T00:00:00"/>
    <x v="2"/>
    <n v="2"/>
    <s v="Dimas Pratama"/>
    <x v="2"/>
    <x v="1"/>
    <x v="0"/>
    <s v="P-3002"/>
    <s v="Marker Set"/>
    <x v="3"/>
    <n v="6"/>
    <n v="0.03"/>
    <n v="494700"/>
    <n v="258000"/>
    <n v="236700"/>
    <s v="Fajar"/>
    <b v="0"/>
    <b v="0"/>
    <b v="0"/>
    <b v="0"/>
    <b v="0"/>
    <x v="0"/>
  </r>
  <r>
    <s v="ORD-0019"/>
    <d v="2026-01-05T00:00:00"/>
    <x v="4"/>
    <n v="1"/>
    <s v="PT Sinar Jaya"/>
    <x v="4"/>
    <x v="0"/>
    <x v="2"/>
    <s v="P-2001"/>
    <s v="Office Chair"/>
    <x v="1"/>
    <n v="2"/>
    <n v="0.05"/>
    <n v="2755000"/>
    <n v="1960000"/>
    <n v="795000"/>
    <s v="Dimas"/>
    <b v="0"/>
    <b v="0"/>
    <b v="0"/>
    <b v="0"/>
    <b v="0"/>
    <x v="0"/>
  </r>
  <r>
    <s v="ORD-0020"/>
    <d v="2026-05-26T00:00:00"/>
    <x v="1"/>
    <n v="5"/>
    <s v="Alya Putri"/>
    <x v="1"/>
    <x v="0"/>
    <x v="0"/>
    <s v="P-1001"/>
    <s v="USB-C Hub"/>
    <x v="0"/>
    <n v="2"/>
    <n v="0"/>
    <n v="700000"/>
    <n v="420000"/>
    <n v="280000"/>
    <s v="Fajar"/>
    <b v="0"/>
    <b v="0"/>
    <b v="0"/>
    <b v="0"/>
    <b v="0"/>
    <x v="0"/>
  </r>
  <r>
    <s v="ORD-0021"/>
    <d v="2026-05-21T00:00:00"/>
    <x v="1"/>
    <n v="5"/>
    <s v="Bima Santoso"/>
    <x v="2"/>
    <x v="2"/>
    <x v="0"/>
    <s v="P-4001"/>
    <s v="Keyboard"/>
    <x v="0"/>
    <n v="3"/>
    <n v="0.05"/>
    <n v="1353750"/>
    <n v="855000"/>
    <n v="498750"/>
    <s v="Dimas"/>
    <b v="0"/>
    <b v="0"/>
    <b v="0"/>
    <b v="0"/>
    <b v="0"/>
    <x v="0"/>
  </r>
  <r>
    <s v="ORD-0022"/>
    <d v="2026-03-21T00:00:00"/>
    <x v="3"/>
    <n v="3"/>
    <s v="CV Maju Bersama"/>
    <x v="3"/>
    <x v="2"/>
    <x v="0"/>
    <s v="P-2002"/>
    <s v="Desk Lamp"/>
    <x v="1"/>
    <n v="7"/>
    <n v="0.15"/>
    <n v="1636250"/>
    <n v="1085000"/>
    <n v="551250"/>
    <s v="Dimas"/>
    <b v="0"/>
    <b v="0"/>
    <b v="0"/>
    <b v="0"/>
    <b v="0"/>
    <x v="0"/>
  </r>
  <r>
    <s v="ORD-0023"/>
    <d v="2026-02-27T00:00:00"/>
    <x v="2"/>
    <n v="2"/>
    <s v="Bima Santoso"/>
    <x v="2"/>
    <x v="0"/>
    <x v="0"/>
    <s v="P-1002"/>
    <s v="Wireless Mouse"/>
    <x v="2"/>
    <n v="2"/>
    <n v="0.05"/>
    <n v="465500"/>
    <n v="290000"/>
    <n v="175500"/>
    <s v="Alya"/>
    <b v="0"/>
    <b v="0"/>
    <b v="0"/>
    <b v="0"/>
    <b v="0"/>
    <x v="0"/>
  </r>
  <r>
    <s v="ORD-0024"/>
    <d v="2026-01-19T00:00:00"/>
    <x v="4"/>
    <n v="1"/>
    <s v="CV Maju Bersama"/>
    <x v="1"/>
    <x v="3"/>
    <x v="0"/>
    <s v="P-5001"/>
    <s v="Monitor 24 inch"/>
    <x v="0"/>
    <n v="1"/>
    <n v="0.03"/>
    <n v="1794500"/>
    <n v="1320000"/>
    <n v="474500"/>
    <s v="Dimas"/>
    <b v="0"/>
    <b v="0"/>
    <b v="0"/>
    <b v="0"/>
    <b v="0"/>
    <x v="0"/>
  </r>
  <r>
    <s v="ORD-0025"/>
    <d v="2026-03-13T00:00:00"/>
    <x v="3"/>
    <n v="3"/>
    <s v="Bima Santoso"/>
    <x v="2"/>
    <x v="2"/>
    <x v="0"/>
    <s v="P-3001"/>
    <s v="Notebook Pack"/>
    <x v="3"/>
    <n v="8"/>
    <n v="0.03"/>
    <n v="504400"/>
    <n v="248000"/>
    <n v="256400"/>
    <s v="Fajar"/>
    <b v="0"/>
    <b v="0"/>
    <b v="0"/>
    <b v="0"/>
    <b v="0"/>
    <x v="0"/>
  </r>
  <r>
    <s v="ORD-0026"/>
    <d v="2026-04-15T00:00:00"/>
    <x v="5"/>
    <n v="4"/>
    <s v="Raka Wijaya"/>
    <x v="3"/>
    <x v="3"/>
    <x v="0"/>
    <s v="P-1003"/>
    <s v="Laptop Stand"/>
    <x v="2"/>
    <n v="4"/>
    <n v="0"/>
    <n v="1240000"/>
    <n v="760000"/>
    <n v="480000"/>
    <s v="Nadia"/>
    <b v="0"/>
    <b v="0"/>
    <b v="0"/>
    <b v="0"/>
    <b v="0"/>
    <x v="0"/>
  </r>
  <r>
    <s v="ORD-0027"/>
    <d v="2026-04-30T00:00:00"/>
    <x v="5"/>
    <n v="4"/>
    <s v="Raka Wijaya"/>
    <x v="1"/>
    <x v="1"/>
    <x v="0"/>
    <s v="P-6001"/>
    <s v="Storage Box"/>
    <x v="4"/>
    <n v="1"/>
    <n v="0.15"/>
    <n v="106250"/>
    <n v="70000"/>
    <n v="36250"/>
    <s v="Sari"/>
    <b v="0"/>
    <b v="0"/>
    <b v="0"/>
    <b v="0"/>
    <b v="0"/>
    <x v="0"/>
  </r>
  <r>
    <s v="ORD-0028"/>
    <d v="2026-01-28T00:00:00"/>
    <x v="4"/>
    <n v="1"/>
    <s v="Raka Wijaya"/>
    <x v="3"/>
    <x v="0"/>
    <x v="0"/>
    <s v="P-3002"/>
    <s v="Marker Set"/>
    <x v="3"/>
    <n v="4"/>
    <n v="0.03"/>
    <n v="329800"/>
    <n v="172000"/>
    <n v="157800"/>
    <s v="Citra"/>
    <b v="0"/>
    <b v="0"/>
    <b v="0"/>
    <b v="0"/>
    <b v="0"/>
    <x v="0"/>
  </r>
  <r>
    <s v="ORD-0029"/>
    <d v="2026-03-13T00:00:00"/>
    <x v="3"/>
    <n v="3"/>
    <s v="CV Maju Bersama"/>
    <x v="1"/>
    <x v="2"/>
    <x v="2"/>
    <s v="P-2001"/>
    <s v="Office Chair"/>
    <x v="1"/>
    <n v="8"/>
    <n v="0.03"/>
    <n v="11252000"/>
    <n v="7840000"/>
    <n v="3412000"/>
    <s v="Alya"/>
    <b v="0"/>
    <b v="0"/>
    <b v="0"/>
    <b v="0"/>
    <b v="0"/>
    <x v="0"/>
  </r>
  <r>
    <s v="ORD-0030"/>
    <d v="2026-06-16T00:00:00"/>
    <x v="0"/>
    <n v="6"/>
    <s v="Sari Lestari"/>
    <x v="0"/>
    <x v="2"/>
    <x v="3"/>
    <s v="P-1001"/>
    <s v="USB-C Hub"/>
    <x v="0"/>
    <n v="1"/>
    <n v="0"/>
    <n v="0"/>
    <n v="210000"/>
    <n v="-210000"/>
    <s v="Fajar"/>
    <b v="0"/>
    <b v="0"/>
    <b v="0"/>
    <b v="0"/>
    <b v="1"/>
    <x v="1"/>
  </r>
  <r>
    <s v="ORD-0031"/>
    <d v="2026-02-24T00:00:00"/>
    <x v="2"/>
    <n v="2"/>
    <s v="Citra Dewi"/>
    <x v="1"/>
    <x v="2"/>
    <x v="0"/>
    <s v="P-4001"/>
    <s v="Keyboard"/>
    <x v="0"/>
    <n v="7"/>
    <n v="0"/>
    <n v="3325000"/>
    <n v="1995000"/>
    <n v="1330000"/>
    <s v="Fajar"/>
    <b v="0"/>
    <b v="0"/>
    <b v="0"/>
    <b v="0"/>
    <b v="0"/>
    <x v="0"/>
  </r>
  <r>
    <s v="ORD-0032"/>
    <d v="2026-03-15T00:00:00"/>
    <x v="3"/>
    <n v="3"/>
    <s v="Bima Santoso"/>
    <x v="3"/>
    <x v="0"/>
    <x v="3"/>
    <s v="P-2002"/>
    <s v="Desk Lamp"/>
    <x v="1"/>
    <n v="7"/>
    <n v="0.15"/>
    <n v="818125"/>
    <n v="1085000"/>
    <n v="-266875"/>
    <s v="Raka"/>
    <b v="0"/>
    <b v="0"/>
    <b v="0"/>
    <b v="0"/>
    <b v="1"/>
    <x v="1"/>
  </r>
  <r>
    <s v="ORD-0033"/>
    <d v="2026-02-25T00:00:00"/>
    <x v="2"/>
    <n v="2"/>
    <s v="PT Sinar Jaya"/>
    <x v="1"/>
    <x v="3"/>
    <x v="0"/>
    <s v="P-1002"/>
    <s v="Wireless Mouse"/>
    <x v="2"/>
    <n v="1"/>
    <n v="0.1"/>
    <n v="220500"/>
    <n v="145000"/>
    <n v="75500"/>
    <s v="Alya"/>
    <b v="0"/>
    <b v="0"/>
    <b v="0"/>
    <b v="0"/>
    <b v="0"/>
    <x v="0"/>
  </r>
  <r>
    <s v="ORD-0034"/>
    <d v="2026-05-30T00:00:00"/>
    <x v="1"/>
    <n v="5"/>
    <s v="CV Maju Bersama"/>
    <x v="0"/>
    <x v="1"/>
    <x v="3"/>
    <s v="P-5001"/>
    <s v="Monitor 24 inch"/>
    <x v="0"/>
    <n v="8"/>
    <n v="0.1"/>
    <n v="6660000"/>
    <n v="10560000"/>
    <n v="-3900000"/>
    <s v="Citra"/>
    <b v="0"/>
    <b v="0"/>
    <b v="0"/>
    <b v="0"/>
    <b v="1"/>
    <x v="1"/>
  </r>
  <r>
    <s v="ORD-0035"/>
    <d v="2026-01-18T00:00:00"/>
    <x v="4"/>
    <n v="1"/>
    <s v="Bima Santoso"/>
    <x v="3"/>
    <x v="1"/>
    <x v="2"/>
    <s v="P-3001"/>
    <s v="Notebook Pack"/>
    <x v="3"/>
    <n v="2"/>
    <n v="0.15"/>
    <n v="110500"/>
    <n v="62000"/>
    <n v="48500"/>
    <s v="Alya"/>
    <b v="0"/>
    <b v="0"/>
    <b v="0"/>
    <b v="0"/>
    <b v="0"/>
    <x v="0"/>
  </r>
  <r>
    <s v="ORD-0036"/>
    <d v="2026-06-08T00:00:00"/>
    <x v="0"/>
    <n v="6"/>
    <s v="Citra Dewi"/>
    <x v="2"/>
    <x v="3"/>
    <x v="0"/>
    <s v="P-1003"/>
    <s v="Laptop Stand"/>
    <x v="2"/>
    <n v="2"/>
    <n v="0.08"/>
    <n v="570400"/>
    <n v="380000"/>
    <n v="190400"/>
    <s v="Dimas"/>
    <b v="0"/>
    <b v="0"/>
    <b v="0"/>
    <b v="0"/>
    <b v="0"/>
    <x v="0"/>
  </r>
  <r>
    <s v="ORD-0037"/>
    <d v="2026-06-21T00:00:00"/>
    <x v="0"/>
    <n v="6"/>
    <s v="Sari Lestari"/>
    <x v="0"/>
    <x v="3"/>
    <x v="0"/>
    <s v="P-6001"/>
    <s v="Storage Box"/>
    <x v="4"/>
    <n v="6"/>
    <n v="0.03"/>
    <n v="727500"/>
    <n v="420000"/>
    <n v="307500"/>
    <s v="Sari"/>
    <b v="0"/>
    <b v="0"/>
    <b v="0"/>
    <b v="0"/>
    <b v="0"/>
    <x v="0"/>
  </r>
  <r>
    <s v="ORD-0038"/>
    <d v="2026-01-19T00:00:00"/>
    <x v="4"/>
    <n v="1"/>
    <s v="CV Maju Bersama"/>
    <x v="2"/>
    <x v="1"/>
    <x v="0"/>
    <s v="P-3002"/>
    <s v="Marker Set"/>
    <x v="3"/>
    <n v="1"/>
    <n v="0.08"/>
    <n v="78200"/>
    <n v="43000"/>
    <n v="35200"/>
    <s v="Dimas"/>
    <b v="0"/>
    <b v="0"/>
    <b v="0"/>
    <b v="0"/>
    <b v="0"/>
    <x v="0"/>
  </r>
  <r>
    <s v="ORD-0039"/>
    <d v="2026-05-10T00:00:00"/>
    <x v="1"/>
    <n v="5"/>
    <s v="Citra Dewi"/>
    <x v="0"/>
    <x v="3"/>
    <x v="3"/>
    <s v="P-2001"/>
    <s v="Office Chair"/>
    <x v="1"/>
    <n v="5"/>
    <n v="0.03"/>
    <n v="0"/>
    <n v="4900000"/>
    <n v="-4900000"/>
    <s v="Citra"/>
    <b v="0"/>
    <b v="0"/>
    <b v="0"/>
    <b v="0"/>
    <b v="1"/>
    <x v="1"/>
  </r>
  <r>
    <s v="ORD-0040"/>
    <d v="2026-04-23T00:00:00"/>
    <x v="5"/>
    <n v="4"/>
    <s v="Citra Dewi"/>
    <x v="2"/>
    <x v="1"/>
    <x v="1"/>
    <s v="P-1001"/>
    <s v="USB-C Hub"/>
    <x v="0"/>
    <n v="5"/>
    <n v="0.1"/>
    <n v="787500"/>
    <n v="1050000"/>
    <n v="-262500"/>
    <s v="Bima"/>
    <b v="0"/>
    <b v="0"/>
    <b v="0"/>
    <b v="0"/>
    <b v="1"/>
    <x v="1"/>
  </r>
  <r>
    <s v="ORD-0041"/>
    <d v="2026-02-04T00:00:00"/>
    <x v="2"/>
    <n v="2"/>
    <s v="Citra Dewi"/>
    <x v="2"/>
    <x v="0"/>
    <x v="2"/>
    <s v="P-4001"/>
    <s v="Keyboard"/>
    <x v="0"/>
    <n v="5"/>
    <n v="0"/>
    <n v="2375000"/>
    <n v="1425000"/>
    <n v="950000"/>
    <s v="Raka"/>
    <b v="0"/>
    <b v="0"/>
    <b v="0"/>
    <b v="0"/>
    <b v="0"/>
    <x v="0"/>
  </r>
  <r>
    <s v="ORD-0042"/>
    <d v="2026-06-04T00:00:00"/>
    <x v="0"/>
    <n v="6"/>
    <s v="Citra Dewi"/>
    <x v="4"/>
    <x v="2"/>
    <x v="0"/>
    <s v="P-2002"/>
    <s v="Desk Lamp"/>
    <x v="1"/>
    <n v="4"/>
    <n v="0.15"/>
    <n v="935000"/>
    <n v="620000"/>
    <n v="315000"/>
    <s v="Alya"/>
    <b v="0"/>
    <b v="0"/>
    <b v="0"/>
    <b v="0"/>
    <b v="0"/>
    <x v="0"/>
  </r>
  <r>
    <s v="ORD-0043"/>
    <d v="2026-01-24T00:00:00"/>
    <x v="4"/>
    <n v="1"/>
    <s v="Citra Dewi"/>
    <x v="4"/>
    <x v="0"/>
    <x v="0"/>
    <s v="P-1002"/>
    <s v="Wireless Mouse"/>
    <x v="2"/>
    <n v="7"/>
    <n v="0.05"/>
    <n v="1629250"/>
    <n v="1015000"/>
    <n v="614250"/>
    <s v="Citra"/>
    <b v="0"/>
    <b v="0"/>
    <b v="0"/>
    <b v="0"/>
    <b v="0"/>
    <x v="0"/>
  </r>
  <r>
    <s v="ORD-0044"/>
    <d v="2026-04-24T00:00:00"/>
    <x v="5"/>
    <n v="4"/>
    <s v="PT Sinar Jaya"/>
    <x v="1"/>
    <x v="0"/>
    <x v="0"/>
    <s v="P-5001"/>
    <s v="Monitor 24 inch"/>
    <x v="0"/>
    <n v="7"/>
    <n v="0.1"/>
    <n v="11655000"/>
    <n v="9240000"/>
    <n v="2415000"/>
    <s v="Sari"/>
    <b v="0"/>
    <b v="0"/>
    <b v="0"/>
    <b v="0"/>
    <b v="0"/>
    <x v="0"/>
  </r>
  <r>
    <s v="ORD-0045"/>
    <d v="2026-05-30T00:00:00"/>
    <x v="1"/>
    <n v="5"/>
    <s v="PT Sinar Jaya"/>
    <x v="4"/>
    <x v="3"/>
    <x v="0"/>
    <s v="P-3001"/>
    <s v="Notebook Pack"/>
    <x v="3"/>
    <n v="3"/>
    <n v="0.08"/>
    <n v="179400"/>
    <n v="93000"/>
    <n v="86400"/>
    <s v="Sari"/>
    <b v="0"/>
    <b v="0"/>
    <b v="0"/>
    <b v="0"/>
    <b v="0"/>
    <x v="0"/>
  </r>
  <r>
    <s v="ORD-0046"/>
    <d v="2026-02-23T00:00:00"/>
    <x v="2"/>
    <n v="2"/>
    <s v="Alya Putri"/>
    <x v="2"/>
    <x v="2"/>
    <x v="0"/>
    <s v="P-1003"/>
    <s v="Laptop Stand"/>
    <x v="2"/>
    <n v="4"/>
    <n v="0.15"/>
    <n v="1054000"/>
    <n v="760000"/>
    <n v="294000"/>
    <s v="Dimas"/>
    <b v="0"/>
    <b v="0"/>
    <b v="0"/>
    <b v="0"/>
    <b v="0"/>
    <x v="0"/>
  </r>
  <r>
    <s v="ORD-0047"/>
    <d v="2026-02-11T00:00:00"/>
    <x v="2"/>
    <n v="2"/>
    <s v="Bima Santoso"/>
    <x v="4"/>
    <x v="2"/>
    <x v="0"/>
    <s v="P-6001"/>
    <s v="Storage Box"/>
    <x v="4"/>
    <n v="3"/>
    <n v="0.08"/>
    <n v="345000"/>
    <n v="210000"/>
    <n v="135000"/>
    <s v="Raka"/>
    <b v="0"/>
    <b v="0"/>
    <b v="0"/>
    <b v="0"/>
    <b v="0"/>
    <x v="0"/>
  </r>
  <r>
    <s v="ORD-0048"/>
    <d v="2026-02-10T00:00:00"/>
    <x v="2"/>
    <n v="2"/>
    <s v="Bima Santoso"/>
    <x v="3"/>
    <x v="0"/>
    <x v="2"/>
    <s v="P-3002"/>
    <s v="Marker Set"/>
    <x v="3"/>
    <n v="2"/>
    <n v="0.08"/>
    <n v="156400"/>
    <n v="86000"/>
    <n v="70400"/>
    <s v="Fajar"/>
    <b v="0"/>
    <b v="0"/>
    <b v="0"/>
    <b v="0"/>
    <b v="0"/>
    <x v="0"/>
  </r>
  <r>
    <s v="ORD-0049"/>
    <d v="2026-03-31T00:00:00"/>
    <x v="3"/>
    <n v="3"/>
    <s v="Dimas Pratama"/>
    <x v="0"/>
    <x v="2"/>
    <x v="0"/>
    <s v="P-2001"/>
    <s v="Office Chair"/>
    <x v="1"/>
    <n v="5"/>
    <n v="0.03"/>
    <n v="7032500"/>
    <n v="4900000"/>
    <n v="2132500"/>
    <s v="Raka"/>
    <b v="0"/>
    <b v="0"/>
    <b v="0"/>
    <b v="0"/>
    <b v="0"/>
    <x v="0"/>
  </r>
  <r>
    <s v="ORD-0050"/>
    <d v="2026-01-18T00:00:00"/>
    <x v="4"/>
    <n v="1"/>
    <s v="PT Sinar Jaya"/>
    <x v="3"/>
    <x v="3"/>
    <x v="0"/>
    <s v="P-1001"/>
    <s v="USB-C Hub"/>
    <x v="0"/>
    <n v="5"/>
    <n v="0.05"/>
    <n v="1662500"/>
    <n v="1050000"/>
    <n v="612500"/>
    <s v="Bima"/>
    <b v="0"/>
    <b v="0"/>
    <b v="0"/>
    <b v="0"/>
    <b v="0"/>
    <x v="0"/>
  </r>
  <r>
    <s v="ORD-0051"/>
    <d v="2026-03-08T00:00:00"/>
    <x v="3"/>
    <n v="3"/>
    <s v="Raka Wijaya"/>
    <x v="1"/>
    <x v="1"/>
    <x v="1"/>
    <s v="P-4001"/>
    <s v="Keyboard"/>
    <x v="0"/>
    <n v="3"/>
    <n v="0.1"/>
    <n v="320625"/>
    <n v="855000"/>
    <n v="-534375"/>
    <s v="Sari"/>
    <b v="0"/>
    <b v="0"/>
    <b v="0"/>
    <b v="0"/>
    <b v="1"/>
    <x v="1"/>
  </r>
  <r>
    <s v="ORD-0052"/>
    <d v="2026-03-22T00:00:00"/>
    <x v="3"/>
    <n v="3"/>
    <s v="Citra Dewi"/>
    <x v="3"/>
    <x v="0"/>
    <x v="1"/>
    <s v="P-2002"/>
    <s v="Desk Lamp"/>
    <x v="1"/>
    <n v="7"/>
    <n v="0.1"/>
    <n v="0"/>
    <n v="1085000"/>
    <n v="-1085000"/>
    <s v="Alya"/>
    <b v="0"/>
    <b v="0"/>
    <b v="0"/>
    <b v="0"/>
    <b v="1"/>
    <x v="1"/>
  </r>
  <r>
    <s v="ORD-0053"/>
    <d v="2026-04-22T00:00:00"/>
    <x v="5"/>
    <n v="4"/>
    <s v="Raka Wijaya"/>
    <x v="0"/>
    <x v="3"/>
    <x v="3"/>
    <s v="P-1002"/>
    <s v="Wireless Mouse"/>
    <x v="2"/>
    <n v="1"/>
    <n v="0.1"/>
    <n v="110250"/>
    <n v="145000"/>
    <n v="-34750"/>
    <s v="Bima"/>
    <b v="0"/>
    <b v="0"/>
    <b v="0"/>
    <b v="0"/>
    <b v="1"/>
    <x v="1"/>
  </r>
  <r>
    <s v="ORD-0054"/>
    <d v="2026-06-20T00:00:00"/>
    <x v="0"/>
    <n v="6"/>
    <s v="Citra Dewi"/>
    <x v="1"/>
    <x v="3"/>
    <x v="0"/>
    <s v="P-5001"/>
    <s v="Monitor 24 inch"/>
    <x v="0"/>
    <n v="6"/>
    <n v="0.1"/>
    <n v="9990000"/>
    <n v="7920000"/>
    <n v="2070000"/>
    <s v="Nadia"/>
    <b v="0"/>
    <b v="0"/>
    <b v="0"/>
    <b v="0"/>
    <b v="0"/>
    <x v="0"/>
  </r>
  <r>
    <s v="ORD-0055"/>
    <d v="2026-03-25T00:00:00"/>
    <x v="3"/>
    <n v="3"/>
    <s v="Raka Wijaya"/>
    <x v="0"/>
    <x v="0"/>
    <x v="0"/>
    <s v="P-3001"/>
    <s v="Notebook Pack"/>
    <x v="3"/>
    <n v="7"/>
    <n v="0.15"/>
    <n v="386750"/>
    <n v="217000"/>
    <n v="169750"/>
    <s v="Nadia"/>
    <b v="0"/>
    <b v="0"/>
    <b v="0"/>
    <b v="0"/>
    <b v="0"/>
    <x v="0"/>
  </r>
  <r>
    <s v="ORD-0056"/>
    <d v="2026-06-23T00:00:00"/>
    <x v="0"/>
    <n v="6"/>
    <s v="Citra Dewi"/>
    <x v="3"/>
    <x v="1"/>
    <x v="0"/>
    <s v="P-1003"/>
    <s v="Laptop Stand"/>
    <x v="2"/>
    <n v="3"/>
    <n v="0.1"/>
    <n v="837000"/>
    <n v="570000"/>
    <n v="267000"/>
    <s v="Raka"/>
    <b v="0"/>
    <b v="0"/>
    <b v="0"/>
    <b v="0"/>
    <b v="0"/>
    <x v="0"/>
  </r>
  <r>
    <s v="ORD-0057"/>
    <d v="2026-02-23T00:00:00"/>
    <x v="2"/>
    <n v="2"/>
    <s v="Sari Lestari"/>
    <x v="4"/>
    <x v="2"/>
    <x v="0"/>
    <s v="P-6001"/>
    <s v="Storage Box"/>
    <x v="4"/>
    <n v="7"/>
    <n v="0.1"/>
    <n v="787500"/>
    <n v="490000"/>
    <n v="297500"/>
    <s v="Fajar"/>
    <b v="0"/>
    <b v="0"/>
    <b v="0"/>
    <b v="0"/>
    <b v="0"/>
    <x v="0"/>
  </r>
  <r>
    <s v="ORD-0058"/>
    <d v="2026-06-22T00:00:00"/>
    <x v="0"/>
    <n v="6"/>
    <s v="Citra Dewi"/>
    <x v="0"/>
    <x v="1"/>
    <x v="0"/>
    <s v="P-3002"/>
    <s v="Marker Set"/>
    <x v="3"/>
    <n v="4"/>
    <n v="0.1"/>
    <n v="306000"/>
    <n v="172000"/>
    <n v="134000"/>
    <s v="Sari"/>
    <b v="0"/>
    <b v="0"/>
    <b v="0"/>
    <b v="0"/>
    <b v="0"/>
    <x v="0"/>
  </r>
  <r>
    <s v="ORD-0059"/>
    <d v="1990-01-01T00:00:00"/>
    <x v="4"/>
    <n v="1"/>
    <s v="PT Sinar Jaya"/>
    <x v="0"/>
    <x v="0"/>
    <x v="0"/>
    <s v="P-2001"/>
    <s v="Office Chair"/>
    <x v="1"/>
    <n v="4"/>
    <n v="0.15"/>
    <n v="4930000"/>
    <n v="3920000"/>
    <n v="1010000"/>
    <s v="Alya"/>
    <b v="0"/>
    <b v="0"/>
    <b v="0"/>
    <b v="0"/>
    <b v="0"/>
    <x v="0"/>
  </r>
  <r>
    <s v="ORD-0060"/>
    <d v="2026-03-04T00:00:00"/>
    <x v="3"/>
    <n v="3"/>
    <s v="Raka Wijaya"/>
    <x v="1"/>
    <x v="2"/>
    <x v="2"/>
    <s v="P-1001"/>
    <s v="USB-C Hub"/>
    <x v="0"/>
    <n v="8"/>
    <n v="0.1"/>
    <n v="2520000"/>
    <n v="1680000"/>
    <n v="840000"/>
    <s v="Dimas"/>
    <b v="0"/>
    <b v="0"/>
    <b v="0"/>
    <b v="0"/>
    <b v="0"/>
    <x v="0"/>
  </r>
  <r>
    <s v="ORD-0061"/>
    <d v="2026-06-28T00:00:00"/>
    <x v="0"/>
    <n v="6"/>
    <s v="CV Maju Bersama"/>
    <x v="0"/>
    <x v="1"/>
    <x v="0"/>
    <s v="P-4001"/>
    <s v="Keyboard"/>
    <x v="0"/>
    <n v="7"/>
    <n v="0.08"/>
    <n v="3059000"/>
    <n v="1995000"/>
    <n v="1064000"/>
    <s v="Nadia"/>
    <b v="0"/>
    <b v="0"/>
    <b v="0"/>
    <b v="0"/>
    <b v="0"/>
    <x v="0"/>
  </r>
  <r>
    <s v="ORD-0062"/>
    <d v="2026-02-26T00:00:00"/>
    <x v="2"/>
    <n v="2"/>
    <s v="CV Maju Bersama"/>
    <x v="1"/>
    <x v="0"/>
    <x v="0"/>
    <s v="P-2002"/>
    <s v="Desk Lamp"/>
    <x v="1"/>
    <n v="3"/>
    <n v="0.15"/>
    <n v="701250"/>
    <n v="465000"/>
    <n v="236250"/>
    <s v="Fajar"/>
    <b v="0"/>
    <b v="0"/>
    <b v="0"/>
    <b v="0"/>
    <b v="0"/>
    <x v="0"/>
  </r>
  <r>
    <s v="ORD-0063"/>
    <d v="2026-02-04T00:00:00"/>
    <x v="2"/>
    <n v="2"/>
    <s v="Sari Lestari"/>
    <x v="2"/>
    <x v="3"/>
    <x v="0"/>
    <s v="P-1002"/>
    <s v="Wireless Mouse"/>
    <x v="2"/>
    <n v="8"/>
    <n v="0.15"/>
    <n v="1666000"/>
    <n v="1160000"/>
    <n v="506000"/>
    <s v="Nadia"/>
    <b v="0"/>
    <b v="0"/>
    <b v="0"/>
    <b v="0"/>
    <b v="0"/>
    <x v="0"/>
  </r>
  <r>
    <s v="ORD-0064"/>
    <d v="2026-05-21T00:00:00"/>
    <x v="1"/>
    <n v="5"/>
    <s v="Citra Dewi"/>
    <x v="3"/>
    <x v="2"/>
    <x v="0"/>
    <s v="P-5001"/>
    <s v="Monitor 24 inch"/>
    <x v="0"/>
    <n v="8"/>
    <n v="0.03"/>
    <n v="14356000"/>
    <n v="10560000"/>
    <n v="3796000"/>
    <s v="Dimas"/>
    <b v="0"/>
    <b v="0"/>
    <b v="0"/>
    <b v="0"/>
    <b v="0"/>
    <x v="0"/>
  </r>
  <r>
    <s v="ORD-0065"/>
    <d v="2026-06-13T00:00:00"/>
    <x v="0"/>
    <n v="6"/>
    <s v="Sari Lestari"/>
    <x v="0"/>
    <x v="3"/>
    <x v="0"/>
    <s v="P-3001"/>
    <s v="Notebook Pack"/>
    <x v="3"/>
    <n v="5"/>
    <n v="0.1"/>
    <n v="292500"/>
    <n v="155000"/>
    <n v="137500"/>
    <s v="Bima"/>
    <b v="0"/>
    <b v="0"/>
    <b v="0"/>
    <b v="0"/>
    <b v="0"/>
    <x v="0"/>
  </r>
  <r>
    <s v="ORD-0066"/>
    <d v="2026-03-15T00:00:00"/>
    <x v="3"/>
    <n v="3"/>
    <s v="Alya Putri"/>
    <x v="2"/>
    <x v="1"/>
    <x v="0"/>
    <s v="P-1003"/>
    <s v="Laptop Stand"/>
    <x v="2"/>
    <n v="4"/>
    <n v="0.05"/>
    <n v="1178000"/>
    <n v="760000"/>
    <n v="418000"/>
    <s v="Citra"/>
    <b v="0"/>
    <b v="0"/>
    <b v="0"/>
    <b v="0"/>
    <b v="0"/>
    <x v="0"/>
  </r>
  <r>
    <s v="ORD-0067"/>
    <d v="2026-03-01T00:00:00"/>
    <x v="3"/>
    <n v="3"/>
    <s v="Raka Wijaya"/>
    <x v="0"/>
    <x v="1"/>
    <x v="0"/>
    <s v="P-6001"/>
    <s v="Storage Box"/>
    <x v="4"/>
    <n v="7"/>
    <n v="0.15"/>
    <m/>
    <n v="490000"/>
    <n v="253750"/>
    <s v="Nadia"/>
    <b v="0"/>
    <b v="0"/>
    <b v="0"/>
    <b v="1"/>
    <b v="0"/>
    <x v="2"/>
  </r>
  <r>
    <s v="ORD-0068"/>
    <d v="2026-03-26T00:00:00"/>
    <x v="3"/>
    <n v="3"/>
    <s v="PT Sinar Jaya"/>
    <x v="3"/>
    <x v="2"/>
    <x v="0"/>
    <s v="P-3002"/>
    <s v="Marker Set"/>
    <x v="3"/>
    <n v="8"/>
    <n v="0.08"/>
    <n v="625600"/>
    <n v="344000"/>
    <n v="281600"/>
    <s v="Nadia"/>
    <b v="0"/>
    <b v="0"/>
    <b v="0"/>
    <b v="0"/>
    <b v="0"/>
    <x v="0"/>
  </r>
  <r>
    <s v="ORD-0069"/>
    <d v="2026-05-03T00:00:00"/>
    <x v="1"/>
    <n v="5"/>
    <s v="Bima Santoso"/>
    <x v="3"/>
    <x v="2"/>
    <x v="0"/>
    <s v="P-2001"/>
    <s v="Office Chair"/>
    <x v="1"/>
    <n v="1"/>
    <n v="0.05"/>
    <n v="1377500"/>
    <n v="980000"/>
    <n v="397500"/>
    <s v="Fajar"/>
    <b v="0"/>
    <b v="0"/>
    <b v="0"/>
    <b v="0"/>
    <b v="0"/>
    <x v="0"/>
  </r>
  <r>
    <s v="ORD-0070"/>
    <d v="2026-02-26T00:00:00"/>
    <x v="2"/>
    <n v="2"/>
    <s v="Raka Wijaya"/>
    <x v="3"/>
    <x v="3"/>
    <x v="0"/>
    <s v="P-1001"/>
    <s v="USB-C Hub"/>
    <x v="0"/>
    <n v="5"/>
    <n v="0.08"/>
    <n v="1610000"/>
    <n v="1050000"/>
    <n v="560000"/>
    <s v="Citra"/>
    <b v="0"/>
    <b v="0"/>
    <b v="0"/>
    <b v="0"/>
    <b v="0"/>
    <x v="0"/>
  </r>
  <r>
    <s v="ORD-0071"/>
    <d v="2026-04-30T00:00:00"/>
    <x v="5"/>
    <n v="4"/>
    <s v="CV Maju Bersama"/>
    <x v="3"/>
    <x v="1"/>
    <x v="0"/>
    <s v="P-4001"/>
    <s v="Keyboard"/>
    <x v="0"/>
    <n v="3"/>
    <n v="0.1"/>
    <n v="1282500"/>
    <n v="855000"/>
    <n v="427500"/>
    <s v="Nadia"/>
    <b v="0"/>
    <b v="0"/>
    <b v="0"/>
    <b v="0"/>
    <b v="0"/>
    <x v="0"/>
  </r>
  <r>
    <s v="ORD-0072"/>
    <d v="2026-02-04T00:00:00"/>
    <x v="2"/>
    <n v="2"/>
    <s v="Bima Santoso"/>
    <x v="3"/>
    <x v="3"/>
    <x v="0"/>
    <s v="P-2002"/>
    <s v="Desk Lamp"/>
    <x v="1"/>
    <n v="8"/>
    <n v="0.03"/>
    <n v="2134000"/>
    <n v="1240000"/>
    <n v="894000"/>
    <s v="Fajar"/>
    <b v="0"/>
    <b v="0"/>
    <b v="0"/>
    <b v="0"/>
    <b v="0"/>
    <x v="0"/>
  </r>
  <r>
    <s v="ORD-0073"/>
    <d v="2026-03-25T00:00:00"/>
    <x v="3"/>
    <n v="3"/>
    <s v="CV Maju Bersama"/>
    <x v="3"/>
    <x v="3"/>
    <x v="0"/>
    <s v="P-1002"/>
    <s v="Wireless Mouse"/>
    <x v="2"/>
    <n v="6"/>
    <n v="0.08"/>
    <n v="1352400"/>
    <n v="870000"/>
    <n v="482400"/>
    <s v="Fajar"/>
    <b v="0"/>
    <b v="0"/>
    <b v="0"/>
    <b v="0"/>
    <b v="0"/>
    <x v="0"/>
  </r>
  <r>
    <s v="ORD-0074"/>
    <d v="2026-01-05T00:00:00"/>
    <x v="4"/>
    <n v="1"/>
    <s v="PT Sinar Jaya"/>
    <x v="1"/>
    <x v="1"/>
    <x v="0"/>
    <s v="P-5001"/>
    <s v="Monitor 24 inch"/>
    <x v="0"/>
    <n v="1"/>
    <n v="0.05"/>
    <n v="1757500"/>
    <n v="1320000"/>
    <n v="437500"/>
    <s v="Dimas"/>
    <b v="0"/>
    <b v="0"/>
    <b v="0"/>
    <b v="0"/>
    <b v="0"/>
    <x v="0"/>
  </r>
  <r>
    <s v="ORD-0075"/>
    <d v="2026-02-21T00:00:00"/>
    <x v="2"/>
    <n v="2"/>
    <s v="CV Maju Bersama"/>
    <x v="0"/>
    <x v="2"/>
    <x v="0"/>
    <s v="P-3001"/>
    <s v="Notebook Pack"/>
    <x v="3"/>
    <n v="1"/>
    <n v="0.1"/>
    <n v="58500"/>
    <n v="31000"/>
    <n v="27500"/>
    <s v="Dimas"/>
    <b v="0"/>
    <b v="0"/>
    <b v="0"/>
    <b v="0"/>
    <b v="0"/>
    <x v="0"/>
  </r>
  <r>
    <s v="ORD-0076"/>
    <d v="2026-04-30T00:00:00"/>
    <x v="5"/>
    <n v="4"/>
    <s v="Alya Putri"/>
    <x v="2"/>
    <x v="1"/>
    <x v="0"/>
    <s v="P-1003"/>
    <s v="Laptop Stand"/>
    <x v="2"/>
    <n v="5"/>
    <n v="0.05"/>
    <n v="1472500"/>
    <n v="950000"/>
    <n v="522500"/>
    <s v="Raka"/>
    <b v="0"/>
    <b v="0"/>
    <b v="0"/>
    <b v="0"/>
    <b v="0"/>
    <x v="0"/>
  </r>
  <r>
    <s v="ORD-0077"/>
    <d v="2026-01-28T00:00:00"/>
    <x v="4"/>
    <n v="1"/>
    <s v="Bima Santoso"/>
    <x v="3"/>
    <x v="2"/>
    <x v="0"/>
    <s v="P-6001"/>
    <s v="Storage Box"/>
    <x v="4"/>
    <n v="1"/>
    <n v="0.05"/>
    <n v="118750"/>
    <n v="70000"/>
    <n v="48750"/>
    <s v="Bima"/>
    <b v="0"/>
    <b v="0"/>
    <b v="0"/>
    <b v="0"/>
    <b v="0"/>
    <x v="0"/>
  </r>
  <r>
    <s v="ORD-0078"/>
    <d v="2026-06-01T00:00:00"/>
    <x v="0"/>
    <n v="6"/>
    <s v="PT Sinar Jaya"/>
    <x v="4"/>
    <x v="1"/>
    <x v="0"/>
    <s v="P-3002"/>
    <s v="Marker Set"/>
    <x v="3"/>
    <n v="4"/>
    <n v="0"/>
    <n v="340000"/>
    <n v="172000"/>
    <n v="168000"/>
    <s v="Sari"/>
    <b v="0"/>
    <b v="0"/>
    <b v="0"/>
    <b v="0"/>
    <b v="0"/>
    <x v="0"/>
  </r>
  <r>
    <s v="ORD-0079"/>
    <d v="2026-05-17T00:00:00"/>
    <x v="1"/>
    <n v="5"/>
    <s v="PT Sinar Jaya"/>
    <x v="2"/>
    <x v="3"/>
    <x v="0"/>
    <s v="P-2001"/>
    <s v="Office Chair"/>
    <x v="1"/>
    <n v="7"/>
    <n v="0.15"/>
    <n v="8627500"/>
    <n v="6860000"/>
    <n v="1767500"/>
    <s v="Nadia"/>
    <b v="0"/>
    <b v="0"/>
    <b v="0"/>
    <b v="0"/>
    <b v="0"/>
    <x v="0"/>
  </r>
  <r>
    <s v="ORD-0080"/>
    <d v="2026-05-06T00:00:00"/>
    <x v="1"/>
    <n v="5"/>
    <s v="Raka Wijaya"/>
    <x v="3"/>
    <x v="0"/>
    <x v="1"/>
    <s v="P-1001"/>
    <s v="USB-C Hub"/>
    <x v="0"/>
    <n v="2"/>
    <n v="0.08"/>
    <n v="322000"/>
    <n v="420000"/>
    <n v="-98000"/>
    <s v="Citra"/>
    <b v="0"/>
    <b v="0"/>
    <b v="0"/>
    <b v="0"/>
    <b v="1"/>
    <x v="1"/>
  </r>
  <r>
    <s v="ORD-0081"/>
    <d v="2026-05-14T00:00:00"/>
    <x v="1"/>
    <n v="5"/>
    <s v="Sari Lestari"/>
    <x v="2"/>
    <x v="2"/>
    <x v="2"/>
    <s v="P-4001"/>
    <s v="Keyboard"/>
    <x v="0"/>
    <n v="5"/>
    <n v="0.1"/>
    <n v="2137500"/>
    <n v="1425000"/>
    <n v="712500"/>
    <s v="Nadia"/>
    <b v="0"/>
    <b v="0"/>
    <b v="0"/>
    <b v="0"/>
    <b v="0"/>
    <x v="0"/>
  </r>
  <r>
    <s v="ORD-0082"/>
    <d v="2026-06-01T00:00:00"/>
    <x v="0"/>
    <n v="6"/>
    <s v="Sari Lestari"/>
    <x v="1"/>
    <x v="3"/>
    <x v="2"/>
    <s v="P-2002"/>
    <s v="Desk Lamp"/>
    <x v="1"/>
    <n v="5"/>
    <n v="0.05"/>
    <n v="1306250"/>
    <n v="775000"/>
    <n v="531250"/>
    <s v="Dimas"/>
    <b v="0"/>
    <b v="0"/>
    <b v="0"/>
    <b v="0"/>
    <b v="0"/>
    <x v="0"/>
  </r>
  <r>
    <s v="ORD-0083"/>
    <m/>
    <x v="6"/>
    <m/>
    <s v="Sari Lestari"/>
    <x v="4"/>
    <x v="0"/>
    <x v="0"/>
    <s v="P-1002"/>
    <s v="Wireless Mouse"/>
    <x v="2"/>
    <n v="7"/>
    <n v="0.05"/>
    <n v="1629250"/>
    <n v="1015000"/>
    <n v="614250"/>
    <s v="Dimas"/>
    <b v="0"/>
    <b v="0"/>
    <b v="1"/>
    <b v="0"/>
    <b v="0"/>
    <x v="3"/>
  </r>
  <r>
    <s v="ORD-0084"/>
    <d v="2026-04-01T00:00:00"/>
    <x v="5"/>
    <n v="4"/>
    <s v="PT Sinar Jaya"/>
    <x v="2"/>
    <x v="3"/>
    <x v="0"/>
    <s v="P-5001"/>
    <s v="Monitor 24 inch"/>
    <x v="0"/>
    <n v="5"/>
    <n v="0.05"/>
    <n v="8787500"/>
    <n v="6600000"/>
    <n v="2187500"/>
    <s v="Dimas"/>
    <b v="0"/>
    <b v="0"/>
    <b v="0"/>
    <b v="0"/>
    <b v="0"/>
    <x v="0"/>
  </r>
  <r>
    <s v="ORD-0085"/>
    <d v="2026-01-22T00:00:00"/>
    <x v="4"/>
    <n v="1"/>
    <s v="Sari Lestari"/>
    <x v="2"/>
    <x v="0"/>
    <x v="0"/>
    <s v="P-3001"/>
    <s v="Notebook Pack"/>
    <x v="3"/>
    <n v="4"/>
    <n v="0.15"/>
    <n v="221000"/>
    <n v="124000"/>
    <n v="97000"/>
    <s v="Fajar"/>
    <b v="0"/>
    <b v="0"/>
    <b v="0"/>
    <b v="0"/>
    <b v="0"/>
    <x v="0"/>
  </r>
  <r>
    <s v="ORD-0086"/>
    <d v="2026-04-25T00:00:00"/>
    <x v="5"/>
    <n v="4"/>
    <s v="Citra Dewi"/>
    <x v="3"/>
    <x v="0"/>
    <x v="0"/>
    <s v="P-1003"/>
    <s v="Laptop Stand"/>
    <x v="2"/>
    <n v="1"/>
    <n v="0"/>
    <n v="310000"/>
    <n v="190000"/>
    <n v="120000"/>
    <s v="Sari"/>
    <b v="0"/>
    <b v="0"/>
    <b v="0"/>
    <b v="0"/>
    <b v="0"/>
    <x v="0"/>
  </r>
  <r>
    <s v="ORD-0087"/>
    <d v="2026-05-02T00:00:00"/>
    <x v="1"/>
    <n v="5"/>
    <s v="Sari Lestari"/>
    <x v="4"/>
    <x v="3"/>
    <x v="1"/>
    <s v="P-6001"/>
    <s v="Storage Box"/>
    <x v="4"/>
    <n v="6"/>
    <n v="0.08"/>
    <n v="345000"/>
    <n v="420000"/>
    <n v="-75000"/>
    <s v="Raka"/>
    <b v="0"/>
    <b v="0"/>
    <b v="0"/>
    <b v="0"/>
    <b v="1"/>
    <x v="1"/>
  </r>
  <r>
    <s v="ORD-0088"/>
    <d v="2026-03-20T00:00:00"/>
    <x v="3"/>
    <n v="3"/>
    <s v="CV Maju Bersama"/>
    <x v="0"/>
    <x v="3"/>
    <x v="0"/>
    <s v="P-3002"/>
    <s v="Marker Set"/>
    <x v="3"/>
    <n v="5"/>
    <n v="0.03"/>
    <n v="412250"/>
    <n v="215000"/>
    <n v="197250"/>
    <s v="Citra"/>
    <b v="0"/>
    <b v="0"/>
    <b v="0"/>
    <b v="0"/>
    <b v="0"/>
    <x v="0"/>
  </r>
  <r>
    <s v="ORD-0089"/>
    <d v="2026-02-19T00:00:00"/>
    <x v="2"/>
    <n v="2"/>
    <s v="CV Maju Bersama"/>
    <x v="2"/>
    <x v="3"/>
    <x v="0"/>
    <s v="P-2001"/>
    <s v="Office Chair"/>
    <x v="1"/>
    <m/>
    <n v="0.15"/>
    <n v="4930000"/>
    <n v="3920000"/>
    <n v="1010000"/>
    <s v="Dimas"/>
    <b v="0"/>
    <b v="1"/>
    <b v="0"/>
    <b v="0"/>
    <b v="0"/>
    <x v="4"/>
  </r>
  <r>
    <s v="ORD-0090"/>
    <d v="2026-03-17T00:00:00"/>
    <x v="3"/>
    <n v="3"/>
    <s v="Citra Dewi"/>
    <x v="1"/>
    <x v="0"/>
    <x v="0"/>
    <s v="P-1001"/>
    <s v="USB-C Hub"/>
    <x v="0"/>
    <n v="4"/>
    <n v="0.05"/>
    <n v="1330000"/>
    <n v="840000"/>
    <n v="490000"/>
    <s v="Alya"/>
    <b v="0"/>
    <b v="0"/>
    <b v="0"/>
    <b v="0"/>
    <b v="0"/>
    <x v="0"/>
  </r>
  <r>
    <s v="ORD-0091"/>
    <d v="2026-01-14T00:00:00"/>
    <x v="4"/>
    <n v="1"/>
    <s v="PT Sinar Jaya"/>
    <x v="3"/>
    <x v="1"/>
    <x v="3"/>
    <s v="P-4001"/>
    <s v="Keyboard"/>
    <x v="0"/>
    <n v="5"/>
    <n v="0.15"/>
    <n v="1009375"/>
    <n v="1425000"/>
    <n v="-415625"/>
    <s v="Raka"/>
    <b v="0"/>
    <b v="0"/>
    <b v="0"/>
    <b v="0"/>
    <b v="1"/>
    <x v="1"/>
  </r>
  <r>
    <s v="ORD-0092"/>
    <d v="2026-05-01T00:00:00"/>
    <x v="1"/>
    <n v="5"/>
    <s v="Sari Lestari"/>
    <x v="1"/>
    <x v="3"/>
    <x v="0"/>
    <s v="P-2002"/>
    <s v="Desk Lamp"/>
    <x v="1"/>
    <n v="8"/>
    <n v="0.08"/>
    <n v="2024000"/>
    <n v="1240000"/>
    <n v="784000"/>
    <s v="Bima"/>
    <b v="0"/>
    <b v="0"/>
    <b v="0"/>
    <b v="0"/>
    <b v="0"/>
    <x v="0"/>
  </r>
  <r>
    <s v="ORD-0093"/>
    <d v="2026-01-17T00:00:00"/>
    <x v="4"/>
    <n v="1"/>
    <s v="Alya Putri"/>
    <x v="1"/>
    <x v="0"/>
    <x v="0"/>
    <s v="P-1002"/>
    <s v="Wireless Mouse"/>
    <x v="2"/>
    <n v="7"/>
    <n v="0.08"/>
    <n v="1577800"/>
    <n v="1015000"/>
    <n v="562800"/>
    <s v="Raka"/>
    <b v="0"/>
    <b v="0"/>
    <b v="0"/>
    <b v="0"/>
    <b v="0"/>
    <x v="0"/>
  </r>
  <r>
    <s v="ORD-0094"/>
    <d v="2026-01-22T00:00:00"/>
    <x v="4"/>
    <n v="1"/>
    <s v="Raka Wijaya"/>
    <x v="3"/>
    <x v="0"/>
    <x v="0"/>
    <s v="P-5001"/>
    <s v="Monitor 24 inch"/>
    <x v="0"/>
    <n v="4"/>
    <n v="0"/>
    <n v="7400000"/>
    <n v="5280000"/>
    <n v="2120000"/>
    <s v="Fajar"/>
    <b v="0"/>
    <b v="0"/>
    <b v="0"/>
    <b v="0"/>
    <b v="0"/>
    <x v="0"/>
  </r>
  <r>
    <s v="ORD-0095"/>
    <d v="2026-04-24T00:00:00"/>
    <x v="5"/>
    <n v="4"/>
    <s v="CV Maju Bersama"/>
    <x v="2"/>
    <x v="1"/>
    <x v="1"/>
    <s v="P-3001"/>
    <s v="Notebook Pack"/>
    <x v="3"/>
    <n v="5"/>
    <n v="0.1"/>
    <n v="73125"/>
    <n v="155000"/>
    <n v="-81875"/>
    <s v="Dimas"/>
    <b v="0"/>
    <b v="0"/>
    <b v="0"/>
    <b v="0"/>
    <b v="1"/>
    <x v="1"/>
  </r>
  <r>
    <s v="ORD-0096"/>
    <d v="2026-06-10T00:00:00"/>
    <x v="0"/>
    <n v="6"/>
    <s v="Alya Putri"/>
    <x v="0"/>
    <x v="0"/>
    <x v="0"/>
    <s v="P-1003"/>
    <s v="Laptop Stand"/>
    <x v="2"/>
    <n v="4"/>
    <n v="0.05"/>
    <n v="1178000"/>
    <n v="760000"/>
    <n v="418000"/>
    <s v="Bima"/>
    <b v="0"/>
    <b v="0"/>
    <b v="0"/>
    <b v="0"/>
    <b v="0"/>
    <x v="0"/>
  </r>
  <r>
    <s v="ORD-0097"/>
    <d v="2026-02-10T00:00:00"/>
    <x v="2"/>
    <n v="2"/>
    <s v="Citra Dewi"/>
    <x v="2"/>
    <x v="2"/>
    <x v="0"/>
    <s v="P-6001"/>
    <s v="Storage Box"/>
    <x v="4"/>
    <n v="1"/>
    <n v="0.08"/>
    <n v="115000"/>
    <n v="70000"/>
    <n v="45000"/>
    <s v="Alya"/>
    <b v="0"/>
    <b v="0"/>
    <b v="0"/>
    <b v="0"/>
    <b v="0"/>
    <x v="0"/>
  </r>
  <r>
    <s v="ORD-0098"/>
    <d v="2026-03-01T00:00:00"/>
    <x v="3"/>
    <n v="3"/>
    <s v="Bima Santoso"/>
    <x v="3"/>
    <x v="1"/>
    <x v="0"/>
    <s v="P-3002"/>
    <s v="Marker Set"/>
    <x v="3"/>
    <n v="5"/>
    <n v="0.15"/>
    <n v="361250"/>
    <n v="215000"/>
    <n v="146250"/>
    <s v="Raka"/>
    <b v="0"/>
    <b v="0"/>
    <b v="0"/>
    <b v="0"/>
    <b v="0"/>
    <x v="0"/>
  </r>
  <r>
    <s v="ORD-0099"/>
    <d v="2026-06-10T00:00:00"/>
    <x v="0"/>
    <n v="6"/>
    <s v="Citra Dewi"/>
    <x v="0"/>
    <x v="0"/>
    <x v="0"/>
    <s v="P-2001"/>
    <s v="Office Chair"/>
    <x v="1"/>
    <n v="4"/>
    <n v="0.08"/>
    <n v="5336000"/>
    <n v="3920000"/>
    <n v="1416000"/>
    <s v="Citra"/>
    <b v="0"/>
    <b v="0"/>
    <b v="0"/>
    <b v="0"/>
    <b v="0"/>
    <x v="0"/>
  </r>
  <r>
    <s v="ORD-0100"/>
    <d v="2026-01-19T00:00:00"/>
    <x v="4"/>
    <n v="1"/>
    <s v="Sari Lestari"/>
    <x v="2"/>
    <x v="3"/>
    <x v="2"/>
    <s v="P-1001"/>
    <s v="USB-C Hub"/>
    <x v="0"/>
    <n v="1"/>
    <n v="0.03"/>
    <n v="339500"/>
    <n v="210000"/>
    <n v="129500"/>
    <s v="Bima"/>
    <b v="0"/>
    <b v="0"/>
    <b v="0"/>
    <b v="0"/>
    <b v="0"/>
    <x v="0"/>
  </r>
  <r>
    <s v="ORD-0101"/>
    <d v="2026-04-30T00:00:00"/>
    <x v="5"/>
    <n v="4"/>
    <s v="Sari Lestari"/>
    <x v="4"/>
    <x v="2"/>
    <x v="0"/>
    <s v="P-4001"/>
    <s v="Keyboard"/>
    <x v="0"/>
    <n v="5"/>
    <n v="0.15"/>
    <n v="2018750"/>
    <n v="1425000"/>
    <n v="593750"/>
    <s v="Bima"/>
    <b v="0"/>
    <b v="0"/>
    <b v="0"/>
    <b v="0"/>
    <b v="0"/>
    <x v="0"/>
  </r>
  <r>
    <s v="ORD-0102"/>
    <d v="2026-06-03T00:00:00"/>
    <x v="0"/>
    <n v="6"/>
    <s v="PT Sinar Jaya"/>
    <x v="2"/>
    <x v="3"/>
    <x v="0"/>
    <s v="P-2002"/>
    <s v="Desk Lamp"/>
    <x v="1"/>
    <n v="1"/>
    <n v="0.08"/>
    <n v="253000"/>
    <n v="155000"/>
    <n v="98000"/>
    <s v="Bima"/>
    <b v="0"/>
    <b v="0"/>
    <b v="0"/>
    <b v="0"/>
    <b v="0"/>
    <x v="0"/>
  </r>
  <r>
    <s v="ORD-0103"/>
    <d v="2026-02-28T00:00:00"/>
    <x v="2"/>
    <n v="2"/>
    <s v="Alya Putri"/>
    <x v="2"/>
    <x v="1"/>
    <x v="2"/>
    <s v="P-1002"/>
    <s v="Wireless Mouse"/>
    <x v="2"/>
    <n v="1"/>
    <n v="0.15"/>
    <n v="208250"/>
    <n v="145000"/>
    <n v="63250"/>
    <s v="Fajar"/>
    <b v="0"/>
    <b v="0"/>
    <b v="0"/>
    <b v="0"/>
    <b v="0"/>
    <x v="0"/>
  </r>
  <r>
    <s v="ORD-0104"/>
    <d v="2026-05-13T00:00:00"/>
    <x v="1"/>
    <n v="5"/>
    <s v="Sari Lestari"/>
    <x v="2"/>
    <x v="2"/>
    <x v="0"/>
    <s v="P-5001"/>
    <s v="Monitor 24 inch"/>
    <x v="0"/>
    <n v="8"/>
    <n v="0.05"/>
    <n v="14060000"/>
    <n v="10560000"/>
    <n v="3500000"/>
    <s v="Bima"/>
    <b v="0"/>
    <b v="0"/>
    <b v="0"/>
    <b v="0"/>
    <b v="0"/>
    <x v="0"/>
  </r>
  <r>
    <s v="ORD-0105"/>
    <d v="2026-05-01T00:00:00"/>
    <x v="1"/>
    <n v="5"/>
    <s v="Dimas Pratama"/>
    <x v="1"/>
    <x v="0"/>
    <x v="0"/>
    <s v="P-3001"/>
    <s v="Notebook Pack"/>
    <x v="3"/>
    <n v="6"/>
    <n v="0.08"/>
    <n v="358800"/>
    <n v="186000"/>
    <n v="172800"/>
    <s v="Nadia"/>
    <b v="0"/>
    <b v="0"/>
    <b v="0"/>
    <b v="0"/>
    <b v="0"/>
    <x v="0"/>
  </r>
  <r>
    <s v="ORD-0106"/>
    <d v="2026-06-27T00:00:00"/>
    <x v="0"/>
    <n v="6"/>
    <s v="Sari Lestari"/>
    <x v="3"/>
    <x v="1"/>
    <x v="0"/>
    <s v="P-1003"/>
    <s v="Laptop Stand"/>
    <x v="2"/>
    <n v="8"/>
    <n v="0.05"/>
    <n v="2356000"/>
    <n v="1520000"/>
    <n v="836000"/>
    <s v="Bima"/>
    <b v="0"/>
    <b v="0"/>
    <b v="0"/>
    <b v="0"/>
    <b v="0"/>
    <x v="0"/>
  </r>
  <r>
    <s v="ORD-0107"/>
    <d v="2026-03-22T00:00:00"/>
    <x v="3"/>
    <n v="3"/>
    <s v="Sari Lestari"/>
    <x v="3"/>
    <x v="1"/>
    <x v="0"/>
    <s v="P-6001"/>
    <s v="Storage Box"/>
    <x v="4"/>
    <n v="5"/>
    <n v="0.05"/>
    <n v="593750"/>
    <n v="350000"/>
    <n v="243750"/>
    <s v="Nadia"/>
    <b v="0"/>
    <b v="0"/>
    <b v="0"/>
    <b v="0"/>
    <b v="0"/>
    <x v="0"/>
  </r>
  <r>
    <s v="ORD-0108"/>
    <d v="2026-01-14T00:00:00"/>
    <x v="4"/>
    <n v="1"/>
    <s v="PT Sinar Jaya"/>
    <x v="3"/>
    <x v="2"/>
    <x v="0"/>
    <s v="P-3002"/>
    <s v="Marker Set"/>
    <x v="3"/>
    <n v="4"/>
    <n v="0.1"/>
    <n v="306000"/>
    <n v="172000"/>
    <n v="134000"/>
    <s v="Dimas"/>
    <b v="0"/>
    <b v="0"/>
    <b v="0"/>
    <b v="0"/>
    <b v="0"/>
    <x v="0"/>
  </r>
  <r>
    <s v="ORD-0109"/>
    <d v="2026-03-10T00:00:00"/>
    <x v="3"/>
    <n v="3"/>
    <s v="PT Sinar Jaya"/>
    <x v="3"/>
    <x v="1"/>
    <x v="0"/>
    <s v="P-2001"/>
    <s v="Office Chair"/>
    <x v="1"/>
    <n v="3"/>
    <n v="0.05"/>
    <n v="4132500"/>
    <n v="2940000"/>
    <n v="1192500"/>
    <s v="Dimas"/>
    <b v="0"/>
    <b v="0"/>
    <b v="0"/>
    <b v="0"/>
    <b v="0"/>
    <x v="0"/>
  </r>
  <r>
    <s v="ORD-0110"/>
    <d v="2026-02-10T00:00:00"/>
    <x v="2"/>
    <n v="2"/>
    <s v="Bima Santoso"/>
    <x v="3"/>
    <x v="1"/>
    <x v="0"/>
    <s v="P-1001"/>
    <s v="USB-C Hub"/>
    <x v="0"/>
    <n v="5"/>
    <n v="0.1"/>
    <n v="1575000"/>
    <n v="1050000"/>
    <n v="525000"/>
    <s v="Bima"/>
    <b v="0"/>
    <b v="0"/>
    <b v="0"/>
    <b v="0"/>
    <b v="0"/>
    <x v="0"/>
  </r>
  <r>
    <s v="ORD-0111"/>
    <d v="2026-04-29T00:00:00"/>
    <x v="5"/>
    <n v="4"/>
    <s v="Citra Dewi"/>
    <x v="3"/>
    <x v="3"/>
    <x v="2"/>
    <s v="P-4001"/>
    <s v="Keyboard"/>
    <x v="0"/>
    <n v="2"/>
    <n v="0.15"/>
    <n v="807500"/>
    <n v="570000"/>
    <n v="237500"/>
    <s v="Nadia"/>
    <b v="0"/>
    <b v="0"/>
    <b v="0"/>
    <b v="0"/>
    <b v="0"/>
    <x v="0"/>
  </r>
  <r>
    <s v="ORD-0112"/>
    <d v="2026-05-04T00:00:00"/>
    <x v="1"/>
    <n v="5"/>
    <s v="Bima Santoso"/>
    <x v="0"/>
    <x v="2"/>
    <x v="0"/>
    <s v="P-2002"/>
    <s v="Desk Lamp"/>
    <x v="1"/>
    <n v="8"/>
    <n v="0.03"/>
    <n v="2134000"/>
    <n v="1240000"/>
    <n v="894000"/>
    <s v="Citra"/>
    <b v="0"/>
    <b v="0"/>
    <b v="0"/>
    <b v="0"/>
    <b v="0"/>
    <x v="0"/>
  </r>
  <r>
    <s v="ORD-0113"/>
    <d v="2026-01-18T00:00:00"/>
    <x v="4"/>
    <n v="1"/>
    <s v="PT Sinar Jaya"/>
    <x v="2"/>
    <x v="3"/>
    <x v="0"/>
    <s v="P-1002"/>
    <s v="Wireless Mouse"/>
    <x v="2"/>
    <n v="5"/>
    <n v="0.08"/>
    <n v="1127000"/>
    <n v="725000"/>
    <n v="402000"/>
    <s v="Raka"/>
    <b v="0"/>
    <b v="0"/>
    <b v="0"/>
    <b v="0"/>
    <b v="0"/>
    <x v="0"/>
  </r>
  <r>
    <s v="ORD-0114"/>
    <d v="2026-03-18T00:00:00"/>
    <x v="3"/>
    <n v="3"/>
    <s v="Dimas Pratama"/>
    <x v="3"/>
    <x v="3"/>
    <x v="0"/>
    <s v="P-5001"/>
    <s v="Monitor 24 inch"/>
    <x v="0"/>
    <n v="8"/>
    <n v="0.03"/>
    <n v="14356000"/>
    <n v="10560000"/>
    <n v="3796000"/>
    <s v="Nadia"/>
    <b v="0"/>
    <b v="0"/>
    <b v="0"/>
    <b v="0"/>
    <b v="0"/>
    <x v="0"/>
  </r>
  <r>
    <s v="ORD-0115"/>
    <d v="2026-04-27T00:00:00"/>
    <x v="5"/>
    <n v="4"/>
    <s v="Bima Santoso"/>
    <x v="2"/>
    <x v="2"/>
    <x v="1"/>
    <s v="P-3001"/>
    <s v="Notebook Pack"/>
    <x v="3"/>
    <n v="6"/>
    <n v="0.03"/>
    <n v="0"/>
    <n v="186000"/>
    <n v="-186000"/>
    <s v="Nadia"/>
    <b v="0"/>
    <b v="0"/>
    <b v="0"/>
    <b v="0"/>
    <b v="1"/>
    <x v="1"/>
  </r>
  <r>
    <s v="ORD-0116"/>
    <d v="2026-01-12T00:00:00"/>
    <x v="4"/>
    <n v="1"/>
    <s v="Alya Putri"/>
    <x v="3"/>
    <x v="2"/>
    <x v="0"/>
    <s v="P-1003"/>
    <s v="Laptop Stand"/>
    <x v="2"/>
    <n v="6"/>
    <n v="0.15"/>
    <n v="1581000"/>
    <n v="1140000"/>
    <n v="441000"/>
    <s v="Fajar"/>
    <b v="0"/>
    <b v="0"/>
    <b v="0"/>
    <b v="0"/>
    <b v="0"/>
    <x v="0"/>
  </r>
  <r>
    <s v="ORD-0117"/>
    <d v="2026-01-10T00:00:00"/>
    <x v="4"/>
    <n v="1"/>
    <s v="CV Maju Bersama"/>
    <x v="1"/>
    <x v="2"/>
    <x v="1"/>
    <s v="P-6001"/>
    <s v="Storage Box"/>
    <x v="4"/>
    <n v="3"/>
    <n v="0.1"/>
    <n v="84375"/>
    <n v="210000"/>
    <n v="-125625"/>
    <s v="Fajar"/>
    <b v="0"/>
    <b v="0"/>
    <b v="0"/>
    <b v="0"/>
    <b v="1"/>
    <x v="1"/>
  </r>
  <r>
    <s v="ORD-0118"/>
    <d v="2026-04-01T00:00:00"/>
    <x v="5"/>
    <n v="4"/>
    <s v="Sari Lestari"/>
    <x v="0"/>
    <x v="1"/>
    <x v="2"/>
    <s v="P-3002"/>
    <s v="Marker Set"/>
    <x v="3"/>
    <n v="3"/>
    <n v="0.08"/>
    <n v="234600"/>
    <n v="129000"/>
    <n v="105600"/>
    <s v="Raka"/>
    <b v="0"/>
    <b v="0"/>
    <b v="0"/>
    <b v="0"/>
    <b v="0"/>
    <x v="0"/>
  </r>
  <r>
    <s v="ORD-0119"/>
    <d v="2026-03-28T00:00:00"/>
    <x v="3"/>
    <n v="3"/>
    <s v="Dimas Pratama"/>
    <x v="4"/>
    <x v="2"/>
    <x v="0"/>
    <s v="P-2001"/>
    <s v="Office Chair"/>
    <x v="1"/>
    <n v="7"/>
    <n v="0.15"/>
    <n v="8627500"/>
    <n v="6860000"/>
    <n v="1767500"/>
    <s v="Fajar"/>
    <b v="0"/>
    <b v="0"/>
    <b v="0"/>
    <b v="0"/>
    <b v="0"/>
    <x v="0"/>
  </r>
  <r>
    <s v="ORD-0120"/>
    <d v="2026-05-19T00:00:00"/>
    <x v="1"/>
    <n v="5"/>
    <s v="CV Maju Bersama"/>
    <x v="4"/>
    <x v="0"/>
    <x v="0"/>
    <s v="P-1001"/>
    <s v="USB-C Hub"/>
    <x v="0"/>
    <n v="1"/>
    <n v="0.1"/>
    <n v="315000"/>
    <n v="210000"/>
    <n v="105000"/>
    <s v="Nadia"/>
    <b v="0"/>
    <b v="0"/>
    <b v="0"/>
    <b v="0"/>
    <b v="0"/>
    <x v="0"/>
  </r>
  <r>
    <s v="ORD-0121"/>
    <d v="2026-01-26T00:00:00"/>
    <x v="4"/>
    <n v="1"/>
    <s v="PT Sinar Jaya"/>
    <x v="4"/>
    <x v="1"/>
    <x v="0"/>
    <s v="P-4001"/>
    <s v="Keyboard"/>
    <x v="0"/>
    <n v="2"/>
    <n v="0.08"/>
    <n v="874000"/>
    <n v="570000"/>
    <n v="304000"/>
    <s v="Sari"/>
    <b v="0"/>
    <b v="0"/>
    <b v="0"/>
    <b v="0"/>
    <b v="0"/>
    <x v="0"/>
  </r>
  <r>
    <s v="ORD-0122"/>
    <d v="2026-01-15T00:00:00"/>
    <x v="4"/>
    <n v="1"/>
    <s v="Raka Wijaya"/>
    <x v="0"/>
    <x v="0"/>
    <x v="0"/>
    <s v="P-2002"/>
    <s v="Desk Lamp"/>
    <x v="1"/>
    <n v="5"/>
    <n v="0.05"/>
    <n v="1306250"/>
    <n v="775000"/>
    <n v="531250"/>
    <s v="Citra"/>
    <b v="0"/>
    <b v="0"/>
    <b v="0"/>
    <b v="0"/>
    <b v="0"/>
    <x v="0"/>
  </r>
  <r>
    <s v="ORD-0123"/>
    <d v="2026-02-13T00:00:00"/>
    <x v="2"/>
    <n v="2"/>
    <s v="Sari Lestari"/>
    <x v="3"/>
    <x v="0"/>
    <x v="0"/>
    <s v="P-1002"/>
    <s v="Wireless Mouse"/>
    <x v="2"/>
    <n v="3"/>
    <n v="0"/>
    <n v="735000"/>
    <n v="435000"/>
    <n v="300000"/>
    <s v="Citra"/>
    <b v="0"/>
    <b v="0"/>
    <b v="0"/>
    <b v="0"/>
    <b v="0"/>
    <x v="0"/>
  </r>
  <r>
    <s v="ORD-0124"/>
    <d v="2026-03-01T00:00:00"/>
    <x v="3"/>
    <n v="3"/>
    <s v="Sari Lestari"/>
    <x v="4"/>
    <x v="1"/>
    <x v="0"/>
    <s v="P-5001"/>
    <s v="Monitor 24 inch"/>
    <x v="0"/>
    <n v="8"/>
    <n v="0.15"/>
    <n v="12580000"/>
    <n v="10560000"/>
    <n v="2020000"/>
    <s v="Raka"/>
    <b v="0"/>
    <b v="0"/>
    <b v="0"/>
    <b v="0"/>
    <b v="0"/>
    <x v="0"/>
  </r>
  <r>
    <s v="ORD-0125"/>
    <d v="2026-06-23T00:00:00"/>
    <x v="0"/>
    <n v="6"/>
    <s v="Raka Wijaya"/>
    <x v="4"/>
    <x v="3"/>
    <x v="0"/>
    <s v="P-3001"/>
    <s v="Notebook Pack"/>
    <x v="3"/>
    <n v="3"/>
    <n v="0"/>
    <n v="195000"/>
    <n v="93000"/>
    <n v="102000"/>
    <s v="Raka"/>
    <b v="0"/>
    <b v="0"/>
    <b v="0"/>
    <b v="0"/>
    <b v="0"/>
    <x v="0"/>
  </r>
  <r>
    <s v="ORD-0126"/>
    <d v="2026-04-27T00:00:00"/>
    <x v="5"/>
    <n v="4"/>
    <s v="Raka Wijaya"/>
    <x v="1"/>
    <x v="0"/>
    <x v="1"/>
    <s v="P-1003"/>
    <s v="Laptop Stand"/>
    <x v="2"/>
    <n v="5"/>
    <n v="0.03"/>
    <n v="375875"/>
    <n v="950000"/>
    <n v="-574125"/>
    <s v="Sari"/>
    <b v="0"/>
    <b v="0"/>
    <b v="0"/>
    <b v="0"/>
    <b v="1"/>
    <x v="1"/>
  </r>
  <r>
    <s v="ORD-0127"/>
    <d v="2026-05-28T00:00:00"/>
    <x v="1"/>
    <n v="5"/>
    <s v="PT Sinar Jaya"/>
    <x v="3"/>
    <x v="3"/>
    <x v="0"/>
    <s v="P-6001"/>
    <s v="Storage Box"/>
    <x v="4"/>
    <n v="5"/>
    <n v="0.15"/>
    <n v="531250"/>
    <n v="350000"/>
    <n v="181250"/>
    <s v="Alya"/>
    <b v="0"/>
    <b v="0"/>
    <b v="0"/>
    <b v="0"/>
    <b v="0"/>
    <x v="0"/>
  </r>
  <r>
    <s v="ORD-0128"/>
    <d v="2026-06-05T00:00:00"/>
    <x v="0"/>
    <n v="6"/>
    <s v="Bima Santoso"/>
    <x v="0"/>
    <x v="3"/>
    <x v="0"/>
    <s v="P-3002"/>
    <s v="Marker Set"/>
    <x v="3"/>
    <n v="8"/>
    <n v="0.05"/>
    <n v="646000"/>
    <n v="344000"/>
    <n v="302000"/>
    <s v="Dimas"/>
    <b v="0"/>
    <b v="0"/>
    <b v="0"/>
    <b v="0"/>
    <b v="0"/>
    <x v="0"/>
  </r>
  <r>
    <s v="ORD-0129"/>
    <d v="2026-06-08T00:00:00"/>
    <x v="0"/>
    <n v="6"/>
    <s v="PT Sinar Jaya"/>
    <x v="0"/>
    <x v="1"/>
    <x v="0"/>
    <s v="P-2001"/>
    <s v="Office Chair"/>
    <x v="1"/>
    <n v="5"/>
    <n v="0.15"/>
    <n v="6162500"/>
    <n v="4900000"/>
    <n v="1262500"/>
    <s v="Raka"/>
    <b v="0"/>
    <b v="0"/>
    <b v="0"/>
    <b v="0"/>
    <b v="0"/>
    <x v="0"/>
  </r>
  <r>
    <s v="ORD-0130"/>
    <d v="2026-04-23T00:00:00"/>
    <x v="5"/>
    <n v="4"/>
    <s v="Citra Dewi"/>
    <x v="0"/>
    <x v="1"/>
    <x v="0"/>
    <s v="P-1001"/>
    <s v="USB-C Hub"/>
    <x v="0"/>
    <n v="1"/>
    <n v="0.1"/>
    <n v="315000"/>
    <n v="210000"/>
    <n v="105000"/>
    <s v="Sari"/>
    <b v="0"/>
    <b v="0"/>
    <b v="0"/>
    <b v="0"/>
    <b v="0"/>
    <x v="0"/>
  </r>
  <r>
    <s v="ORD-0131"/>
    <d v="2026-04-17T00:00:00"/>
    <x v="5"/>
    <n v="4"/>
    <s v="Citra Dewi"/>
    <x v="2"/>
    <x v="3"/>
    <x v="0"/>
    <s v="P-4001"/>
    <s v="Keyboard"/>
    <x v="0"/>
    <n v="3"/>
    <n v="0.03"/>
    <n v="1382250"/>
    <n v="855000"/>
    <n v="527250"/>
    <s v="Citra"/>
    <b v="0"/>
    <b v="0"/>
    <b v="0"/>
    <b v="0"/>
    <b v="0"/>
    <x v="0"/>
  </r>
  <r>
    <s v="ORD-0132"/>
    <d v="2026-03-07T00:00:00"/>
    <x v="3"/>
    <n v="3"/>
    <s v="Sari Lestari"/>
    <x v="4"/>
    <x v="1"/>
    <x v="0"/>
    <s v="P-2002"/>
    <s v="Desk Lamp"/>
    <x v="1"/>
    <n v="8"/>
    <n v="0.05"/>
    <n v="2090000"/>
    <n v="1240000"/>
    <n v="850000"/>
    <s v="Bima"/>
    <b v="0"/>
    <b v="0"/>
    <b v="0"/>
    <b v="0"/>
    <b v="0"/>
    <x v="0"/>
  </r>
  <r>
    <s v="ORD-0133"/>
    <d v="2026-02-06T00:00:00"/>
    <x v="2"/>
    <n v="2"/>
    <s v="CV Maju Bersama"/>
    <x v="3"/>
    <x v="3"/>
    <x v="0"/>
    <s v="P-1002"/>
    <s v="Wireless Mouse"/>
    <x v="2"/>
    <n v="4"/>
    <n v="0.15"/>
    <n v="833000"/>
    <n v="580000"/>
    <n v="253000"/>
    <s v="Nadia"/>
    <b v="0"/>
    <b v="0"/>
    <b v="0"/>
    <b v="0"/>
    <b v="0"/>
    <x v="0"/>
  </r>
  <r>
    <s v="ORD-0134"/>
    <d v="2026-01-04T00:00:00"/>
    <x v="4"/>
    <n v="1"/>
    <s v="Raka Wijaya"/>
    <x v="4"/>
    <x v="3"/>
    <x v="0"/>
    <s v="P-5001"/>
    <s v="Monitor 24 inch"/>
    <x v="0"/>
    <n v="5"/>
    <n v="0.1"/>
    <m/>
    <n v="6600000"/>
    <n v="1725000"/>
    <s v="Sari"/>
    <b v="0"/>
    <b v="0"/>
    <b v="0"/>
    <b v="1"/>
    <b v="0"/>
    <x v="2"/>
  </r>
  <r>
    <s v="ORD-0135"/>
    <d v="2026-01-28T00:00:00"/>
    <x v="4"/>
    <n v="1"/>
    <s v="Bima Santoso"/>
    <x v="2"/>
    <x v="3"/>
    <x v="0"/>
    <s v="P-3001"/>
    <s v="Notebook Pack"/>
    <x v="3"/>
    <n v="4"/>
    <n v="0.08"/>
    <n v="239200"/>
    <n v="124000"/>
    <n v="115200"/>
    <s v="Bima"/>
    <b v="0"/>
    <b v="0"/>
    <b v="0"/>
    <b v="0"/>
    <b v="0"/>
    <x v="0"/>
  </r>
  <r>
    <s v="ORD-0136"/>
    <d v="2026-06-12T00:00:00"/>
    <x v="0"/>
    <n v="6"/>
    <s v="Alya Putri"/>
    <x v="3"/>
    <x v="1"/>
    <x v="0"/>
    <s v="P-1003"/>
    <s v="Laptop Stand"/>
    <x v="2"/>
    <n v="8"/>
    <n v="0.15"/>
    <n v="2108000"/>
    <n v="1520000"/>
    <n v="588000"/>
    <s v="Alya"/>
    <b v="0"/>
    <b v="0"/>
    <b v="0"/>
    <b v="0"/>
    <b v="0"/>
    <x v="0"/>
  </r>
  <r>
    <s v="ORD-0137"/>
    <d v="2026-01-10T00:00:00"/>
    <x v="4"/>
    <n v="1"/>
    <s v="Raka Wijaya"/>
    <x v="0"/>
    <x v="0"/>
    <x v="0"/>
    <s v="P-6001"/>
    <s v="Storage Box"/>
    <x v="4"/>
    <n v="5"/>
    <n v="0.08"/>
    <n v="575000"/>
    <n v="350000"/>
    <n v="225000"/>
    <s v="Fajar"/>
    <b v="0"/>
    <b v="0"/>
    <b v="0"/>
    <b v="0"/>
    <b v="0"/>
    <x v="0"/>
  </r>
  <r>
    <s v="ORD-0138"/>
    <d v="2026-04-05T00:00:00"/>
    <x v="5"/>
    <n v="4"/>
    <s v="CV Maju Bersama"/>
    <x v="0"/>
    <x v="2"/>
    <x v="0"/>
    <s v="P-3002"/>
    <s v="Marker Set"/>
    <x v="3"/>
    <n v="7"/>
    <n v="0.1"/>
    <n v="535500"/>
    <n v="301000"/>
    <n v="234500"/>
    <s v="Fajar"/>
    <b v="0"/>
    <b v="0"/>
    <b v="0"/>
    <b v="0"/>
    <b v="0"/>
    <x v="0"/>
  </r>
  <r>
    <s v="ORD-0139"/>
    <d v="2026-06-07T00:00:00"/>
    <x v="0"/>
    <n v="6"/>
    <s v="Sari Lestari"/>
    <x v="4"/>
    <x v="0"/>
    <x v="0"/>
    <s v="P-2001"/>
    <s v="Office Chair"/>
    <x v="1"/>
    <n v="7"/>
    <n v="0.05"/>
    <n v="9642500"/>
    <n v="6860000"/>
    <n v="2782500"/>
    <s v="Fajar"/>
    <b v="0"/>
    <b v="0"/>
    <b v="0"/>
    <b v="0"/>
    <b v="0"/>
    <x v="0"/>
  </r>
  <r>
    <s v="ORD-0140"/>
    <d v="2026-03-02T00:00:00"/>
    <x v="3"/>
    <n v="3"/>
    <s v="PT Sinar Jaya"/>
    <x v="2"/>
    <x v="3"/>
    <x v="1"/>
    <s v="P-1001"/>
    <s v="USB-C Hub"/>
    <x v="0"/>
    <n v="6"/>
    <n v="0"/>
    <n v="525000"/>
    <n v="1260000"/>
    <n v="-735000"/>
    <s v="Nadia"/>
    <b v="0"/>
    <b v="0"/>
    <b v="0"/>
    <b v="0"/>
    <b v="1"/>
    <x v="1"/>
  </r>
  <r>
    <s v="ORD-0141"/>
    <d v="2026-03-12T00:00:00"/>
    <x v="3"/>
    <n v="3"/>
    <s v="PT Sinar Jaya"/>
    <x v="1"/>
    <x v="0"/>
    <x v="3"/>
    <s v="P-4001"/>
    <s v="Keyboard"/>
    <x v="0"/>
    <n v="4"/>
    <n v="0"/>
    <n v="475000"/>
    <n v="1140000"/>
    <n v="-665000"/>
    <s v="Alya"/>
    <b v="0"/>
    <b v="0"/>
    <b v="0"/>
    <b v="0"/>
    <b v="1"/>
    <x v="1"/>
  </r>
  <r>
    <s v="ORD-0142"/>
    <d v="2026-03-27T00:00:00"/>
    <x v="3"/>
    <n v="3"/>
    <s v="Bima Santoso"/>
    <x v="0"/>
    <x v="1"/>
    <x v="2"/>
    <s v="P-2002"/>
    <s v="Desk Lamp"/>
    <x v="1"/>
    <n v="4"/>
    <n v="0.03"/>
    <n v="1067000"/>
    <n v="620000"/>
    <n v="447000"/>
    <s v="Dimas"/>
    <b v="0"/>
    <b v="0"/>
    <b v="0"/>
    <b v="0"/>
    <b v="0"/>
    <x v="0"/>
  </r>
  <r>
    <s v="ORD-0143"/>
    <d v="2026-03-01T00:00:00"/>
    <x v="3"/>
    <n v="3"/>
    <s v="Citra Dewi"/>
    <x v="2"/>
    <x v="1"/>
    <x v="2"/>
    <s v="P-1002"/>
    <s v="Wireless Mouse"/>
    <x v="2"/>
    <n v="6"/>
    <n v="0.03"/>
    <n v="1425900"/>
    <n v="870000"/>
    <n v="555900"/>
    <s v="Citra"/>
    <b v="0"/>
    <b v="0"/>
    <b v="0"/>
    <b v="0"/>
    <b v="0"/>
    <x v="0"/>
  </r>
  <r>
    <s v="ORD-0144"/>
    <d v="2026-02-03T00:00:00"/>
    <x v="2"/>
    <n v="2"/>
    <s v="PT Sinar Jaya"/>
    <x v="1"/>
    <x v="0"/>
    <x v="0"/>
    <s v="P-5001"/>
    <s v="Monitor 24 inch"/>
    <x v="0"/>
    <n v="5"/>
    <n v="0.03"/>
    <n v="8972500"/>
    <n v="6600000"/>
    <n v="2372500"/>
    <s v="Sari"/>
    <b v="0"/>
    <b v="0"/>
    <b v="0"/>
    <b v="0"/>
    <b v="0"/>
    <x v="0"/>
  </r>
  <r>
    <s v="ORD-0145"/>
    <d v="2026-03-02T00:00:00"/>
    <x v="3"/>
    <n v="3"/>
    <s v="Raka Wijaya"/>
    <x v="1"/>
    <x v="0"/>
    <x v="0"/>
    <s v="P-3001"/>
    <s v="Notebook Pack"/>
    <x v="3"/>
    <n v="6"/>
    <n v="0"/>
    <n v="390000"/>
    <n v="186000"/>
    <n v="204000"/>
    <s v="Bima"/>
    <b v="0"/>
    <b v="0"/>
    <b v="0"/>
    <b v="0"/>
    <b v="0"/>
    <x v="0"/>
  </r>
  <r>
    <s v="ORD-0146"/>
    <d v="2026-01-17T00:00:00"/>
    <x v="4"/>
    <n v="1"/>
    <s v="Sari Lestari"/>
    <x v="2"/>
    <x v="1"/>
    <x v="0"/>
    <s v="P-1003"/>
    <s v="Laptop Stand"/>
    <x v="2"/>
    <n v="8"/>
    <n v="0.08"/>
    <n v="2281600"/>
    <n v="1520000"/>
    <n v="761600"/>
    <s v="Dimas"/>
    <b v="0"/>
    <b v="0"/>
    <b v="0"/>
    <b v="0"/>
    <b v="0"/>
    <x v="0"/>
  </r>
  <r>
    <s v="ORD-0147"/>
    <d v="2026-06-07T00:00:00"/>
    <x v="0"/>
    <n v="6"/>
    <s v="Sari Lestari"/>
    <x v="2"/>
    <x v="3"/>
    <x v="2"/>
    <s v="P-6001"/>
    <s v="Storage Box"/>
    <x v="4"/>
    <n v="1"/>
    <n v="0.15"/>
    <n v="106250"/>
    <n v="70000"/>
    <n v="36250"/>
    <s v="Alya"/>
    <b v="0"/>
    <b v="0"/>
    <b v="0"/>
    <b v="0"/>
    <b v="0"/>
    <x v="0"/>
  </r>
  <r>
    <s v="ORD-0148"/>
    <d v="2026-01-16T00:00:00"/>
    <x v="4"/>
    <n v="1"/>
    <s v="Sari Lestari"/>
    <x v="1"/>
    <x v="2"/>
    <x v="0"/>
    <s v="P-3002"/>
    <s v="Marker Set"/>
    <x v="3"/>
    <n v="8"/>
    <n v="0.08"/>
    <n v="625600"/>
    <n v="344000"/>
    <n v="281600"/>
    <s v="Bima"/>
    <b v="0"/>
    <b v="0"/>
    <b v="0"/>
    <b v="0"/>
    <b v="0"/>
    <x v="0"/>
  </r>
  <r>
    <s v="ORD-0149"/>
    <d v="2026-01-21T00:00:00"/>
    <x v="4"/>
    <n v="1"/>
    <s v="Dimas Pratama"/>
    <x v="0"/>
    <x v="3"/>
    <x v="0"/>
    <s v="P-2001"/>
    <s v="Office Chair"/>
    <x v="1"/>
    <n v="6"/>
    <n v="0.1"/>
    <n v="7830000"/>
    <n v="5880000"/>
    <n v="1950000"/>
    <s v="Nadia"/>
    <b v="0"/>
    <b v="0"/>
    <b v="0"/>
    <b v="0"/>
    <b v="0"/>
    <x v="0"/>
  </r>
  <r>
    <s v="ORD-0150"/>
    <d v="2026-06-02T00:00:00"/>
    <x v="0"/>
    <n v="6"/>
    <s v="CV Maju Bersama"/>
    <x v="3"/>
    <x v="1"/>
    <x v="0"/>
    <s v="P-1001"/>
    <s v="USB-C Hub"/>
    <x v="0"/>
    <n v="5"/>
    <n v="0.08"/>
    <n v="1610000"/>
    <n v="1050000"/>
    <n v="560000"/>
    <s v="Dimas"/>
    <b v="0"/>
    <b v="0"/>
    <b v="0"/>
    <b v="0"/>
    <b v="0"/>
    <x v="0"/>
  </r>
  <r>
    <s v="ORD-0151"/>
    <d v="2026-04-21T00:00:00"/>
    <x v="5"/>
    <n v="4"/>
    <s v="Raka Wijaya"/>
    <x v="3"/>
    <x v="2"/>
    <x v="0"/>
    <s v="P-4001"/>
    <s v="Keyboard"/>
    <x v="0"/>
    <n v="8"/>
    <n v="0.03"/>
    <n v="3686000"/>
    <n v="2280000"/>
    <n v="1406000"/>
    <s v="Bima"/>
    <b v="0"/>
    <b v="0"/>
    <b v="0"/>
    <b v="0"/>
    <b v="0"/>
    <x v="0"/>
  </r>
  <r>
    <s v="ORD-0152"/>
    <d v="2026-03-22T00:00:00"/>
    <x v="3"/>
    <n v="3"/>
    <s v="Sari Lestari"/>
    <x v="4"/>
    <x v="0"/>
    <x v="0"/>
    <s v="P-2002"/>
    <s v="Desk Lamp"/>
    <x v="1"/>
    <n v="7"/>
    <n v="0.05"/>
    <n v="1828750"/>
    <n v="1085000"/>
    <n v="743750"/>
    <s v="Bima"/>
    <b v="0"/>
    <b v="0"/>
    <b v="0"/>
    <b v="0"/>
    <b v="0"/>
    <x v="0"/>
  </r>
  <r>
    <s v="ORD-0153"/>
    <d v="2026-01-24T00:00:00"/>
    <x v="4"/>
    <n v="1"/>
    <s v="PT Sinar Jaya"/>
    <x v="4"/>
    <x v="0"/>
    <x v="0"/>
    <s v="P-1002"/>
    <s v="Wireless Mouse"/>
    <x v="2"/>
    <n v="2"/>
    <n v="0"/>
    <n v="490000"/>
    <n v="290000"/>
    <n v="200000"/>
    <s v="Sari"/>
    <b v="0"/>
    <b v="0"/>
    <b v="0"/>
    <b v="0"/>
    <b v="0"/>
    <x v="0"/>
  </r>
  <r>
    <s v="ORD-0154"/>
    <d v="2026-06-21T00:00:00"/>
    <x v="0"/>
    <n v="6"/>
    <s v="Citra Dewi"/>
    <x v="3"/>
    <x v="1"/>
    <x v="0"/>
    <s v="P-5001"/>
    <s v="Monitor 24 inch"/>
    <x v="0"/>
    <n v="2"/>
    <n v="0.08"/>
    <n v="3404000"/>
    <n v="2640000"/>
    <n v="764000"/>
    <s v="Raka"/>
    <b v="0"/>
    <b v="0"/>
    <b v="0"/>
    <b v="0"/>
    <b v="0"/>
    <x v="0"/>
  </r>
  <r>
    <s v="ORD-0155"/>
    <d v="2026-04-01T00:00:00"/>
    <x v="5"/>
    <n v="4"/>
    <s v="Bima Santoso"/>
    <x v="0"/>
    <x v="2"/>
    <x v="0"/>
    <s v="P-3001"/>
    <s v="Notebook Pack"/>
    <x v="3"/>
    <n v="2"/>
    <n v="0.1"/>
    <n v="117000"/>
    <n v="62000"/>
    <n v="55000"/>
    <s v="Bima"/>
    <b v="0"/>
    <b v="0"/>
    <b v="0"/>
    <b v="0"/>
    <b v="0"/>
    <x v="0"/>
  </r>
  <r>
    <s v="ORD-0156"/>
    <d v="2026-03-31T00:00:00"/>
    <x v="3"/>
    <n v="3"/>
    <s v="Raka Wijaya"/>
    <x v="2"/>
    <x v="0"/>
    <x v="0"/>
    <s v="P-1003"/>
    <s v="Laptop Stand"/>
    <x v="2"/>
    <n v="6"/>
    <n v="0"/>
    <n v="1860000"/>
    <n v="1140000"/>
    <n v="720000"/>
    <s v="Alya"/>
    <b v="0"/>
    <b v="0"/>
    <b v="0"/>
    <b v="0"/>
    <b v="0"/>
    <x v="0"/>
  </r>
  <r>
    <s v="ORD-0157"/>
    <d v="2026-06-05T00:00:00"/>
    <x v="0"/>
    <n v="6"/>
    <s v="Dimas Pratama"/>
    <x v="4"/>
    <x v="3"/>
    <x v="0"/>
    <s v="P-6001"/>
    <s v="Storage Box"/>
    <x v="4"/>
    <n v="5"/>
    <n v="0"/>
    <n v="625000"/>
    <n v="350000"/>
    <n v="275000"/>
    <s v="Alya"/>
    <b v="0"/>
    <b v="0"/>
    <b v="0"/>
    <b v="0"/>
    <b v="0"/>
    <x v="0"/>
  </r>
  <r>
    <s v="ORD-0158"/>
    <d v="2026-02-16T00:00:00"/>
    <x v="2"/>
    <n v="2"/>
    <s v="PT Sinar Jaya"/>
    <x v="1"/>
    <x v="0"/>
    <x v="0"/>
    <s v="P-3002"/>
    <s v="Marker Set"/>
    <x v="3"/>
    <n v="3"/>
    <n v="0.1"/>
    <n v="229500"/>
    <n v="129000"/>
    <n v="100500"/>
    <s v="Bima"/>
    <b v="0"/>
    <b v="0"/>
    <b v="0"/>
    <b v="0"/>
    <b v="0"/>
    <x v="0"/>
  </r>
  <r>
    <s v="ORD-0159"/>
    <d v="2026-05-16T00:00:00"/>
    <x v="1"/>
    <n v="5"/>
    <s v="Dimas Pratama"/>
    <x v="4"/>
    <x v="0"/>
    <x v="0"/>
    <s v="P-2001"/>
    <s v="Office Chair"/>
    <x v="1"/>
    <n v="4"/>
    <n v="0.08"/>
    <n v="5336000"/>
    <n v="3920000"/>
    <n v="1416000"/>
    <s v="Raka"/>
    <b v="0"/>
    <b v="0"/>
    <b v="0"/>
    <b v="0"/>
    <b v="0"/>
    <x v="0"/>
  </r>
  <r>
    <s v="ORD-0160"/>
    <d v="2026-03-25T00:00:00"/>
    <x v="3"/>
    <n v="3"/>
    <s v="CV Maju Bersama"/>
    <x v="2"/>
    <x v="1"/>
    <x v="0"/>
    <s v="P-1001"/>
    <s v="USB-C Hub"/>
    <x v="0"/>
    <n v="2"/>
    <n v="0"/>
    <n v="700000"/>
    <n v="420000"/>
    <n v="280000"/>
    <s v="Raka"/>
    <b v="0"/>
    <b v="0"/>
    <b v="0"/>
    <b v="0"/>
    <b v="0"/>
    <x v="0"/>
  </r>
  <r>
    <s v="ORD-0161"/>
    <d v="2026-04-24T00:00:00"/>
    <x v="5"/>
    <n v="4"/>
    <s v="Bima Santoso"/>
    <x v="3"/>
    <x v="3"/>
    <x v="0"/>
    <s v="P-4001"/>
    <s v="Keyboard"/>
    <x v="0"/>
    <n v="7"/>
    <n v="0.08"/>
    <n v="3059000"/>
    <n v="1995000"/>
    <n v="1064000"/>
    <s v="Bima"/>
    <b v="0"/>
    <b v="0"/>
    <b v="0"/>
    <b v="0"/>
    <b v="0"/>
    <x v="0"/>
  </r>
  <r>
    <s v="ORD-0162"/>
    <d v="2026-03-30T00:00:00"/>
    <x v="3"/>
    <n v="3"/>
    <s v="Citra Dewi"/>
    <x v="2"/>
    <x v="2"/>
    <x v="0"/>
    <s v="P-2002"/>
    <s v="Desk Lamp"/>
    <x v="1"/>
    <n v="7"/>
    <n v="0"/>
    <n v="1925000"/>
    <n v="1085000"/>
    <n v="840000"/>
    <s v="Alya"/>
    <b v="0"/>
    <b v="0"/>
    <b v="0"/>
    <b v="0"/>
    <b v="0"/>
    <x v="0"/>
  </r>
  <r>
    <s v="ORD-0163"/>
    <d v="2026-02-26T00:00:00"/>
    <x v="2"/>
    <n v="2"/>
    <s v="Bima Santoso"/>
    <x v="0"/>
    <x v="3"/>
    <x v="0"/>
    <s v="P-1002"/>
    <s v="Wireless Mouse"/>
    <x v="2"/>
    <n v="7"/>
    <n v="0.1"/>
    <n v="1543500"/>
    <n v="1015000"/>
    <n v="528500"/>
    <s v="Citra"/>
    <b v="0"/>
    <b v="0"/>
    <b v="0"/>
    <b v="0"/>
    <b v="0"/>
    <x v="0"/>
  </r>
  <r>
    <s v="ORD-0164"/>
    <d v="2026-03-07T00:00:00"/>
    <x v="3"/>
    <n v="3"/>
    <s v="Alya Putri"/>
    <x v="3"/>
    <x v="2"/>
    <x v="0"/>
    <s v="P-5001"/>
    <s v="Monitor 24 inch"/>
    <x v="0"/>
    <n v="5"/>
    <n v="0.05"/>
    <n v="8787500"/>
    <n v="6600000"/>
    <n v="2187500"/>
    <s v="Citra"/>
    <b v="0"/>
    <b v="0"/>
    <b v="0"/>
    <b v="0"/>
    <b v="0"/>
    <x v="0"/>
  </r>
  <r>
    <s v="ORD-0165"/>
    <d v="2026-04-08T00:00:00"/>
    <x v="5"/>
    <n v="4"/>
    <s v="Raka Wijaya"/>
    <x v="4"/>
    <x v="1"/>
    <x v="0"/>
    <s v="P-3001"/>
    <s v="Notebook Pack"/>
    <x v="3"/>
    <n v="4"/>
    <n v="0.1"/>
    <n v="234000"/>
    <n v="124000"/>
    <n v="110000"/>
    <s v="Alya"/>
    <b v="0"/>
    <b v="0"/>
    <b v="0"/>
    <b v="0"/>
    <b v="0"/>
    <x v="0"/>
  </r>
  <r>
    <s v="ORD-0166"/>
    <m/>
    <x v="6"/>
    <m/>
    <s v="Raka Wijaya"/>
    <x v="2"/>
    <x v="2"/>
    <x v="3"/>
    <s v="P-1003"/>
    <s v="Laptop Stand"/>
    <x v="2"/>
    <n v="1"/>
    <n v="0.08"/>
    <n v="71300"/>
    <n v="190000"/>
    <n v="-118700"/>
    <s v="Nadia"/>
    <b v="0"/>
    <b v="0"/>
    <b v="1"/>
    <b v="0"/>
    <b v="1"/>
    <x v="3"/>
  </r>
  <r>
    <s v="ORD-0167"/>
    <d v="2026-03-16T00:00:00"/>
    <x v="3"/>
    <n v="3"/>
    <s v="Sari Lestari"/>
    <x v="4"/>
    <x v="0"/>
    <x v="0"/>
    <s v="P-6001"/>
    <s v="Storage Box"/>
    <x v="4"/>
    <n v="2"/>
    <n v="0.08"/>
    <n v="230000"/>
    <n v="140000"/>
    <n v="90000"/>
    <s v="Sari"/>
    <b v="0"/>
    <b v="0"/>
    <b v="0"/>
    <b v="0"/>
    <b v="0"/>
    <x v="0"/>
  </r>
  <r>
    <s v="ORD-0168"/>
    <d v="2026-01-23T00:00:00"/>
    <x v="4"/>
    <n v="1"/>
    <s v="CV Maju Bersama"/>
    <x v="2"/>
    <x v="2"/>
    <x v="0"/>
    <s v="P-3002"/>
    <s v="Marker Set"/>
    <x v="3"/>
    <n v="7"/>
    <n v="0"/>
    <n v="595000"/>
    <n v="301000"/>
    <n v="294000"/>
    <s v="Nadia"/>
    <b v="0"/>
    <b v="0"/>
    <b v="0"/>
    <b v="0"/>
    <b v="0"/>
    <x v="0"/>
  </r>
  <r>
    <s v="ORD-0169"/>
    <d v="2026-03-21T00:00:00"/>
    <x v="3"/>
    <n v="3"/>
    <s v="CV Maju Bersama"/>
    <x v="0"/>
    <x v="1"/>
    <x v="0"/>
    <s v="P-2001"/>
    <s v="Office Chair"/>
    <x v="1"/>
    <n v="6"/>
    <n v="0.03"/>
    <n v="8439000"/>
    <n v="5880000"/>
    <n v="2559000"/>
    <s v="Dimas"/>
    <b v="0"/>
    <b v="0"/>
    <b v="0"/>
    <b v="0"/>
    <b v="0"/>
    <x v="0"/>
  </r>
  <r>
    <s v="ORD-0170"/>
    <d v="2026-03-31T00:00:00"/>
    <x v="3"/>
    <n v="3"/>
    <s v="CV Maju Bersama"/>
    <x v="0"/>
    <x v="0"/>
    <x v="3"/>
    <s v="P-1001"/>
    <s v="USB-C Hub"/>
    <x v="0"/>
    <n v="6"/>
    <n v="0.15"/>
    <n v="892500"/>
    <n v="1260000"/>
    <n v="-367500"/>
    <s v="Citra"/>
    <b v="0"/>
    <b v="0"/>
    <b v="0"/>
    <b v="0"/>
    <b v="1"/>
    <x v="1"/>
  </r>
  <r>
    <s v="ORD-0171"/>
    <d v="2026-03-07T00:00:00"/>
    <x v="3"/>
    <n v="3"/>
    <s v="Sari Lestari"/>
    <x v="1"/>
    <x v="0"/>
    <x v="0"/>
    <s v="P-4001"/>
    <s v="Keyboard"/>
    <x v="0"/>
    <n v="4"/>
    <n v="0.03"/>
    <n v="1843000"/>
    <n v="1140000"/>
    <n v="703000"/>
    <s v="Fajar"/>
    <b v="0"/>
    <b v="0"/>
    <b v="0"/>
    <b v="0"/>
    <b v="0"/>
    <x v="0"/>
  </r>
  <r>
    <s v="ORD-0172"/>
    <d v="2026-05-25T00:00:00"/>
    <x v="1"/>
    <n v="5"/>
    <s v="Dimas Pratama"/>
    <x v="2"/>
    <x v="3"/>
    <x v="3"/>
    <s v="P-2002"/>
    <s v="Desk Lamp"/>
    <x v="1"/>
    <n v="8"/>
    <n v="0.15"/>
    <n v="935000"/>
    <n v="1240000"/>
    <n v="-305000"/>
    <s v="Citra"/>
    <b v="0"/>
    <b v="0"/>
    <b v="0"/>
    <b v="0"/>
    <b v="1"/>
    <x v="1"/>
  </r>
  <r>
    <s v="ORD-0173"/>
    <d v="2026-04-23T00:00:00"/>
    <x v="5"/>
    <n v="4"/>
    <s v="PT Sinar Jaya"/>
    <x v="4"/>
    <x v="3"/>
    <x v="0"/>
    <s v="P-1002"/>
    <s v="Wireless Mouse"/>
    <x v="2"/>
    <n v="2"/>
    <n v="0.08"/>
    <n v="450800"/>
    <n v="290000"/>
    <n v="160800"/>
    <s v="Sari"/>
    <b v="0"/>
    <b v="0"/>
    <b v="0"/>
    <b v="0"/>
    <b v="0"/>
    <x v="0"/>
  </r>
  <r>
    <s v="ORD-0174"/>
    <d v="2026-05-10T00:00:00"/>
    <x v="1"/>
    <n v="5"/>
    <s v="Dimas Pratama"/>
    <x v="1"/>
    <x v="1"/>
    <x v="0"/>
    <s v="P-5001"/>
    <s v="Monitor 24 inch"/>
    <x v="0"/>
    <n v="2"/>
    <n v="0.05"/>
    <n v="3515000"/>
    <n v="2640000"/>
    <n v="875000"/>
    <s v="Raka"/>
    <b v="0"/>
    <b v="0"/>
    <b v="0"/>
    <b v="0"/>
    <b v="0"/>
    <x v="0"/>
  </r>
  <r>
    <s v="ORD-0175"/>
    <d v="2026-01-20T00:00:00"/>
    <x v="4"/>
    <n v="1"/>
    <s v="PT Sinar Jaya"/>
    <x v="3"/>
    <x v="2"/>
    <x v="0"/>
    <s v="P-3001"/>
    <s v="Notebook Pack"/>
    <x v="3"/>
    <n v="2"/>
    <n v="0.1"/>
    <n v="117000"/>
    <n v="62000"/>
    <n v="55000"/>
    <s v="Fajar"/>
    <b v="0"/>
    <b v="0"/>
    <b v="0"/>
    <b v="0"/>
    <b v="0"/>
    <x v="0"/>
  </r>
  <r>
    <s v="ORD-0176"/>
    <d v="2026-05-27T00:00:00"/>
    <x v="1"/>
    <n v="5"/>
    <s v="PT Sinar Jaya"/>
    <x v="2"/>
    <x v="0"/>
    <x v="0"/>
    <s v="P-1003"/>
    <s v="Laptop Stand"/>
    <x v="2"/>
    <n v="4"/>
    <n v="0.05"/>
    <n v="1178000"/>
    <n v="760000"/>
    <n v="418000"/>
    <s v="Fajar"/>
    <b v="0"/>
    <b v="0"/>
    <b v="0"/>
    <b v="0"/>
    <b v="0"/>
    <x v="0"/>
  </r>
  <r>
    <s v="ORD-0177"/>
    <d v="1990-01-01T00:00:00"/>
    <x v="4"/>
    <n v="1"/>
    <s v="Bima Santoso"/>
    <x v="0"/>
    <x v="1"/>
    <x v="0"/>
    <s v="P-6001"/>
    <s v="Storage Box"/>
    <x v="4"/>
    <n v="6"/>
    <n v="0.15"/>
    <n v="637500"/>
    <n v="420000"/>
    <n v="217500"/>
    <s v="Fajar"/>
    <b v="0"/>
    <b v="0"/>
    <b v="0"/>
    <b v="0"/>
    <b v="0"/>
    <x v="0"/>
  </r>
  <r>
    <s v="ORD-0178"/>
    <d v="2026-04-23T00:00:00"/>
    <x v="5"/>
    <n v="4"/>
    <s v="Raka Wijaya"/>
    <x v="4"/>
    <x v="2"/>
    <x v="0"/>
    <s v="P-3002"/>
    <s v="Marker Set"/>
    <x v="3"/>
    <m/>
    <n v="0.05"/>
    <n v="242250"/>
    <n v="129000"/>
    <n v="113250"/>
    <s v="Sari"/>
    <b v="0"/>
    <b v="1"/>
    <b v="0"/>
    <b v="0"/>
    <b v="0"/>
    <x v="4"/>
  </r>
  <r>
    <s v="ORD-0179"/>
    <d v="2026-06-23T00:00:00"/>
    <x v="0"/>
    <n v="6"/>
    <s v="CV Maju Bersama"/>
    <x v="1"/>
    <x v="3"/>
    <x v="0"/>
    <s v="P-2001"/>
    <s v="Office Chair"/>
    <x v="1"/>
    <n v="1"/>
    <n v="0.15"/>
    <n v="1232500"/>
    <n v="980000"/>
    <n v="252500"/>
    <s v="Nadia"/>
    <b v="0"/>
    <b v="0"/>
    <b v="0"/>
    <b v="0"/>
    <b v="0"/>
    <x v="0"/>
  </r>
  <r>
    <s v="ORD-0180"/>
    <d v="2026-03-14T00:00:00"/>
    <x v="3"/>
    <n v="3"/>
    <s v="Dimas Pratama"/>
    <x v="2"/>
    <x v="0"/>
    <x v="2"/>
    <s v="P-1001"/>
    <s v="USB-C Hub"/>
    <x v="0"/>
    <n v="5"/>
    <n v="0.15"/>
    <n v="1487500"/>
    <n v="1050000"/>
    <n v="437500"/>
    <s v="Bima"/>
    <b v="0"/>
    <b v="0"/>
    <b v="0"/>
    <b v="0"/>
    <b v="0"/>
    <x v="0"/>
  </r>
  <r>
    <s v="ORD-0181"/>
    <d v="2026-05-30T00:00:00"/>
    <x v="1"/>
    <n v="5"/>
    <s v="CV Maju Bersama"/>
    <x v="3"/>
    <x v="0"/>
    <x v="0"/>
    <s v="P-4001"/>
    <s v="Keyboard"/>
    <x v="0"/>
    <n v="3"/>
    <n v="0.05"/>
    <n v="1353750"/>
    <n v="855000"/>
    <n v="498750"/>
    <s v="Raka"/>
    <b v="0"/>
    <b v="0"/>
    <b v="0"/>
    <b v="0"/>
    <b v="0"/>
    <x v="0"/>
  </r>
  <r>
    <s v="ORD-0182"/>
    <d v="2026-05-24T00:00:00"/>
    <x v="1"/>
    <n v="5"/>
    <s v="Raka Wijaya"/>
    <x v="0"/>
    <x v="1"/>
    <x v="2"/>
    <s v="P-2002"/>
    <s v="Desk Lamp"/>
    <x v="1"/>
    <n v="7"/>
    <n v="0.15"/>
    <n v="1636250"/>
    <n v="1085000"/>
    <n v="551250"/>
    <s v="Sari"/>
    <b v="0"/>
    <b v="0"/>
    <b v="0"/>
    <b v="0"/>
    <b v="0"/>
    <x v="0"/>
  </r>
  <r>
    <s v="ORD-0183"/>
    <d v="2026-01-05T00:00:00"/>
    <x v="4"/>
    <n v="1"/>
    <s v="Sari Lestari"/>
    <x v="0"/>
    <x v="3"/>
    <x v="0"/>
    <s v="P-1002"/>
    <s v="Wireless Mouse"/>
    <x v="2"/>
    <n v="6"/>
    <n v="0.05"/>
    <n v="1396500"/>
    <n v="870000"/>
    <n v="526500"/>
    <s v="Dimas"/>
    <b v="0"/>
    <b v="0"/>
    <b v="0"/>
    <b v="0"/>
    <b v="0"/>
    <x v="0"/>
  </r>
  <r>
    <s v="ORD-0184"/>
    <d v="2026-02-27T00:00:00"/>
    <x v="2"/>
    <n v="2"/>
    <s v="Dimas Pratama"/>
    <x v="1"/>
    <x v="1"/>
    <x v="0"/>
    <s v="P-5001"/>
    <s v="Monitor 24 inch"/>
    <x v="0"/>
    <n v="3"/>
    <n v="0.03"/>
    <n v="5383500"/>
    <n v="3960000"/>
    <n v="1423500"/>
    <s v="Citra"/>
    <b v="0"/>
    <b v="0"/>
    <b v="0"/>
    <b v="0"/>
    <b v="0"/>
    <x v="0"/>
  </r>
  <r>
    <s v="ORD-0185"/>
    <d v="2026-06-02T00:00:00"/>
    <x v="0"/>
    <n v="6"/>
    <s v="Sari Lestari"/>
    <x v="2"/>
    <x v="0"/>
    <x v="0"/>
    <s v="P-3001"/>
    <s v="Notebook Pack"/>
    <x v="3"/>
    <n v="7"/>
    <n v="0.03"/>
    <n v="441350"/>
    <n v="217000"/>
    <n v="224350"/>
    <s v="Alya"/>
    <b v="0"/>
    <b v="0"/>
    <b v="0"/>
    <b v="0"/>
    <b v="0"/>
    <x v="0"/>
  </r>
  <r>
    <s v="ORD-0186"/>
    <d v="2026-04-16T00:00:00"/>
    <x v="5"/>
    <n v="4"/>
    <s v="Sari Lestari"/>
    <x v="3"/>
    <x v="3"/>
    <x v="0"/>
    <s v="P-1003"/>
    <s v="Laptop Stand"/>
    <x v="2"/>
    <n v="6"/>
    <n v="0.15"/>
    <n v="1581000"/>
    <n v="1140000"/>
    <n v="441000"/>
    <s v="Dimas"/>
    <b v="0"/>
    <b v="0"/>
    <b v="0"/>
    <b v="0"/>
    <b v="0"/>
    <x v="0"/>
  </r>
  <r>
    <s v="ORD-0187"/>
    <d v="2026-05-17T00:00:00"/>
    <x v="1"/>
    <n v="5"/>
    <s v="Sari Lestari"/>
    <x v="0"/>
    <x v="3"/>
    <x v="1"/>
    <s v="P-6001"/>
    <s v="Storage Box"/>
    <x v="4"/>
    <n v="4"/>
    <n v="0.05"/>
    <n v="118750"/>
    <n v="280000"/>
    <n v="-161250"/>
    <s v="Fajar"/>
    <b v="0"/>
    <b v="0"/>
    <b v="0"/>
    <b v="0"/>
    <b v="1"/>
    <x v="1"/>
  </r>
  <r>
    <s v="ORD-0188"/>
    <d v="2026-03-14T00:00:00"/>
    <x v="3"/>
    <n v="3"/>
    <s v="Alya Putri"/>
    <x v="0"/>
    <x v="0"/>
    <x v="0"/>
    <s v="P-3002"/>
    <s v="Marker Set"/>
    <x v="3"/>
    <n v="7"/>
    <n v="0.1"/>
    <n v="535500"/>
    <n v="301000"/>
    <n v="234500"/>
    <s v="Raka"/>
    <b v="0"/>
    <b v="0"/>
    <b v="0"/>
    <b v="0"/>
    <b v="0"/>
    <x v="0"/>
  </r>
  <r>
    <s v="ORD-0189"/>
    <d v="2026-01-14T00:00:00"/>
    <x v="4"/>
    <n v="1"/>
    <s v="Citra Dewi"/>
    <x v="1"/>
    <x v="1"/>
    <x v="0"/>
    <s v="P-2001"/>
    <s v="Office Chair"/>
    <x v="1"/>
    <n v="8"/>
    <n v="0.05"/>
    <n v="11020000"/>
    <n v="7840000"/>
    <n v="3180000"/>
    <s v="Bima"/>
    <b v="0"/>
    <b v="0"/>
    <b v="0"/>
    <b v="0"/>
    <b v="0"/>
    <x v="0"/>
  </r>
  <r>
    <s v="ORD-0190"/>
    <d v="2026-02-11T00:00:00"/>
    <x v="2"/>
    <n v="2"/>
    <s v="Bima Santoso"/>
    <x v="3"/>
    <x v="1"/>
    <x v="3"/>
    <s v="P-1001"/>
    <s v="USB-C Hub"/>
    <x v="0"/>
    <n v="5"/>
    <n v="0.08"/>
    <n v="0"/>
    <n v="1050000"/>
    <n v="-1050000"/>
    <s v="Fajar"/>
    <b v="0"/>
    <b v="0"/>
    <b v="0"/>
    <b v="0"/>
    <b v="1"/>
    <x v="1"/>
  </r>
  <r>
    <s v="ORD-0191"/>
    <d v="2026-03-31T00:00:00"/>
    <x v="3"/>
    <n v="3"/>
    <s v="Bima Santoso"/>
    <x v="2"/>
    <x v="3"/>
    <x v="0"/>
    <s v="P-4001"/>
    <s v="Keyboard"/>
    <x v="0"/>
    <n v="1"/>
    <n v="0.08"/>
    <n v="437000"/>
    <n v="285000"/>
    <n v="152000"/>
    <s v="Nadia"/>
    <b v="0"/>
    <b v="0"/>
    <b v="0"/>
    <b v="0"/>
    <b v="0"/>
    <x v="0"/>
  </r>
  <r>
    <s v="ORD-0192"/>
    <d v="2026-01-21T00:00:00"/>
    <x v="4"/>
    <n v="1"/>
    <s v="Alya Putri"/>
    <x v="1"/>
    <x v="3"/>
    <x v="0"/>
    <s v="P-2002"/>
    <s v="Desk Lamp"/>
    <x v="1"/>
    <n v="6"/>
    <n v="0.03"/>
    <n v="1600500"/>
    <n v="930000"/>
    <n v="670500"/>
    <s v="Citra"/>
    <b v="0"/>
    <b v="0"/>
    <b v="0"/>
    <b v="0"/>
    <b v="0"/>
    <x v="0"/>
  </r>
  <r>
    <s v="ORD-0193"/>
    <d v="2026-01-10T00:00:00"/>
    <x v="4"/>
    <n v="1"/>
    <s v="Sari Lestari"/>
    <x v="0"/>
    <x v="2"/>
    <x v="0"/>
    <s v="P-1002"/>
    <s v="Wireless Mouse"/>
    <x v="2"/>
    <n v="5"/>
    <n v="0.08"/>
    <n v="1127000"/>
    <n v="725000"/>
    <n v="402000"/>
    <s v="Alya"/>
    <b v="0"/>
    <b v="0"/>
    <b v="0"/>
    <b v="0"/>
    <b v="0"/>
    <x v="0"/>
  </r>
  <r>
    <s v="ORD-0194"/>
    <d v="2026-01-21T00:00:00"/>
    <x v="4"/>
    <n v="1"/>
    <s v="CV Maju Bersama"/>
    <x v="0"/>
    <x v="2"/>
    <x v="0"/>
    <s v="P-5001"/>
    <s v="Monitor 24 inch"/>
    <x v="0"/>
    <n v="1"/>
    <n v="0.05"/>
    <n v="1757500"/>
    <n v="1320000"/>
    <n v="437500"/>
    <s v="Raka"/>
    <b v="0"/>
    <b v="0"/>
    <b v="0"/>
    <b v="0"/>
    <b v="0"/>
    <x v="0"/>
  </r>
  <r>
    <s v="ORD-0195"/>
    <d v="2026-03-02T00:00:00"/>
    <x v="3"/>
    <n v="3"/>
    <s v="CV Maju Bersama"/>
    <x v="3"/>
    <x v="2"/>
    <x v="0"/>
    <s v="P-3001"/>
    <s v="Notebook Pack"/>
    <x v="3"/>
    <n v="5"/>
    <n v="0"/>
    <n v="325000"/>
    <n v="155000"/>
    <n v="170000"/>
    <s v="Bima"/>
    <b v="0"/>
    <b v="0"/>
    <b v="0"/>
    <b v="0"/>
    <b v="0"/>
    <x v="0"/>
  </r>
  <r>
    <s v="ORD-0196"/>
    <d v="2026-05-08T00:00:00"/>
    <x v="1"/>
    <n v="5"/>
    <s v="Citra Dewi"/>
    <x v="0"/>
    <x v="0"/>
    <x v="0"/>
    <s v="P-1003"/>
    <s v="Laptop Stand"/>
    <x v="2"/>
    <n v="1"/>
    <n v="0.15"/>
    <n v="263500"/>
    <n v="190000"/>
    <n v="73500"/>
    <s v="Nadia"/>
    <b v="0"/>
    <b v="0"/>
    <b v="0"/>
    <b v="0"/>
    <b v="0"/>
    <x v="0"/>
  </r>
  <r>
    <s v="ORD-0197"/>
    <d v="2026-01-01T00:00:00"/>
    <x v="4"/>
    <n v="1"/>
    <s v="Dimas Pratama"/>
    <x v="0"/>
    <x v="1"/>
    <x v="0"/>
    <s v="P-6001"/>
    <s v="Storage Box"/>
    <x v="4"/>
    <n v="6"/>
    <n v="0.03"/>
    <n v="727500"/>
    <n v="420000"/>
    <n v="307500"/>
    <s v="Bima"/>
    <b v="0"/>
    <b v="0"/>
    <b v="0"/>
    <b v="0"/>
    <b v="0"/>
    <x v="0"/>
  </r>
  <r>
    <s v="ORD-0198"/>
    <d v="2026-05-15T00:00:00"/>
    <x v="1"/>
    <n v="5"/>
    <s v="Dimas Pratama"/>
    <x v="1"/>
    <x v="2"/>
    <x v="2"/>
    <s v="P-3002"/>
    <s v="Marker Set"/>
    <x v="3"/>
    <n v="1"/>
    <n v="0.08"/>
    <n v="78200"/>
    <n v="43000"/>
    <n v="35200"/>
    <s v="Raka"/>
    <b v="0"/>
    <b v="0"/>
    <b v="0"/>
    <b v="0"/>
    <b v="0"/>
    <x v="0"/>
  </r>
  <r>
    <s v="ORD-0199"/>
    <d v="2026-01-05T00:00:00"/>
    <x v="4"/>
    <n v="1"/>
    <s v="Alya Putri"/>
    <x v="1"/>
    <x v="3"/>
    <x v="0"/>
    <s v="P-2001"/>
    <s v="Office Chair"/>
    <x v="1"/>
    <n v="6"/>
    <n v="0"/>
    <n v="8700000"/>
    <n v="5880000"/>
    <n v="2820000"/>
    <s v="Alya"/>
    <b v="0"/>
    <b v="0"/>
    <b v="0"/>
    <b v="0"/>
    <b v="0"/>
    <x v="0"/>
  </r>
  <r>
    <s v="ORD-0200"/>
    <d v="2026-04-01T00:00:00"/>
    <x v="5"/>
    <n v="4"/>
    <s v="Alya Putri"/>
    <x v="3"/>
    <x v="2"/>
    <x v="0"/>
    <s v="P-1001"/>
    <s v="USB-C Hub"/>
    <x v="0"/>
    <n v="6"/>
    <n v="0.15"/>
    <n v="1785000"/>
    <n v="1260000"/>
    <n v="525000"/>
    <s v="Citra"/>
    <b v="0"/>
    <b v="0"/>
    <b v="0"/>
    <b v="0"/>
    <b v="0"/>
    <x v="0"/>
  </r>
  <r>
    <s v="ORD-0201"/>
    <d v="2026-01-17T00:00:00"/>
    <x v="4"/>
    <n v="1"/>
    <s v="PT Sinar Jaya"/>
    <x v="1"/>
    <x v="0"/>
    <x v="0"/>
    <s v="P-4001"/>
    <s v="Keyboard"/>
    <x v="0"/>
    <n v="8"/>
    <n v="0"/>
    <m/>
    <n v="2280000"/>
    <n v="1520000"/>
    <s v="Sari"/>
    <b v="0"/>
    <b v="0"/>
    <b v="0"/>
    <b v="1"/>
    <b v="0"/>
    <x v="2"/>
  </r>
  <r>
    <s v="ORD-0202"/>
    <d v="2026-03-21T00:00:00"/>
    <x v="3"/>
    <n v="3"/>
    <s v="Citra Dewi"/>
    <x v="1"/>
    <x v="0"/>
    <x v="0"/>
    <s v="P-2002"/>
    <s v="Desk Lamp"/>
    <x v="1"/>
    <n v="7"/>
    <n v="0.1"/>
    <n v="1732500"/>
    <n v="1085000"/>
    <n v="647500"/>
    <s v="Sari"/>
    <b v="0"/>
    <b v="0"/>
    <b v="0"/>
    <b v="0"/>
    <b v="0"/>
    <x v="0"/>
  </r>
  <r>
    <s v="ORD-0203"/>
    <d v="2026-01-13T00:00:00"/>
    <x v="4"/>
    <n v="1"/>
    <s v="Raka Wijaya"/>
    <x v="4"/>
    <x v="2"/>
    <x v="0"/>
    <s v="P-1002"/>
    <s v="Wireless Mouse"/>
    <x v="2"/>
    <n v="6"/>
    <n v="0.05"/>
    <n v="1396500"/>
    <n v="870000"/>
    <n v="526500"/>
    <s v="Fajar"/>
    <b v="0"/>
    <b v="0"/>
    <b v="0"/>
    <b v="0"/>
    <b v="0"/>
    <x v="0"/>
  </r>
  <r>
    <s v="ORD-0204"/>
    <d v="2026-04-09T00:00:00"/>
    <x v="5"/>
    <n v="4"/>
    <s v="Citra Dewi"/>
    <x v="3"/>
    <x v="3"/>
    <x v="0"/>
    <s v="P-5001"/>
    <s v="Monitor 24 inch"/>
    <x v="0"/>
    <n v="6"/>
    <n v="0.03"/>
    <n v="10767000"/>
    <n v="7920000"/>
    <n v="2847000"/>
    <s v="Bima"/>
    <b v="0"/>
    <b v="0"/>
    <b v="0"/>
    <b v="0"/>
    <b v="0"/>
    <x v="0"/>
  </r>
  <r>
    <s v="ORD-0205"/>
    <d v="2026-04-19T00:00:00"/>
    <x v="5"/>
    <n v="4"/>
    <s v="Dimas Pratama"/>
    <x v="0"/>
    <x v="3"/>
    <x v="0"/>
    <s v="P-3001"/>
    <s v="Notebook Pack"/>
    <x v="3"/>
    <n v="2"/>
    <n v="0.08"/>
    <n v="119600"/>
    <n v="62000"/>
    <n v="57600"/>
    <s v="Bima"/>
    <b v="0"/>
    <b v="0"/>
    <b v="0"/>
    <b v="0"/>
    <b v="0"/>
    <x v="0"/>
  </r>
  <r>
    <s v="ORD-0206"/>
    <d v="2026-01-21T00:00:00"/>
    <x v="4"/>
    <n v="1"/>
    <s v="Alya Putri"/>
    <x v="3"/>
    <x v="2"/>
    <x v="0"/>
    <s v="P-1003"/>
    <s v="Laptop Stand"/>
    <x v="2"/>
    <n v="6"/>
    <n v="0.15"/>
    <n v="1581000"/>
    <n v="1140000"/>
    <n v="441000"/>
    <s v="Fajar"/>
    <b v="0"/>
    <b v="0"/>
    <b v="0"/>
    <b v="0"/>
    <b v="0"/>
    <x v="0"/>
  </r>
  <r>
    <s v="ORD-0207"/>
    <d v="2026-03-31T00:00:00"/>
    <x v="3"/>
    <n v="3"/>
    <s v="Citra Dewi"/>
    <x v="4"/>
    <x v="2"/>
    <x v="0"/>
    <s v="P-6001"/>
    <s v="Storage Box"/>
    <x v="4"/>
    <n v="8"/>
    <n v="0"/>
    <n v="1000000"/>
    <n v="560000"/>
    <n v="440000"/>
    <s v="Alya"/>
    <b v="0"/>
    <b v="0"/>
    <b v="0"/>
    <b v="0"/>
    <b v="0"/>
    <x v="0"/>
  </r>
  <r>
    <s v="ORD-0208"/>
    <d v="2026-01-20T00:00:00"/>
    <x v="4"/>
    <n v="1"/>
    <s v="Alya Putri"/>
    <x v="0"/>
    <x v="1"/>
    <x v="0"/>
    <s v="P-3002"/>
    <s v="Marker Set"/>
    <x v="3"/>
    <n v="7"/>
    <n v="0.05"/>
    <n v="565250"/>
    <n v="301000"/>
    <n v="264250"/>
    <s v="Fajar"/>
    <b v="0"/>
    <b v="0"/>
    <b v="0"/>
    <b v="0"/>
    <b v="0"/>
    <x v="0"/>
  </r>
  <r>
    <s v="ORD-0209"/>
    <d v="2026-01-09T00:00:00"/>
    <x v="4"/>
    <n v="1"/>
    <s v="Raka Wijaya"/>
    <x v="4"/>
    <x v="3"/>
    <x v="0"/>
    <s v="P-2001"/>
    <s v="Office Chair"/>
    <x v="1"/>
    <n v="3"/>
    <n v="0"/>
    <n v="4350000"/>
    <n v="2940000"/>
    <n v="1410000"/>
    <s v="Alya"/>
    <b v="0"/>
    <b v="0"/>
    <b v="0"/>
    <b v="0"/>
    <b v="0"/>
    <x v="0"/>
  </r>
  <r>
    <s v="ORD-0210"/>
    <d v="2026-06-04T00:00:00"/>
    <x v="0"/>
    <n v="6"/>
    <s v="Sari Lestari"/>
    <x v="4"/>
    <x v="3"/>
    <x v="0"/>
    <s v="P-1001"/>
    <s v="USB-C Hub"/>
    <x v="0"/>
    <n v="3"/>
    <n v="0.15"/>
    <n v="892500"/>
    <n v="630000"/>
    <n v="262500"/>
    <s v="Bima"/>
    <b v="0"/>
    <b v="0"/>
    <b v="0"/>
    <b v="0"/>
    <b v="0"/>
    <x v="0"/>
  </r>
  <r>
    <s v="ORD-0211"/>
    <d v="2026-05-27T00:00:00"/>
    <x v="1"/>
    <n v="5"/>
    <s v="Bima Santoso"/>
    <x v="4"/>
    <x v="3"/>
    <x v="0"/>
    <s v="P-4001"/>
    <s v="Keyboard"/>
    <x v="0"/>
    <n v="3"/>
    <n v="0.1"/>
    <n v="1282500"/>
    <n v="855000"/>
    <n v="427500"/>
    <s v="Bima"/>
    <b v="0"/>
    <b v="0"/>
    <b v="0"/>
    <b v="0"/>
    <b v="0"/>
    <x v="0"/>
  </r>
  <r>
    <s v="ORD-0212"/>
    <d v="2026-01-07T00:00:00"/>
    <x v="4"/>
    <n v="1"/>
    <s v="Citra Dewi"/>
    <x v="2"/>
    <x v="1"/>
    <x v="0"/>
    <s v="P-2002"/>
    <s v="Desk Lamp"/>
    <x v="1"/>
    <n v="3"/>
    <n v="0.08"/>
    <n v="759000"/>
    <n v="465000"/>
    <n v="294000"/>
    <s v="Raka"/>
    <b v="0"/>
    <b v="0"/>
    <b v="0"/>
    <b v="0"/>
    <b v="0"/>
    <x v="0"/>
  </r>
  <r>
    <s v="ORD-0213"/>
    <d v="2026-06-30T00:00:00"/>
    <x v="0"/>
    <n v="6"/>
    <s v="CV Maju Bersama"/>
    <x v="3"/>
    <x v="0"/>
    <x v="1"/>
    <s v="P-1002"/>
    <s v="Wireless Mouse"/>
    <x v="2"/>
    <n v="8"/>
    <n v="0.03"/>
    <n v="475300"/>
    <n v="1160000"/>
    <n v="-684700"/>
    <s v="Citra"/>
    <b v="0"/>
    <b v="0"/>
    <b v="0"/>
    <b v="0"/>
    <b v="1"/>
    <x v="1"/>
  </r>
  <r>
    <s v="ORD-0214"/>
    <d v="2026-01-19T00:00:00"/>
    <x v="4"/>
    <n v="1"/>
    <s v="Dimas Pratama"/>
    <x v="1"/>
    <x v="3"/>
    <x v="3"/>
    <s v="P-5001"/>
    <s v="Monitor 24 inch"/>
    <x v="0"/>
    <n v="8"/>
    <n v="0.03"/>
    <n v="3589000"/>
    <n v="10560000"/>
    <n v="-6971000"/>
    <s v="Bima"/>
    <b v="0"/>
    <b v="0"/>
    <b v="0"/>
    <b v="0"/>
    <b v="1"/>
    <x v="1"/>
  </r>
  <r>
    <s v="ORD-0215"/>
    <d v="2026-05-21T00:00:00"/>
    <x v="1"/>
    <n v="5"/>
    <s v="Bima Santoso"/>
    <x v="0"/>
    <x v="3"/>
    <x v="2"/>
    <s v="P-3001"/>
    <s v="Notebook Pack"/>
    <x v="3"/>
    <n v="5"/>
    <n v="0.05"/>
    <n v="308750"/>
    <n v="155000"/>
    <n v="153750"/>
    <s v="Bima"/>
    <b v="0"/>
    <b v="0"/>
    <b v="0"/>
    <b v="0"/>
    <b v="0"/>
    <x v="0"/>
  </r>
  <r>
    <s v="ORD-0216"/>
    <d v="2026-02-21T00:00:00"/>
    <x v="2"/>
    <n v="2"/>
    <s v="Dimas Pratama"/>
    <x v="1"/>
    <x v="3"/>
    <x v="2"/>
    <s v="P-1003"/>
    <s v="Laptop Stand"/>
    <x v="2"/>
    <n v="3"/>
    <n v="0.03"/>
    <n v="902100"/>
    <n v="570000"/>
    <n v="332100"/>
    <s v="Fajar"/>
    <b v="0"/>
    <b v="0"/>
    <b v="0"/>
    <b v="0"/>
    <b v="0"/>
    <x v="0"/>
  </r>
  <r>
    <s v="ORD-0217"/>
    <d v="2026-05-22T00:00:00"/>
    <x v="1"/>
    <n v="5"/>
    <s v="Raka Wijaya"/>
    <x v="1"/>
    <x v="3"/>
    <x v="2"/>
    <s v="P-6001"/>
    <s v="Storage Box"/>
    <x v="4"/>
    <n v="3"/>
    <n v="0.1"/>
    <n v="337500"/>
    <n v="210000"/>
    <n v="127500"/>
    <s v="Fajar"/>
    <b v="0"/>
    <b v="0"/>
    <b v="0"/>
    <b v="0"/>
    <b v="0"/>
    <x v="0"/>
  </r>
  <r>
    <s v="ORD-0218"/>
    <d v="2026-05-15T00:00:00"/>
    <x v="1"/>
    <n v="5"/>
    <s v="Dimas Pratama"/>
    <x v="1"/>
    <x v="0"/>
    <x v="2"/>
    <s v="P-3002"/>
    <s v="Marker Set"/>
    <x v="3"/>
    <n v="7"/>
    <n v="0.08"/>
    <n v="547400"/>
    <n v="301000"/>
    <n v="246400"/>
    <s v="Bima"/>
    <b v="0"/>
    <b v="0"/>
    <b v="0"/>
    <b v="0"/>
    <b v="0"/>
    <x v="0"/>
  </r>
  <r>
    <s v="ORD-0219"/>
    <d v="2026-04-26T00:00:00"/>
    <x v="5"/>
    <n v="4"/>
    <s v="Alya Putri"/>
    <x v="0"/>
    <x v="0"/>
    <x v="0"/>
    <s v="P-2001"/>
    <s v="Office Chair"/>
    <x v="1"/>
    <n v="8"/>
    <n v="0.15"/>
    <n v="9860000"/>
    <n v="7840000"/>
    <n v="2020000"/>
    <s v="Nadia"/>
    <b v="0"/>
    <b v="0"/>
    <b v="0"/>
    <b v="0"/>
    <b v="0"/>
    <x v="0"/>
  </r>
  <r>
    <s v="ORD-0220"/>
    <d v="2026-05-09T00:00:00"/>
    <x v="1"/>
    <n v="5"/>
    <s v="Alya Putri"/>
    <x v="4"/>
    <x v="0"/>
    <x v="0"/>
    <s v="P-1001"/>
    <s v="USB-C Hub"/>
    <x v="0"/>
    <n v="1"/>
    <n v="0"/>
    <n v="350000"/>
    <n v="210000"/>
    <n v="140000"/>
    <s v="Sari"/>
    <b v="0"/>
    <b v="0"/>
    <b v="0"/>
    <b v="0"/>
    <b v="0"/>
    <x v="0"/>
  </r>
  <r>
    <s v="ORD-0221"/>
    <d v="2026-02-27T00:00:00"/>
    <x v="2"/>
    <n v="2"/>
    <s v="Citra Dewi"/>
    <x v="4"/>
    <x v="0"/>
    <x v="3"/>
    <s v="P-4001"/>
    <s v="Keyboard"/>
    <x v="0"/>
    <n v="6"/>
    <n v="0.1"/>
    <n v="0"/>
    <n v="1710000"/>
    <n v="-1710000"/>
    <s v="Citra"/>
    <b v="0"/>
    <b v="0"/>
    <b v="0"/>
    <b v="0"/>
    <b v="1"/>
    <x v="1"/>
  </r>
  <r>
    <s v="ORD-0222"/>
    <d v="2026-06-10T00:00:00"/>
    <x v="0"/>
    <n v="6"/>
    <s v="Alya Putri"/>
    <x v="2"/>
    <x v="0"/>
    <x v="0"/>
    <s v="P-2002"/>
    <s v="Desk Lamp"/>
    <x v="1"/>
    <n v="5"/>
    <n v="0.1"/>
    <n v="1237500"/>
    <n v="775000"/>
    <n v="462500"/>
    <s v="Citra"/>
    <b v="0"/>
    <b v="0"/>
    <b v="0"/>
    <b v="0"/>
    <b v="0"/>
    <x v="0"/>
  </r>
  <r>
    <s v="ORD-0223"/>
    <d v="2026-06-18T00:00:00"/>
    <x v="0"/>
    <n v="6"/>
    <s v="PT Sinar Jaya"/>
    <x v="1"/>
    <x v="1"/>
    <x v="0"/>
    <s v="P-1002"/>
    <s v="Wireless Mouse"/>
    <x v="2"/>
    <n v="6"/>
    <n v="0.1"/>
    <n v="1323000"/>
    <n v="870000"/>
    <n v="453000"/>
    <s v="Raka"/>
    <b v="0"/>
    <b v="0"/>
    <b v="0"/>
    <b v="0"/>
    <b v="0"/>
    <x v="0"/>
  </r>
  <r>
    <s v="ORD-0224"/>
    <d v="2026-06-16T00:00:00"/>
    <x v="0"/>
    <n v="6"/>
    <s v="Citra Dewi"/>
    <x v="1"/>
    <x v="2"/>
    <x v="0"/>
    <s v="P-5001"/>
    <s v="Monitor 24 inch"/>
    <x v="0"/>
    <n v="4"/>
    <n v="0.1"/>
    <n v="6660000"/>
    <n v="5280000"/>
    <n v="1380000"/>
    <s v="Raka"/>
    <b v="0"/>
    <b v="0"/>
    <b v="0"/>
    <b v="0"/>
    <b v="0"/>
    <x v="0"/>
  </r>
  <r>
    <s v="ORD-0225"/>
    <d v="2026-05-04T00:00:00"/>
    <x v="1"/>
    <n v="5"/>
    <s v="PT Sinar Jaya"/>
    <x v="3"/>
    <x v="1"/>
    <x v="0"/>
    <s v="P-3001"/>
    <s v="Notebook Pack"/>
    <x v="3"/>
    <n v="4"/>
    <n v="0.15"/>
    <n v="221000"/>
    <n v="124000"/>
    <n v="97000"/>
    <s v="Citra"/>
    <b v="0"/>
    <b v="0"/>
    <b v="0"/>
    <b v="0"/>
    <b v="0"/>
    <x v="0"/>
  </r>
  <r>
    <s v="ORD-0226"/>
    <d v="2026-04-23T00:00:00"/>
    <x v="5"/>
    <n v="4"/>
    <s v="Dimas Pratama"/>
    <x v="4"/>
    <x v="0"/>
    <x v="0"/>
    <s v="P-1003"/>
    <s v="Laptop Stand"/>
    <x v="2"/>
    <n v="7"/>
    <n v="0.08"/>
    <n v="1996400"/>
    <n v="1330000"/>
    <n v="666400"/>
    <s v="Sari"/>
    <b v="0"/>
    <b v="0"/>
    <b v="0"/>
    <b v="0"/>
    <b v="0"/>
    <x v="0"/>
  </r>
  <r>
    <s v="ORD-0227"/>
    <d v="2026-03-30T00:00:00"/>
    <x v="3"/>
    <n v="3"/>
    <s v="Dimas Pratama"/>
    <x v="2"/>
    <x v="1"/>
    <x v="0"/>
    <s v="P-6001"/>
    <s v="Storage Box"/>
    <x v="4"/>
    <n v="7"/>
    <n v="0.03"/>
    <n v="848750"/>
    <n v="490000"/>
    <n v="358750"/>
    <s v="Dimas"/>
    <b v="0"/>
    <b v="0"/>
    <b v="0"/>
    <b v="0"/>
    <b v="0"/>
    <x v="0"/>
  </r>
  <r>
    <s v="ORD-0228"/>
    <d v="2026-04-30T00:00:00"/>
    <x v="5"/>
    <n v="4"/>
    <s v="PT Sinar Jaya"/>
    <x v="0"/>
    <x v="1"/>
    <x v="0"/>
    <s v="P-3002"/>
    <s v="Marker Set"/>
    <x v="3"/>
    <n v="2"/>
    <n v="0.05"/>
    <n v="161500"/>
    <n v="86000"/>
    <n v="75500"/>
    <s v="Raka"/>
    <b v="0"/>
    <b v="0"/>
    <b v="0"/>
    <b v="0"/>
    <b v="0"/>
    <x v="0"/>
  </r>
  <r>
    <s v="ORD-0229"/>
    <d v="2026-04-09T00:00:00"/>
    <x v="5"/>
    <n v="4"/>
    <s v="Bima Santoso"/>
    <x v="4"/>
    <x v="3"/>
    <x v="1"/>
    <s v="P-2001"/>
    <s v="Office Chair"/>
    <x v="1"/>
    <n v="7"/>
    <n v="0.03"/>
    <n v="0"/>
    <n v="6860000"/>
    <n v="-6860000"/>
    <s v="Citra"/>
    <b v="0"/>
    <b v="0"/>
    <b v="0"/>
    <b v="0"/>
    <b v="1"/>
    <x v="1"/>
  </r>
  <r>
    <s v="ORD-0230"/>
    <d v="2026-05-08T00:00:00"/>
    <x v="1"/>
    <n v="5"/>
    <s v="CV Maju Bersama"/>
    <x v="3"/>
    <x v="1"/>
    <x v="2"/>
    <s v="P-1001"/>
    <s v="USB-C Hub"/>
    <x v="0"/>
    <n v="8"/>
    <n v="0.08"/>
    <n v="2576000"/>
    <n v="1680000"/>
    <n v="896000"/>
    <s v="Nadia"/>
    <b v="0"/>
    <b v="0"/>
    <b v="0"/>
    <b v="0"/>
    <b v="0"/>
    <x v="0"/>
  </r>
  <r>
    <s v="ORD-0231"/>
    <d v="2026-05-10T00:00:00"/>
    <x v="1"/>
    <n v="5"/>
    <s v="PT Sinar Jaya"/>
    <x v="4"/>
    <x v="1"/>
    <x v="0"/>
    <s v="P-4001"/>
    <s v="Keyboard"/>
    <x v="0"/>
    <n v="8"/>
    <n v="0.03"/>
    <n v="3686000"/>
    <n v="2280000"/>
    <n v="1406000"/>
    <s v="Raka"/>
    <b v="0"/>
    <b v="0"/>
    <b v="0"/>
    <b v="0"/>
    <b v="0"/>
    <x v="0"/>
  </r>
  <r>
    <s v="ORD-0232"/>
    <d v="2026-05-07T00:00:00"/>
    <x v="1"/>
    <n v="5"/>
    <s v="Alya Putri"/>
    <x v="1"/>
    <x v="2"/>
    <x v="0"/>
    <s v="P-2002"/>
    <s v="Desk Lamp"/>
    <x v="1"/>
    <n v="8"/>
    <n v="0.05"/>
    <n v="2090000"/>
    <n v="1240000"/>
    <n v="850000"/>
    <s v="Raka"/>
    <b v="0"/>
    <b v="0"/>
    <b v="0"/>
    <b v="0"/>
    <b v="0"/>
    <x v="0"/>
  </r>
  <r>
    <s v="ORD-0233"/>
    <d v="2026-04-04T00:00:00"/>
    <x v="5"/>
    <n v="4"/>
    <s v="Dimas Pratama"/>
    <x v="1"/>
    <x v="0"/>
    <x v="0"/>
    <s v="P-1002"/>
    <s v="Wireless Mouse"/>
    <x v="2"/>
    <n v="7"/>
    <n v="0.05"/>
    <n v="1629250"/>
    <n v="1015000"/>
    <n v="614250"/>
    <s v="Raka"/>
    <b v="0"/>
    <b v="0"/>
    <b v="0"/>
    <b v="0"/>
    <b v="0"/>
    <x v="0"/>
  </r>
  <r>
    <s v="ORD-0234"/>
    <d v="2026-01-19T00:00:00"/>
    <x v="4"/>
    <n v="1"/>
    <s v="CV Maju Bersama"/>
    <x v="2"/>
    <x v="3"/>
    <x v="0"/>
    <s v="P-5001"/>
    <s v="Monitor 24 inch"/>
    <x v="0"/>
    <n v="7"/>
    <n v="0.1"/>
    <n v="11655000"/>
    <n v="9240000"/>
    <n v="2415000"/>
    <s v="Citra"/>
    <b v="0"/>
    <b v="0"/>
    <b v="0"/>
    <b v="0"/>
    <b v="0"/>
    <x v="0"/>
  </r>
  <r>
    <s v="ORD-0235"/>
    <d v="2026-01-25T00:00:00"/>
    <x v="4"/>
    <n v="1"/>
    <s v="Alya Putri"/>
    <x v="4"/>
    <x v="3"/>
    <x v="2"/>
    <s v="P-3001"/>
    <s v="Notebook Pack"/>
    <x v="3"/>
    <n v="7"/>
    <n v="0.05"/>
    <n v="432250"/>
    <n v="217000"/>
    <n v="215250"/>
    <s v="Dimas"/>
    <b v="0"/>
    <b v="0"/>
    <b v="0"/>
    <b v="0"/>
    <b v="0"/>
    <x v="0"/>
  </r>
  <r>
    <s v="ORD-0236"/>
    <d v="2026-04-06T00:00:00"/>
    <x v="5"/>
    <n v="4"/>
    <s v="Dimas Pratama"/>
    <x v="1"/>
    <x v="0"/>
    <x v="0"/>
    <s v="P-1003"/>
    <s v="Laptop Stand"/>
    <x v="2"/>
    <n v="7"/>
    <n v="0.1"/>
    <n v="1953000"/>
    <n v="1330000"/>
    <n v="623000"/>
    <s v="Fajar"/>
    <b v="0"/>
    <b v="0"/>
    <b v="0"/>
    <b v="0"/>
    <b v="0"/>
    <x v="0"/>
  </r>
  <r>
    <s v="ORD-0237"/>
    <d v="2026-05-13T00:00:00"/>
    <x v="1"/>
    <n v="5"/>
    <s v="Dimas Pratama"/>
    <x v="2"/>
    <x v="0"/>
    <x v="0"/>
    <s v="P-6001"/>
    <s v="Storage Box"/>
    <x v="4"/>
    <n v="8"/>
    <n v="0.03"/>
    <n v="970000"/>
    <n v="560000"/>
    <n v="410000"/>
    <s v="Sari"/>
    <b v="0"/>
    <b v="0"/>
    <b v="0"/>
    <b v="0"/>
    <b v="0"/>
    <x v="0"/>
  </r>
  <r>
    <s v="ORD-0238"/>
    <d v="2026-02-11T00:00:00"/>
    <x v="2"/>
    <n v="2"/>
    <s v="Sari Lestari"/>
    <x v="4"/>
    <x v="3"/>
    <x v="0"/>
    <s v="P-3002"/>
    <s v="Marker Set"/>
    <x v="3"/>
    <n v="7"/>
    <n v="0.1"/>
    <n v="535500"/>
    <n v="301000"/>
    <n v="234500"/>
    <s v="Raka"/>
    <b v="0"/>
    <b v="0"/>
    <b v="0"/>
    <b v="0"/>
    <b v="0"/>
    <x v="0"/>
  </r>
  <r>
    <s v="ORD-0239"/>
    <d v="2026-05-02T00:00:00"/>
    <x v="1"/>
    <n v="5"/>
    <s v="Citra Dewi"/>
    <x v="1"/>
    <x v="2"/>
    <x v="0"/>
    <s v="P-2001"/>
    <s v="Office Chair"/>
    <x v="1"/>
    <n v="1"/>
    <n v="0.05"/>
    <n v="1377500"/>
    <n v="980000"/>
    <n v="397500"/>
    <s v="Alya"/>
    <b v="0"/>
    <b v="0"/>
    <b v="0"/>
    <b v="0"/>
    <b v="0"/>
    <x v="0"/>
  </r>
  <r>
    <s v="ORD-0240"/>
    <d v="2026-06-02T00:00:00"/>
    <x v="0"/>
    <n v="6"/>
    <s v="PT Sinar Jaya"/>
    <x v="2"/>
    <x v="0"/>
    <x v="1"/>
    <s v="P-1001"/>
    <s v="USB-C Hub"/>
    <x v="0"/>
    <n v="8"/>
    <n v="0.05"/>
    <n v="1330000"/>
    <n v="1680000"/>
    <n v="-350000"/>
    <s v="Fajar"/>
    <b v="0"/>
    <b v="0"/>
    <b v="0"/>
    <b v="0"/>
    <b v="1"/>
    <x v="1"/>
  </r>
  <r>
    <s v="ORD-0241"/>
    <d v="2026-02-13T00:00:00"/>
    <x v="2"/>
    <n v="2"/>
    <s v="CV Maju Bersama"/>
    <x v="0"/>
    <x v="1"/>
    <x v="2"/>
    <s v="P-4001"/>
    <s v="Keyboard"/>
    <x v="0"/>
    <n v="7"/>
    <n v="0.03"/>
    <n v="3225250"/>
    <n v="1995000"/>
    <n v="1230250"/>
    <s v="Dimas"/>
    <b v="0"/>
    <b v="0"/>
    <b v="0"/>
    <b v="0"/>
    <b v="0"/>
    <x v="0"/>
  </r>
  <r>
    <s v="ORD-0242"/>
    <d v="2026-01-05T00:00:00"/>
    <x v="4"/>
    <n v="1"/>
    <s v="Raka Wijaya"/>
    <x v="3"/>
    <x v="0"/>
    <x v="0"/>
    <s v="P-2002"/>
    <s v="Desk Lamp"/>
    <x v="1"/>
    <n v="8"/>
    <n v="0.05"/>
    <n v="2090000"/>
    <n v="1240000"/>
    <n v="850000"/>
    <s v="Fajar"/>
    <b v="0"/>
    <b v="0"/>
    <b v="0"/>
    <b v="0"/>
    <b v="0"/>
    <x v="0"/>
  </r>
  <r>
    <s v="ORD-0243"/>
    <d v="2026-01-16T00:00:00"/>
    <x v="4"/>
    <n v="1"/>
    <s v="Raka Wijaya"/>
    <x v="4"/>
    <x v="2"/>
    <x v="0"/>
    <s v="P-1002"/>
    <s v="Wireless Mouse"/>
    <x v="2"/>
    <n v="3"/>
    <n v="0.1"/>
    <n v="661500"/>
    <n v="435000"/>
    <n v="226500"/>
    <s v="Sari"/>
    <b v="0"/>
    <b v="0"/>
    <b v="0"/>
    <b v="0"/>
    <b v="0"/>
    <x v="0"/>
  </r>
  <r>
    <s v="ORD-0244"/>
    <d v="2026-02-14T00:00:00"/>
    <x v="2"/>
    <n v="2"/>
    <s v="Sari Lestari"/>
    <x v="4"/>
    <x v="3"/>
    <x v="0"/>
    <s v="P-5001"/>
    <s v="Monitor 24 inch"/>
    <x v="0"/>
    <n v="8"/>
    <n v="0.1"/>
    <n v="13320000"/>
    <n v="10560000"/>
    <n v="2760000"/>
    <s v="Dimas"/>
    <b v="0"/>
    <b v="0"/>
    <b v="0"/>
    <b v="0"/>
    <b v="0"/>
    <x v="0"/>
  </r>
  <r>
    <s v="ORD-0245"/>
    <d v="2026-03-05T00:00:00"/>
    <x v="3"/>
    <n v="3"/>
    <s v="Bima Santoso"/>
    <x v="4"/>
    <x v="3"/>
    <x v="0"/>
    <s v="P-3001"/>
    <s v="Notebook Pack"/>
    <x v="3"/>
    <n v="5"/>
    <n v="0.1"/>
    <n v="292500"/>
    <n v="155000"/>
    <n v="137500"/>
    <s v="Fajar"/>
    <b v="0"/>
    <b v="0"/>
    <b v="0"/>
    <b v="0"/>
    <b v="0"/>
    <x v="0"/>
  </r>
  <r>
    <s v="ORD-0246"/>
    <d v="2026-03-23T00:00:00"/>
    <x v="3"/>
    <n v="3"/>
    <s v="CV Maju Bersama"/>
    <x v="4"/>
    <x v="3"/>
    <x v="0"/>
    <s v="P-1003"/>
    <s v="Laptop Stand"/>
    <x v="2"/>
    <n v="8"/>
    <n v="0.05"/>
    <n v="2356000"/>
    <n v="1520000"/>
    <n v="836000"/>
    <s v="Nadia"/>
    <b v="0"/>
    <b v="0"/>
    <b v="0"/>
    <b v="0"/>
    <b v="0"/>
    <x v="0"/>
  </r>
  <r>
    <s v="ORD-0247"/>
    <d v="2026-04-12T00:00:00"/>
    <x v="5"/>
    <n v="4"/>
    <s v="Dimas Pratama"/>
    <x v="4"/>
    <x v="1"/>
    <x v="0"/>
    <s v="P-6001"/>
    <s v="Storage Box"/>
    <x v="4"/>
    <n v="6"/>
    <n v="0.03"/>
    <n v="727500"/>
    <n v="420000"/>
    <n v="307500"/>
    <s v="Fajar"/>
    <b v="0"/>
    <b v="0"/>
    <b v="0"/>
    <b v="0"/>
    <b v="0"/>
    <x v="0"/>
  </r>
  <r>
    <s v="ORD-0248"/>
    <d v="2026-06-17T00:00:00"/>
    <x v="0"/>
    <n v="6"/>
    <s v="Citra Dewi"/>
    <x v="0"/>
    <x v="3"/>
    <x v="0"/>
    <s v="P-3002"/>
    <s v="Marker Set"/>
    <x v="3"/>
    <n v="5"/>
    <n v="0.15"/>
    <n v="361250"/>
    <n v="215000"/>
    <n v="146250"/>
    <s v="Citra"/>
    <b v="0"/>
    <b v="0"/>
    <b v="0"/>
    <b v="0"/>
    <b v="0"/>
    <x v="0"/>
  </r>
  <r>
    <s v="ORD-0249"/>
    <m/>
    <x v="6"/>
    <m/>
    <s v="Bima Santoso"/>
    <x v="2"/>
    <x v="0"/>
    <x v="0"/>
    <s v="P-2001"/>
    <s v="Office Chair"/>
    <x v="1"/>
    <n v="4"/>
    <n v="0.03"/>
    <n v="5626000"/>
    <n v="3920000"/>
    <n v="1706000"/>
    <s v="Alya"/>
    <b v="0"/>
    <b v="0"/>
    <b v="1"/>
    <b v="0"/>
    <b v="0"/>
    <x v="3"/>
  </r>
  <r>
    <s v="ORD-0250"/>
    <d v="2026-01-26T00:00:00"/>
    <x v="4"/>
    <n v="1"/>
    <s v="PT Sinar Jaya"/>
    <x v="1"/>
    <x v="0"/>
    <x v="0"/>
    <s v="P-1001"/>
    <s v="USB-C Hub"/>
    <x v="0"/>
    <n v="7"/>
    <n v="0.05"/>
    <n v="2327500"/>
    <n v="1470000"/>
    <n v="857500"/>
    <s v="Citra"/>
    <b v="0"/>
    <b v="0"/>
    <b v="0"/>
    <b v="0"/>
    <b v="0"/>
    <x v="0"/>
  </r>
  <r>
    <s v="ORD-0251"/>
    <d v="2026-04-15T00:00:00"/>
    <x v="5"/>
    <n v="4"/>
    <s v="Citra Dewi"/>
    <x v="4"/>
    <x v="3"/>
    <x v="0"/>
    <s v="P-4001"/>
    <s v="Keyboard"/>
    <x v="0"/>
    <n v="8"/>
    <n v="0.08"/>
    <n v="3496000"/>
    <n v="2280000"/>
    <n v="1216000"/>
    <s v="Alya"/>
    <b v="0"/>
    <b v="0"/>
    <b v="0"/>
    <b v="0"/>
    <b v="0"/>
    <x v="0"/>
  </r>
  <r>
    <s v="ORD-0252"/>
    <d v="2026-01-23T00:00:00"/>
    <x v="4"/>
    <n v="1"/>
    <s v="Raka Wijaya"/>
    <x v="1"/>
    <x v="0"/>
    <x v="0"/>
    <s v="P-2002"/>
    <s v="Desk Lamp"/>
    <x v="1"/>
    <n v="4"/>
    <n v="0.1"/>
    <n v="990000"/>
    <n v="620000"/>
    <n v="370000"/>
    <s v="Citra"/>
    <b v="0"/>
    <b v="0"/>
    <b v="0"/>
    <b v="0"/>
    <b v="0"/>
    <x v="0"/>
  </r>
  <r>
    <s v="ORD-0253"/>
    <d v="2026-01-10T00:00:00"/>
    <x v="4"/>
    <n v="1"/>
    <s v="PT Sinar Jaya"/>
    <x v="4"/>
    <x v="1"/>
    <x v="0"/>
    <s v="P-1002"/>
    <s v="Wireless Mouse"/>
    <x v="2"/>
    <n v="7"/>
    <n v="0.08"/>
    <n v="1577800"/>
    <n v="1015000"/>
    <n v="562800"/>
    <s v="Raka"/>
    <b v="0"/>
    <b v="0"/>
    <b v="0"/>
    <b v="0"/>
    <b v="0"/>
    <x v="0"/>
  </r>
  <r>
    <s v="ORD-0254"/>
    <d v="2026-05-26T00:00:00"/>
    <x v="1"/>
    <n v="5"/>
    <s v="Alya Putri"/>
    <x v="2"/>
    <x v="2"/>
    <x v="0"/>
    <s v="P-5001"/>
    <s v="Monitor 24 inch"/>
    <x v="0"/>
    <n v="2"/>
    <n v="0.05"/>
    <n v="3515000"/>
    <n v="2640000"/>
    <n v="875000"/>
    <s v="Fajar"/>
    <b v="0"/>
    <b v="0"/>
    <b v="0"/>
    <b v="0"/>
    <b v="0"/>
    <x v="0"/>
  </r>
  <r>
    <s v="ORD-0255"/>
    <d v="2026-03-11T00:00:00"/>
    <x v="3"/>
    <n v="3"/>
    <s v="Alya Putri"/>
    <x v="3"/>
    <x v="3"/>
    <x v="0"/>
    <s v="P-3001"/>
    <s v="Notebook Pack"/>
    <x v="3"/>
    <n v="4"/>
    <n v="0"/>
    <n v="260000"/>
    <n v="124000"/>
    <n v="136000"/>
    <s v="Alya"/>
    <b v="0"/>
    <b v="0"/>
    <b v="0"/>
    <b v="0"/>
    <b v="0"/>
    <x v="0"/>
  </r>
  <r>
    <s v="ORD-0256"/>
    <d v="2026-03-28T00:00:00"/>
    <x v="3"/>
    <n v="3"/>
    <s v="Raka Wijaya"/>
    <x v="0"/>
    <x v="0"/>
    <x v="0"/>
    <s v="P-1003"/>
    <s v="Laptop Stand"/>
    <x v="2"/>
    <n v="5"/>
    <n v="0.1"/>
    <n v="1395000"/>
    <n v="950000"/>
    <n v="445000"/>
    <s v="Nadia"/>
    <b v="0"/>
    <b v="0"/>
    <b v="0"/>
    <b v="0"/>
    <b v="0"/>
    <x v="0"/>
  </r>
  <r>
    <s v="ORD-0257"/>
    <d v="2026-05-12T00:00:00"/>
    <x v="1"/>
    <n v="5"/>
    <s v="Alya Putri"/>
    <x v="1"/>
    <x v="0"/>
    <x v="0"/>
    <s v="P-6001"/>
    <s v="Storage Box"/>
    <x v="4"/>
    <n v="6"/>
    <n v="0"/>
    <n v="750000"/>
    <n v="420000"/>
    <n v="330000"/>
    <s v="Fajar"/>
    <b v="0"/>
    <b v="0"/>
    <b v="0"/>
    <b v="0"/>
    <b v="0"/>
    <x v="0"/>
  </r>
  <r>
    <s v="ORD-0258"/>
    <d v="2026-03-24T00:00:00"/>
    <x v="3"/>
    <n v="3"/>
    <s v="Citra Dewi"/>
    <x v="0"/>
    <x v="2"/>
    <x v="0"/>
    <s v="P-3002"/>
    <s v="Marker Set"/>
    <x v="3"/>
    <n v="4"/>
    <n v="0"/>
    <n v="340000"/>
    <n v="172000"/>
    <n v="168000"/>
    <s v="Sari"/>
    <b v="0"/>
    <b v="0"/>
    <b v="0"/>
    <b v="0"/>
    <b v="0"/>
    <x v="0"/>
  </r>
  <r>
    <s v="ORD-0259"/>
    <d v="2026-03-19T00:00:00"/>
    <x v="3"/>
    <n v="3"/>
    <s v="CV Maju Bersama"/>
    <x v="0"/>
    <x v="1"/>
    <x v="0"/>
    <s v="P-2001"/>
    <s v="Office Chair"/>
    <x v="1"/>
    <n v="1"/>
    <n v="0.05"/>
    <n v="1377500"/>
    <n v="980000"/>
    <n v="397500"/>
    <s v="Fajar"/>
    <b v="0"/>
    <b v="0"/>
    <b v="0"/>
    <b v="0"/>
    <b v="0"/>
    <x v="0"/>
  </r>
  <r>
    <s v="ORD-0260"/>
    <d v="2026-03-20T00:00:00"/>
    <x v="3"/>
    <n v="3"/>
    <s v="Citra Dewi"/>
    <x v="4"/>
    <x v="1"/>
    <x v="0"/>
    <s v="P-1001"/>
    <s v="USB-C Hub"/>
    <x v="0"/>
    <n v="3"/>
    <n v="0.08"/>
    <n v="966000"/>
    <n v="630000"/>
    <n v="336000"/>
    <s v="Sari"/>
    <b v="0"/>
    <b v="0"/>
    <b v="0"/>
    <b v="0"/>
    <b v="0"/>
    <x v="0"/>
  </r>
  <r>
    <s v="ORD-0261"/>
    <d v="2026-06-07T00:00:00"/>
    <x v="0"/>
    <n v="6"/>
    <s v="Dimas Pratama"/>
    <x v="0"/>
    <x v="2"/>
    <x v="3"/>
    <s v="P-4001"/>
    <s v="Keyboard"/>
    <x v="0"/>
    <n v="4"/>
    <n v="0.03"/>
    <n v="460750"/>
    <n v="1140000"/>
    <n v="-679250"/>
    <s v="Nadia"/>
    <b v="0"/>
    <b v="0"/>
    <b v="0"/>
    <b v="0"/>
    <b v="1"/>
    <x v="1"/>
  </r>
  <r>
    <s v="ORD-0262"/>
    <d v="2026-06-29T00:00:00"/>
    <x v="0"/>
    <n v="6"/>
    <s v="CV Maju Bersama"/>
    <x v="0"/>
    <x v="0"/>
    <x v="2"/>
    <s v="P-2002"/>
    <s v="Desk Lamp"/>
    <x v="1"/>
    <n v="8"/>
    <n v="0.1"/>
    <n v="1980000"/>
    <n v="1240000"/>
    <n v="740000"/>
    <s v="Fajar"/>
    <b v="0"/>
    <b v="0"/>
    <b v="0"/>
    <b v="0"/>
    <b v="0"/>
    <x v="0"/>
  </r>
  <r>
    <s v="ORD-0263"/>
    <d v="2026-05-16T00:00:00"/>
    <x v="1"/>
    <n v="5"/>
    <s v="Alya Putri"/>
    <x v="1"/>
    <x v="0"/>
    <x v="3"/>
    <s v="P-1002"/>
    <s v="Wireless Mouse"/>
    <x v="2"/>
    <n v="6"/>
    <n v="0"/>
    <n v="0"/>
    <n v="870000"/>
    <n v="-870000"/>
    <s v="Citra"/>
    <b v="0"/>
    <b v="0"/>
    <b v="0"/>
    <b v="0"/>
    <b v="1"/>
    <x v="1"/>
  </r>
  <r>
    <s v="ORD-0264"/>
    <d v="2026-03-25T00:00:00"/>
    <x v="3"/>
    <n v="3"/>
    <s v="CV Maju Bersama"/>
    <x v="2"/>
    <x v="2"/>
    <x v="0"/>
    <s v="P-5001"/>
    <s v="Monitor 24 inch"/>
    <x v="0"/>
    <n v="8"/>
    <n v="0"/>
    <n v="14800000"/>
    <n v="10560000"/>
    <n v="4240000"/>
    <s v="Fajar"/>
    <b v="0"/>
    <b v="0"/>
    <b v="0"/>
    <b v="0"/>
    <b v="0"/>
    <x v="0"/>
  </r>
  <r>
    <s v="ORD-0265"/>
    <d v="2026-01-15T00:00:00"/>
    <x v="4"/>
    <n v="1"/>
    <s v="Sari Lestari"/>
    <x v="3"/>
    <x v="1"/>
    <x v="0"/>
    <s v="P-3001"/>
    <s v="Notebook Pack"/>
    <x v="3"/>
    <n v="8"/>
    <n v="0.03"/>
    <n v="504400"/>
    <n v="248000"/>
    <n v="256400"/>
    <s v="Raka"/>
    <b v="0"/>
    <b v="0"/>
    <b v="0"/>
    <b v="0"/>
    <b v="0"/>
    <x v="0"/>
  </r>
  <r>
    <s v="ORD-0266"/>
    <d v="2026-01-06T00:00:00"/>
    <x v="4"/>
    <n v="1"/>
    <s v="PT Sinar Jaya"/>
    <x v="0"/>
    <x v="1"/>
    <x v="2"/>
    <s v="P-1003"/>
    <s v="Laptop Stand"/>
    <x v="2"/>
    <n v="7"/>
    <n v="0.05"/>
    <n v="2061500"/>
    <n v="1330000"/>
    <n v="731500"/>
    <s v="Nadia"/>
    <b v="0"/>
    <b v="0"/>
    <b v="0"/>
    <b v="0"/>
    <b v="0"/>
    <x v="0"/>
  </r>
  <r>
    <s v="ORD-0267"/>
    <d v="2026-03-30T00:00:00"/>
    <x v="3"/>
    <n v="3"/>
    <s v="Citra Dewi"/>
    <x v="3"/>
    <x v="1"/>
    <x v="1"/>
    <s v="P-6001"/>
    <s v="Storage Box"/>
    <x v="4"/>
    <m/>
    <n v="0.1"/>
    <n v="0"/>
    <n v="140000"/>
    <n v="-140000"/>
    <s v="Nadia"/>
    <b v="0"/>
    <b v="1"/>
    <b v="0"/>
    <b v="0"/>
    <b v="1"/>
    <x v="4"/>
  </r>
  <r>
    <s v="ORD-0268"/>
    <d v="2026-02-16T00:00:00"/>
    <x v="2"/>
    <n v="2"/>
    <s v="Raka Wijaya"/>
    <x v="3"/>
    <x v="3"/>
    <x v="1"/>
    <s v="P-3002"/>
    <s v="Marker Set"/>
    <x v="3"/>
    <n v="3"/>
    <n v="0.15"/>
    <m/>
    <n v="129000"/>
    <n v="-20625"/>
    <s v="Fajar"/>
    <b v="0"/>
    <b v="0"/>
    <b v="0"/>
    <b v="1"/>
    <b v="1"/>
    <x v="2"/>
  </r>
  <r>
    <s v="ORD-0269"/>
    <d v="2026-04-07T00:00:00"/>
    <x v="5"/>
    <n v="4"/>
    <s v="Dimas Pratama"/>
    <x v="2"/>
    <x v="0"/>
    <x v="0"/>
    <s v="P-2001"/>
    <s v="Office Chair"/>
    <x v="1"/>
    <n v="7"/>
    <n v="0"/>
    <n v="10150000"/>
    <n v="6860000"/>
    <n v="3290000"/>
    <s v="Bima"/>
    <b v="0"/>
    <b v="0"/>
    <b v="0"/>
    <b v="0"/>
    <b v="0"/>
    <x v="0"/>
  </r>
  <r>
    <s v="ORD-0270"/>
    <d v="2026-02-15T00:00:00"/>
    <x v="2"/>
    <n v="2"/>
    <s v="PT Sinar Jaya"/>
    <x v="0"/>
    <x v="1"/>
    <x v="0"/>
    <s v="P-1001"/>
    <s v="USB-C Hub"/>
    <x v="0"/>
    <n v="7"/>
    <n v="0.1"/>
    <n v="2205000"/>
    <n v="1470000"/>
    <n v="735000"/>
    <s v="Raka"/>
    <b v="0"/>
    <b v="0"/>
    <b v="0"/>
    <b v="0"/>
    <b v="0"/>
    <x v="0"/>
  </r>
  <r>
    <s v="ORD-0271"/>
    <d v="2026-04-29T00:00:00"/>
    <x v="5"/>
    <n v="4"/>
    <s v="Sari Lestari"/>
    <x v="0"/>
    <x v="0"/>
    <x v="0"/>
    <s v="P-4001"/>
    <s v="Keyboard"/>
    <x v="0"/>
    <n v="7"/>
    <n v="0.1"/>
    <n v="2992500"/>
    <n v="1995000"/>
    <n v="997500"/>
    <s v="Sari"/>
    <b v="0"/>
    <b v="0"/>
    <b v="0"/>
    <b v="0"/>
    <b v="0"/>
    <x v="0"/>
  </r>
  <r>
    <s v="ORD-0272"/>
    <d v="2026-02-09T00:00:00"/>
    <x v="2"/>
    <n v="2"/>
    <s v="Raka Wijaya"/>
    <x v="1"/>
    <x v="1"/>
    <x v="3"/>
    <s v="P-2002"/>
    <s v="Desk Lamp"/>
    <x v="1"/>
    <n v="5"/>
    <n v="0.03"/>
    <n v="666875"/>
    <n v="775000"/>
    <n v="-108125"/>
    <s v="Alya"/>
    <b v="0"/>
    <b v="0"/>
    <b v="0"/>
    <b v="0"/>
    <b v="1"/>
    <x v="1"/>
  </r>
  <r>
    <s v="ORD-0273"/>
    <d v="2026-03-03T00:00:00"/>
    <x v="3"/>
    <n v="3"/>
    <s v="PT Sinar Jaya"/>
    <x v="1"/>
    <x v="2"/>
    <x v="0"/>
    <s v="P-1002"/>
    <s v="Wireless Mouse"/>
    <x v="2"/>
    <n v="4"/>
    <n v="0"/>
    <n v="980000"/>
    <n v="580000"/>
    <n v="400000"/>
    <s v="Dimas"/>
    <b v="0"/>
    <b v="0"/>
    <b v="0"/>
    <b v="0"/>
    <b v="0"/>
    <x v="0"/>
  </r>
  <r>
    <s v="ORD-0274"/>
    <d v="2026-01-12T00:00:00"/>
    <x v="4"/>
    <n v="1"/>
    <s v="Alya Putri"/>
    <x v="0"/>
    <x v="1"/>
    <x v="0"/>
    <s v="P-5001"/>
    <s v="Monitor 24 inch"/>
    <x v="0"/>
    <n v="7"/>
    <n v="0.08"/>
    <n v="11914000"/>
    <n v="9240000"/>
    <n v="2674000"/>
    <s v="Raka"/>
    <b v="0"/>
    <b v="0"/>
    <b v="0"/>
    <b v="0"/>
    <b v="0"/>
    <x v="0"/>
  </r>
  <r>
    <s v="ORD-0275"/>
    <d v="2026-03-01T00:00:00"/>
    <x v="3"/>
    <n v="3"/>
    <s v="Citra Dewi"/>
    <x v="4"/>
    <x v="0"/>
    <x v="0"/>
    <s v="P-3001"/>
    <s v="Notebook Pack"/>
    <x v="3"/>
    <n v="6"/>
    <n v="0.1"/>
    <n v="351000"/>
    <n v="186000"/>
    <n v="165000"/>
    <s v="Citra"/>
    <b v="0"/>
    <b v="0"/>
    <b v="0"/>
    <b v="0"/>
    <b v="0"/>
    <x v="0"/>
  </r>
  <r>
    <s v="ORD-0276"/>
    <d v="2026-06-19T00:00:00"/>
    <x v="0"/>
    <n v="6"/>
    <s v="Raka Wijaya"/>
    <x v="1"/>
    <x v="0"/>
    <x v="0"/>
    <s v="P-1003"/>
    <s v="Laptop Stand"/>
    <x v="2"/>
    <n v="4"/>
    <n v="0.08"/>
    <n v="1140800"/>
    <n v="760000"/>
    <n v="380800"/>
    <s v="Fajar"/>
    <b v="0"/>
    <b v="0"/>
    <b v="0"/>
    <b v="0"/>
    <b v="0"/>
    <x v="0"/>
  </r>
  <r>
    <s v="ORD-0277"/>
    <d v="2026-01-13T00:00:00"/>
    <x v="4"/>
    <n v="1"/>
    <s v="Raka Wijaya"/>
    <x v="2"/>
    <x v="3"/>
    <x v="0"/>
    <s v="P-6001"/>
    <s v="Storage Box"/>
    <x v="4"/>
    <n v="6"/>
    <n v="0.15"/>
    <n v="637500"/>
    <n v="420000"/>
    <n v="217500"/>
    <s v="Nadia"/>
    <b v="0"/>
    <b v="0"/>
    <b v="0"/>
    <b v="0"/>
    <b v="0"/>
    <x v="0"/>
  </r>
  <r>
    <s v="ORD-0278"/>
    <d v="2026-02-08T00:00:00"/>
    <x v="2"/>
    <n v="2"/>
    <s v="Bima Santoso"/>
    <x v="2"/>
    <x v="2"/>
    <x v="0"/>
    <s v="P-3002"/>
    <s v="Marker Set"/>
    <x v="3"/>
    <n v="5"/>
    <n v="0.08"/>
    <n v="391000"/>
    <n v="215000"/>
    <n v="176000"/>
    <s v="Dimas"/>
    <b v="0"/>
    <b v="0"/>
    <b v="0"/>
    <b v="0"/>
    <b v="0"/>
    <x v="0"/>
  </r>
  <r>
    <s v="ORD-0279"/>
    <d v="2026-03-18T00:00:00"/>
    <x v="3"/>
    <n v="3"/>
    <s v="Alya Putri"/>
    <x v="3"/>
    <x v="2"/>
    <x v="3"/>
    <s v="P-2001"/>
    <s v="Office Chair"/>
    <x v="1"/>
    <n v="3"/>
    <n v="0.08"/>
    <n v="2001000"/>
    <n v="2940000"/>
    <n v="-939000"/>
    <s v="Nadia"/>
    <b v="0"/>
    <b v="0"/>
    <b v="0"/>
    <b v="0"/>
    <b v="1"/>
    <x v="1"/>
  </r>
  <r>
    <s v="ORD-0280"/>
    <d v="2026-03-04T00:00:00"/>
    <x v="3"/>
    <n v="3"/>
    <s v="Dimas Pratama"/>
    <x v="1"/>
    <x v="2"/>
    <x v="0"/>
    <s v="P-1001"/>
    <s v="USB-C Hub"/>
    <x v="0"/>
    <n v="5"/>
    <n v="0.03"/>
    <n v="1697500"/>
    <n v="1050000"/>
    <n v="647500"/>
    <s v="Bima"/>
    <b v="0"/>
    <b v="0"/>
    <b v="0"/>
    <b v="0"/>
    <b v="0"/>
    <x v="0"/>
  </r>
  <r>
    <s v="ORD-0281"/>
    <d v="2026-05-18T00:00:00"/>
    <x v="1"/>
    <n v="5"/>
    <s v="CV Maju Bersama"/>
    <x v="2"/>
    <x v="1"/>
    <x v="0"/>
    <s v="P-4001"/>
    <s v="Keyboard"/>
    <x v="0"/>
    <n v="4"/>
    <n v="0"/>
    <n v="1900000"/>
    <n v="1140000"/>
    <n v="760000"/>
    <s v="Dimas"/>
    <b v="0"/>
    <b v="0"/>
    <b v="0"/>
    <b v="0"/>
    <b v="0"/>
    <x v="0"/>
  </r>
  <r>
    <s v="ORD-0282"/>
    <d v="2026-05-31T00:00:00"/>
    <x v="1"/>
    <n v="5"/>
    <s v="PT Sinar Jaya"/>
    <x v="4"/>
    <x v="3"/>
    <x v="0"/>
    <s v="P-2002"/>
    <s v="Desk Lamp"/>
    <x v="1"/>
    <n v="4"/>
    <n v="0.08"/>
    <n v="1012000"/>
    <n v="620000"/>
    <n v="392000"/>
    <s v="Dimas"/>
    <b v="0"/>
    <b v="0"/>
    <b v="0"/>
    <b v="0"/>
    <b v="0"/>
    <x v="0"/>
  </r>
  <r>
    <s v="ORD-0283"/>
    <d v="2026-02-18T00:00:00"/>
    <x v="2"/>
    <n v="2"/>
    <s v="Raka Wijaya"/>
    <x v="0"/>
    <x v="0"/>
    <x v="1"/>
    <s v="P-1002"/>
    <s v="Wireless Mouse"/>
    <x v="2"/>
    <n v="2"/>
    <n v="0.15"/>
    <n v="104125"/>
    <n v="290000"/>
    <n v="-185875"/>
    <s v="Dimas"/>
    <b v="0"/>
    <b v="0"/>
    <b v="0"/>
    <b v="0"/>
    <b v="1"/>
    <x v="1"/>
  </r>
  <r>
    <s v="ORD-0284"/>
    <d v="2026-05-22T00:00:00"/>
    <x v="1"/>
    <n v="5"/>
    <s v="Citra Dewi"/>
    <x v="2"/>
    <x v="3"/>
    <x v="0"/>
    <s v="P-5001"/>
    <s v="Monitor 24 inch"/>
    <x v="0"/>
    <n v="6"/>
    <n v="0.05"/>
    <n v="10545000"/>
    <n v="7920000"/>
    <n v="2625000"/>
    <s v="Raka"/>
    <b v="0"/>
    <b v="0"/>
    <b v="0"/>
    <b v="0"/>
    <b v="0"/>
    <x v="0"/>
  </r>
  <r>
    <s v="ORD-0285"/>
    <d v="2026-04-03T00:00:00"/>
    <x v="5"/>
    <n v="4"/>
    <s v="Bima Santoso"/>
    <x v="3"/>
    <x v="3"/>
    <x v="0"/>
    <s v="P-3001"/>
    <s v="Notebook Pack"/>
    <x v="3"/>
    <n v="8"/>
    <n v="0.08"/>
    <n v="478400"/>
    <n v="248000"/>
    <n v="230400"/>
    <s v="Sari"/>
    <b v="0"/>
    <b v="0"/>
    <b v="0"/>
    <b v="0"/>
    <b v="0"/>
    <x v="0"/>
  </r>
  <r>
    <s v="ORD-0286"/>
    <d v="2026-03-22T00:00:00"/>
    <x v="3"/>
    <n v="3"/>
    <s v="PT Sinar Jaya"/>
    <x v="0"/>
    <x v="0"/>
    <x v="0"/>
    <s v="P-1003"/>
    <s v="Laptop Stand"/>
    <x v="2"/>
    <n v="7"/>
    <n v="0"/>
    <n v="2170000"/>
    <n v="1330000"/>
    <n v="840000"/>
    <s v="Raka"/>
    <b v="0"/>
    <b v="0"/>
    <b v="0"/>
    <b v="0"/>
    <b v="0"/>
    <x v="0"/>
  </r>
  <r>
    <s v="ORD-0287"/>
    <d v="2026-05-22T00:00:00"/>
    <x v="1"/>
    <n v="5"/>
    <s v="Raka Wijaya"/>
    <x v="4"/>
    <x v="0"/>
    <x v="0"/>
    <s v="P-6001"/>
    <s v="Storage Box"/>
    <x v="4"/>
    <n v="7"/>
    <n v="0.05"/>
    <n v="831250"/>
    <n v="490000"/>
    <n v="341250"/>
    <s v="Dimas"/>
    <b v="0"/>
    <b v="0"/>
    <b v="0"/>
    <b v="0"/>
    <b v="0"/>
    <x v="0"/>
  </r>
  <r>
    <s v="ORD-0288"/>
    <d v="2026-05-08T00:00:00"/>
    <x v="1"/>
    <n v="5"/>
    <s v="Sari Lestari"/>
    <x v="3"/>
    <x v="2"/>
    <x v="0"/>
    <s v="P-3002"/>
    <s v="Marker Set"/>
    <x v="3"/>
    <n v="6"/>
    <n v="0.05"/>
    <n v="484500"/>
    <n v="258000"/>
    <n v="226500"/>
    <s v="Citra"/>
    <b v="0"/>
    <b v="0"/>
    <b v="0"/>
    <b v="0"/>
    <b v="0"/>
    <x v="0"/>
  </r>
  <r>
    <s v="ORD-0289"/>
    <d v="2026-04-01T00:00:00"/>
    <x v="5"/>
    <n v="4"/>
    <s v="PT Sinar Jaya"/>
    <x v="3"/>
    <x v="0"/>
    <x v="0"/>
    <s v="P-2001"/>
    <s v="Office Chair"/>
    <x v="1"/>
    <n v="3"/>
    <n v="0.03"/>
    <n v="4219500"/>
    <n v="2940000"/>
    <n v="1279500"/>
    <s v="Alya"/>
    <b v="0"/>
    <b v="0"/>
    <b v="0"/>
    <b v="0"/>
    <b v="0"/>
    <x v="0"/>
  </r>
  <r>
    <s v="ORD-0290"/>
    <d v="2026-01-20T00:00:00"/>
    <x v="4"/>
    <n v="1"/>
    <s v="Alya Putri"/>
    <x v="0"/>
    <x v="1"/>
    <x v="0"/>
    <s v="P-1001"/>
    <s v="USB-C Hub"/>
    <x v="0"/>
    <n v="1"/>
    <n v="0"/>
    <n v="350000"/>
    <n v="210000"/>
    <n v="140000"/>
    <s v="Alya"/>
    <b v="0"/>
    <b v="0"/>
    <b v="0"/>
    <b v="0"/>
    <b v="0"/>
    <x v="0"/>
  </r>
  <r>
    <s v="ORD-0291"/>
    <d v="2026-02-25T00:00:00"/>
    <x v="2"/>
    <n v="2"/>
    <s v="Sari Lestari"/>
    <x v="2"/>
    <x v="2"/>
    <x v="0"/>
    <s v="P-4001"/>
    <s v="Keyboard"/>
    <x v="0"/>
    <n v="8"/>
    <n v="0.05"/>
    <n v="3610000"/>
    <n v="2280000"/>
    <n v="1330000"/>
    <s v="Alya"/>
    <b v="0"/>
    <b v="0"/>
    <b v="0"/>
    <b v="0"/>
    <b v="0"/>
    <x v="0"/>
  </r>
  <r>
    <s v="ORD-0292"/>
    <d v="2026-01-02T00:00:00"/>
    <x v="4"/>
    <n v="1"/>
    <s v="PT Sinar Jaya"/>
    <x v="4"/>
    <x v="3"/>
    <x v="0"/>
    <s v="P-2002"/>
    <s v="Desk Lamp"/>
    <x v="1"/>
    <n v="7"/>
    <n v="0"/>
    <n v="1925000"/>
    <n v="1085000"/>
    <n v="840000"/>
    <s v="Nadia"/>
    <b v="0"/>
    <b v="0"/>
    <b v="0"/>
    <b v="0"/>
    <b v="0"/>
    <x v="0"/>
  </r>
  <r>
    <s v="ORD-0293"/>
    <d v="2026-02-15T00:00:00"/>
    <x v="2"/>
    <n v="2"/>
    <s v="Citra Dewi"/>
    <x v="0"/>
    <x v="0"/>
    <x v="0"/>
    <s v="P-1002"/>
    <s v="Wireless Mouse"/>
    <x v="2"/>
    <n v="2"/>
    <n v="0"/>
    <n v="490000"/>
    <n v="290000"/>
    <n v="200000"/>
    <s v="Sari"/>
    <b v="0"/>
    <b v="0"/>
    <b v="0"/>
    <b v="0"/>
    <b v="0"/>
    <x v="0"/>
  </r>
  <r>
    <s v="ORD-0294"/>
    <d v="2026-03-10T00:00:00"/>
    <x v="3"/>
    <n v="3"/>
    <s v="Bima Santoso"/>
    <x v="3"/>
    <x v="2"/>
    <x v="0"/>
    <s v="P-5001"/>
    <s v="Monitor 24 inch"/>
    <x v="0"/>
    <n v="7"/>
    <n v="0"/>
    <n v="12950000"/>
    <n v="9240000"/>
    <n v="3710000"/>
    <s v="Dimas"/>
    <b v="0"/>
    <b v="0"/>
    <b v="0"/>
    <b v="0"/>
    <b v="0"/>
    <x v="0"/>
  </r>
  <r>
    <s v="ORD-0295"/>
    <d v="1990-01-01T00:00:00"/>
    <x v="4"/>
    <n v="1"/>
    <s v="Raka Wijaya"/>
    <x v="1"/>
    <x v="1"/>
    <x v="1"/>
    <s v="P-3001"/>
    <s v="Notebook Pack"/>
    <x v="3"/>
    <n v="2"/>
    <n v="0.15"/>
    <n v="55250"/>
    <n v="62000"/>
    <n v="-6750"/>
    <s v="Nadia"/>
    <b v="0"/>
    <b v="0"/>
    <b v="0"/>
    <b v="0"/>
    <b v="1"/>
    <x v="1"/>
  </r>
  <r>
    <s v="ORD-0296"/>
    <d v="2026-04-07T00:00:00"/>
    <x v="5"/>
    <n v="4"/>
    <s v="Sari Lestari"/>
    <x v="0"/>
    <x v="1"/>
    <x v="0"/>
    <s v="P-1003"/>
    <s v="Laptop Stand"/>
    <x v="2"/>
    <n v="8"/>
    <n v="0"/>
    <n v="2480000"/>
    <n v="1520000"/>
    <n v="960000"/>
    <s v="Nadia"/>
    <b v="0"/>
    <b v="0"/>
    <b v="0"/>
    <b v="0"/>
    <b v="0"/>
    <x v="0"/>
  </r>
  <r>
    <s v="ORD-0297"/>
    <d v="2026-06-15T00:00:00"/>
    <x v="0"/>
    <n v="6"/>
    <s v="Bima Santoso"/>
    <x v="2"/>
    <x v="1"/>
    <x v="1"/>
    <s v="P-6001"/>
    <s v="Storage Box"/>
    <x v="4"/>
    <n v="6"/>
    <n v="0.1"/>
    <n v="0"/>
    <n v="420000"/>
    <n v="-420000"/>
    <s v="Dimas"/>
    <b v="0"/>
    <b v="0"/>
    <b v="0"/>
    <b v="0"/>
    <b v="1"/>
    <x v="1"/>
  </r>
  <r>
    <s v="ORD-0298"/>
    <d v="2026-06-27T00:00:00"/>
    <x v="0"/>
    <n v="6"/>
    <s v="PT Sinar Jaya"/>
    <x v="1"/>
    <x v="3"/>
    <x v="0"/>
    <s v="P-3002"/>
    <s v="Marker Set"/>
    <x v="3"/>
    <n v="8"/>
    <n v="0.05"/>
    <n v="646000"/>
    <n v="344000"/>
    <n v="302000"/>
    <s v="Citra"/>
    <b v="0"/>
    <b v="0"/>
    <b v="0"/>
    <b v="0"/>
    <b v="0"/>
    <x v="0"/>
  </r>
  <r>
    <s v="ORD-0299"/>
    <d v="2026-03-22T00:00:00"/>
    <x v="3"/>
    <n v="3"/>
    <s v="Citra Dewi"/>
    <x v="3"/>
    <x v="1"/>
    <x v="0"/>
    <s v="P-2001"/>
    <s v="Office Chair"/>
    <x v="1"/>
    <n v="1"/>
    <n v="0.03"/>
    <n v="1406500"/>
    <n v="980000"/>
    <n v="426500"/>
    <s v="Citra"/>
    <b v="0"/>
    <b v="0"/>
    <b v="0"/>
    <b v="0"/>
    <b v="0"/>
    <x v="0"/>
  </r>
  <r>
    <s v="ORD-0300"/>
    <d v="2026-05-25T00:00:00"/>
    <x v="1"/>
    <n v="5"/>
    <s v="Raka Wijaya"/>
    <x v="3"/>
    <x v="3"/>
    <x v="2"/>
    <s v="P-1001"/>
    <s v="USB-C Hub"/>
    <x v="0"/>
    <n v="4"/>
    <n v="0.1"/>
    <n v="1260000"/>
    <n v="840000"/>
    <n v="420000"/>
    <s v="Citra"/>
    <b v="0"/>
    <b v="0"/>
    <b v="0"/>
    <b v="0"/>
    <b v="0"/>
    <x v="0"/>
  </r>
  <r>
    <s v="ORD-0301"/>
    <d v="2026-06-26T00:00:00"/>
    <x v="0"/>
    <n v="6"/>
    <s v="CV Maju Bersama"/>
    <x v="4"/>
    <x v="1"/>
    <x v="0"/>
    <s v="P-4001"/>
    <s v="Keyboard"/>
    <x v="0"/>
    <n v="2"/>
    <n v="0.1"/>
    <n v="855000"/>
    <n v="570000"/>
    <n v="285000"/>
    <s v="Nadia"/>
    <b v="0"/>
    <b v="0"/>
    <b v="0"/>
    <b v="0"/>
    <b v="0"/>
    <x v="0"/>
  </r>
  <r>
    <s v="ORD-0302"/>
    <d v="2026-03-01T00:00:00"/>
    <x v="3"/>
    <n v="3"/>
    <s v="Dimas Pratama"/>
    <x v="2"/>
    <x v="2"/>
    <x v="0"/>
    <s v="P-2002"/>
    <s v="Desk Lamp"/>
    <x v="1"/>
    <n v="2"/>
    <n v="0.05"/>
    <n v="522500"/>
    <n v="310000"/>
    <n v="212500"/>
    <s v="Alya"/>
    <b v="0"/>
    <b v="0"/>
    <b v="0"/>
    <b v="0"/>
    <b v="0"/>
    <x v="0"/>
  </r>
  <r>
    <s v="ORD-0303"/>
    <d v="2026-06-12T00:00:00"/>
    <x v="0"/>
    <n v="6"/>
    <s v="Raka Wijaya"/>
    <x v="4"/>
    <x v="2"/>
    <x v="0"/>
    <s v="P-1002"/>
    <s v="Wireless Mouse"/>
    <x v="2"/>
    <n v="5"/>
    <n v="0.08"/>
    <n v="1127000"/>
    <n v="725000"/>
    <n v="402000"/>
    <s v="Citra"/>
    <b v="0"/>
    <b v="0"/>
    <b v="0"/>
    <b v="0"/>
    <b v="0"/>
    <x v="0"/>
  </r>
  <r>
    <s v="ORD-0304"/>
    <d v="2026-06-24T00:00:00"/>
    <x v="0"/>
    <n v="6"/>
    <s v="CV Maju Bersama"/>
    <x v="4"/>
    <x v="0"/>
    <x v="0"/>
    <s v="P-5001"/>
    <s v="Monitor 24 inch"/>
    <x v="0"/>
    <n v="7"/>
    <n v="0"/>
    <n v="12950000"/>
    <n v="9240000"/>
    <n v="3710000"/>
    <s v="Bima"/>
    <b v="0"/>
    <b v="0"/>
    <b v="0"/>
    <b v="0"/>
    <b v="0"/>
    <x v="0"/>
  </r>
  <r>
    <s v="ORD-0305"/>
    <d v="2026-03-10T00:00:00"/>
    <x v="3"/>
    <n v="3"/>
    <s v="Dimas Pratama"/>
    <x v="0"/>
    <x v="2"/>
    <x v="0"/>
    <s v="P-3001"/>
    <s v="Notebook Pack"/>
    <x v="3"/>
    <n v="3"/>
    <n v="0.08"/>
    <n v="179400"/>
    <n v="93000"/>
    <n v="86400"/>
    <s v="Sari"/>
    <b v="0"/>
    <b v="0"/>
    <b v="0"/>
    <b v="0"/>
    <b v="0"/>
    <x v="0"/>
  </r>
  <r>
    <s v="ORD-0306"/>
    <d v="2026-01-28T00:00:00"/>
    <x v="4"/>
    <n v="1"/>
    <s v="CV Maju Bersama"/>
    <x v="4"/>
    <x v="3"/>
    <x v="3"/>
    <s v="P-1003"/>
    <s v="Laptop Stand"/>
    <x v="2"/>
    <n v="2"/>
    <n v="0"/>
    <n v="155000"/>
    <n v="380000"/>
    <n v="-225000"/>
    <s v="Citra"/>
    <b v="0"/>
    <b v="0"/>
    <b v="0"/>
    <b v="0"/>
    <b v="1"/>
    <x v="1"/>
  </r>
  <r>
    <s v="ORD-0307"/>
    <d v="2026-01-23T00:00:00"/>
    <x v="4"/>
    <n v="1"/>
    <s v="CV Maju Bersama"/>
    <x v="2"/>
    <x v="2"/>
    <x v="0"/>
    <s v="P-6001"/>
    <s v="Storage Box"/>
    <x v="4"/>
    <n v="3"/>
    <n v="0.08"/>
    <n v="345000"/>
    <n v="210000"/>
    <n v="135000"/>
    <s v="Alya"/>
    <b v="0"/>
    <b v="0"/>
    <b v="0"/>
    <b v="0"/>
    <b v="0"/>
    <x v="0"/>
  </r>
  <r>
    <s v="ORD-0308"/>
    <d v="2026-01-23T00:00:00"/>
    <x v="4"/>
    <n v="1"/>
    <s v="Raka Wijaya"/>
    <x v="2"/>
    <x v="3"/>
    <x v="0"/>
    <s v="P-3002"/>
    <s v="Marker Set"/>
    <x v="3"/>
    <n v="6"/>
    <n v="0.1"/>
    <n v="459000"/>
    <n v="258000"/>
    <n v="201000"/>
    <s v="Alya"/>
    <b v="0"/>
    <b v="0"/>
    <b v="0"/>
    <b v="0"/>
    <b v="0"/>
    <x v="0"/>
  </r>
  <r>
    <s v="ORD-0309"/>
    <d v="2026-03-16T00:00:00"/>
    <x v="3"/>
    <n v="3"/>
    <s v="Alya Putri"/>
    <x v="2"/>
    <x v="0"/>
    <x v="0"/>
    <s v="P-2001"/>
    <s v="Office Chair"/>
    <x v="1"/>
    <n v="7"/>
    <n v="0.08"/>
    <n v="9338000"/>
    <n v="6860000"/>
    <n v="2478000"/>
    <s v="Nadia"/>
    <b v="0"/>
    <b v="0"/>
    <b v="0"/>
    <b v="0"/>
    <b v="0"/>
    <x v="0"/>
  </r>
  <r>
    <s v="ORD-0310"/>
    <d v="2026-02-13T00:00:00"/>
    <x v="2"/>
    <n v="2"/>
    <s v="CV Maju Bersama"/>
    <x v="3"/>
    <x v="0"/>
    <x v="0"/>
    <s v="P-1001"/>
    <s v="USB-C Hub"/>
    <x v="0"/>
    <n v="3"/>
    <n v="0.05"/>
    <n v="997500"/>
    <n v="630000"/>
    <n v="367500"/>
    <s v="Citra"/>
    <b v="0"/>
    <b v="0"/>
    <b v="0"/>
    <b v="0"/>
    <b v="0"/>
    <x v="0"/>
  </r>
  <r>
    <s v="ORD-0311"/>
    <d v="2026-04-22T00:00:00"/>
    <x v="5"/>
    <n v="4"/>
    <s v="Citra Dewi"/>
    <x v="1"/>
    <x v="3"/>
    <x v="0"/>
    <s v="P-4001"/>
    <s v="Keyboard"/>
    <x v="0"/>
    <n v="5"/>
    <n v="0.08"/>
    <n v="2185000"/>
    <n v="1425000"/>
    <n v="760000"/>
    <s v="Dimas"/>
    <b v="0"/>
    <b v="0"/>
    <b v="0"/>
    <b v="0"/>
    <b v="0"/>
    <x v="0"/>
  </r>
  <r>
    <s v="ORD-0312"/>
    <d v="2026-06-10T00:00:00"/>
    <x v="0"/>
    <n v="6"/>
    <s v="Alya Putri"/>
    <x v="3"/>
    <x v="1"/>
    <x v="0"/>
    <s v="P-2002"/>
    <s v="Desk Lamp"/>
    <x v="1"/>
    <n v="8"/>
    <n v="0.1"/>
    <n v="1980000"/>
    <n v="1240000"/>
    <n v="740000"/>
    <s v="Raka"/>
    <b v="0"/>
    <b v="0"/>
    <b v="0"/>
    <b v="0"/>
    <b v="0"/>
    <x v="0"/>
  </r>
  <r>
    <s v="ORD-0313"/>
    <d v="2026-01-02T00:00:00"/>
    <x v="4"/>
    <n v="1"/>
    <s v="Sari Lestari"/>
    <x v="3"/>
    <x v="3"/>
    <x v="2"/>
    <s v="P-1002"/>
    <s v="Wireless Mouse"/>
    <x v="2"/>
    <n v="7"/>
    <n v="0.05"/>
    <n v="1629250"/>
    <n v="1015000"/>
    <n v="614250"/>
    <s v="Sari"/>
    <b v="0"/>
    <b v="0"/>
    <b v="0"/>
    <b v="0"/>
    <b v="0"/>
    <x v="0"/>
  </r>
  <r>
    <s v="ORD-0314"/>
    <d v="2026-04-21T00:00:00"/>
    <x v="5"/>
    <n v="4"/>
    <s v="Dimas Pratama"/>
    <x v="0"/>
    <x v="2"/>
    <x v="0"/>
    <s v="P-5001"/>
    <s v="Monitor 24 inch"/>
    <x v="0"/>
    <n v="3"/>
    <n v="0.05"/>
    <n v="5272500"/>
    <n v="3960000"/>
    <n v="1312500"/>
    <s v="Citra"/>
    <b v="0"/>
    <b v="0"/>
    <b v="0"/>
    <b v="0"/>
    <b v="0"/>
    <x v="0"/>
  </r>
  <r>
    <s v="ORD-0315"/>
    <d v="2026-04-12T00:00:00"/>
    <x v="5"/>
    <n v="4"/>
    <s v="Dimas Pratama"/>
    <x v="3"/>
    <x v="0"/>
    <x v="0"/>
    <s v="P-3001"/>
    <s v="Notebook Pack"/>
    <x v="3"/>
    <n v="6"/>
    <n v="0.05"/>
    <n v="370500"/>
    <n v="186000"/>
    <n v="184500"/>
    <s v="Nadia"/>
    <b v="0"/>
    <b v="0"/>
    <b v="0"/>
    <b v="0"/>
    <b v="0"/>
    <x v="0"/>
  </r>
  <r>
    <s v="ORD-0316"/>
    <d v="2026-03-13T00:00:00"/>
    <x v="3"/>
    <n v="3"/>
    <s v="Alya Putri"/>
    <x v="2"/>
    <x v="0"/>
    <x v="0"/>
    <s v="P-1003"/>
    <s v="Laptop Stand"/>
    <x v="2"/>
    <n v="7"/>
    <n v="0.05"/>
    <n v="2061500"/>
    <n v="1330000"/>
    <n v="731500"/>
    <s v="Alya"/>
    <b v="0"/>
    <b v="0"/>
    <b v="0"/>
    <b v="0"/>
    <b v="0"/>
    <x v="0"/>
  </r>
  <r>
    <s v="ORD-0317"/>
    <d v="2026-04-29T00:00:00"/>
    <x v="5"/>
    <n v="4"/>
    <s v="Sari Lestari"/>
    <x v="1"/>
    <x v="2"/>
    <x v="2"/>
    <s v="P-6001"/>
    <s v="Storage Box"/>
    <x v="4"/>
    <n v="4"/>
    <n v="0.08"/>
    <n v="460000"/>
    <n v="280000"/>
    <n v="180000"/>
    <s v="Citra"/>
    <b v="0"/>
    <b v="0"/>
    <b v="0"/>
    <b v="0"/>
    <b v="0"/>
    <x v="0"/>
  </r>
  <r>
    <s v="ORD-0318"/>
    <d v="2026-06-12T00:00:00"/>
    <x v="0"/>
    <n v="6"/>
    <s v="Raka Wijaya"/>
    <x v="0"/>
    <x v="2"/>
    <x v="0"/>
    <s v="P-3002"/>
    <s v="Marker Set"/>
    <x v="3"/>
    <n v="5"/>
    <n v="0.03"/>
    <n v="412250"/>
    <n v="215000"/>
    <n v="197250"/>
    <s v="Bima"/>
    <b v="0"/>
    <b v="0"/>
    <b v="0"/>
    <b v="0"/>
    <b v="0"/>
    <x v="0"/>
  </r>
  <r>
    <s v="ORD-0319"/>
    <d v="2026-04-25T00:00:00"/>
    <x v="5"/>
    <n v="4"/>
    <s v="PT Sinar Jaya"/>
    <x v="2"/>
    <x v="2"/>
    <x v="0"/>
    <s v="P-2001"/>
    <s v="Office Chair"/>
    <x v="1"/>
    <n v="8"/>
    <n v="0.1"/>
    <n v="10440000"/>
    <n v="7840000"/>
    <n v="2600000"/>
    <s v="Sari"/>
    <b v="0"/>
    <b v="0"/>
    <b v="0"/>
    <b v="0"/>
    <b v="0"/>
    <x v="0"/>
  </r>
  <r>
    <s v="ORD-0320"/>
    <d v="2026-06-29T00:00:00"/>
    <x v="0"/>
    <n v="6"/>
    <s v="PT Sinar Jaya"/>
    <x v="4"/>
    <x v="0"/>
    <x v="0"/>
    <s v="P-1001"/>
    <s v="USB-C Hub"/>
    <x v="0"/>
    <n v="2"/>
    <n v="0"/>
    <n v="700000"/>
    <n v="420000"/>
    <n v="280000"/>
    <s v="Nadia"/>
    <b v="0"/>
    <b v="0"/>
    <b v="0"/>
    <b v="0"/>
    <b v="0"/>
    <x v="0"/>
  </r>
  <r>
    <s v="ORD-0321"/>
    <d v="2026-03-26T00:00:00"/>
    <x v="3"/>
    <n v="3"/>
    <s v="Bima Santoso"/>
    <x v="4"/>
    <x v="0"/>
    <x v="0"/>
    <s v="P-4001"/>
    <s v="Keyboard"/>
    <x v="0"/>
    <n v="7"/>
    <n v="0"/>
    <n v="3325000"/>
    <n v="1995000"/>
    <n v="1330000"/>
    <s v="Fajar"/>
    <b v="0"/>
    <b v="0"/>
    <b v="0"/>
    <b v="0"/>
    <b v="0"/>
    <x v="0"/>
  </r>
  <r>
    <s v="ORD-0322"/>
    <d v="2026-04-06T00:00:00"/>
    <x v="5"/>
    <n v="4"/>
    <s v="Dimas Pratama"/>
    <x v="2"/>
    <x v="0"/>
    <x v="0"/>
    <s v="P-2002"/>
    <s v="Desk Lamp"/>
    <x v="1"/>
    <n v="7"/>
    <n v="0.08"/>
    <n v="1771000"/>
    <n v="1085000"/>
    <n v="686000"/>
    <s v="Alya"/>
    <b v="0"/>
    <b v="0"/>
    <b v="0"/>
    <b v="0"/>
    <b v="0"/>
    <x v="0"/>
  </r>
  <r>
    <s v="ORD-0323"/>
    <d v="2026-05-04T00:00:00"/>
    <x v="1"/>
    <n v="5"/>
    <s v="Alya Putri"/>
    <x v="1"/>
    <x v="1"/>
    <x v="0"/>
    <s v="P-1002"/>
    <s v="Wireless Mouse"/>
    <x v="2"/>
    <n v="2"/>
    <n v="0.05"/>
    <n v="465500"/>
    <n v="290000"/>
    <n v="175500"/>
    <s v="Sari"/>
    <b v="0"/>
    <b v="0"/>
    <b v="0"/>
    <b v="0"/>
    <b v="0"/>
    <x v="0"/>
  </r>
  <r>
    <s v="ORD-0324"/>
    <d v="2026-03-21T00:00:00"/>
    <x v="3"/>
    <n v="3"/>
    <s v="Dimas Pratama"/>
    <x v="2"/>
    <x v="2"/>
    <x v="2"/>
    <s v="P-5001"/>
    <s v="Monitor 24 inch"/>
    <x v="0"/>
    <n v="6"/>
    <n v="0.08"/>
    <n v="10212000"/>
    <n v="7920000"/>
    <n v="2292000"/>
    <s v="Fajar"/>
    <b v="0"/>
    <b v="0"/>
    <b v="0"/>
    <b v="0"/>
    <b v="0"/>
    <x v="0"/>
  </r>
  <r>
    <s v="ORD-0325"/>
    <d v="2026-01-25T00:00:00"/>
    <x v="4"/>
    <n v="1"/>
    <s v="Citra Dewi"/>
    <x v="4"/>
    <x v="1"/>
    <x v="0"/>
    <s v="P-3001"/>
    <s v="Notebook Pack"/>
    <x v="3"/>
    <n v="8"/>
    <n v="0.15"/>
    <n v="442000"/>
    <n v="248000"/>
    <n v="194000"/>
    <s v="Alya"/>
    <b v="0"/>
    <b v="0"/>
    <b v="0"/>
    <b v="0"/>
    <b v="0"/>
    <x v="0"/>
  </r>
  <r>
    <s v="ORD-0326"/>
    <d v="2026-01-30T00:00:00"/>
    <x v="4"/>
    <n v="1"/>
    <s v="Alya Putri"/>
    <x v="0"/>
    <x v="0"/>
    <x v="0"/>
    <s v="P-1003"/>
    <s v="Laptop Stand"/>
    <x v="2"/>
    <n v="1"/>
    <n v="0.05"/>
    <n v="294500"/>
    <n v="190000"/>
    <n v="104500"/>
    <s v="Citra"/>
    <b v="0"/>
    <b v="0"/>
    <b v="0"/>
    <b v="0"/>
    <b v="0"/>
    <x v="0"/>
  </r>
  <r>
    <s v="ORD-0327"/>
    <d v="2026-03-26T00:00:00"/>
    <x v="3"/>
    <n v="3"/>
    <s v="Alya Putri"/>
    <x v="3"/>
    <x v="0"/>
    <x v="0"/>
    <s v="P-6001"/>
    <s v="Storage Box"/>
    <x v="4"/>
    <n v="7"/>
    <n v="0.08"/>
    <n v="805000"/>
    <n v="490000"/>
    <n v="315000"/>
    <s v="Nadia"/>
    <b v="0"/>
    <b v="0"/>
    <b v="0"/>
    <b v="0"/>
    <b v="0"/>
    <x v="0"/>
  </r>
  <r>
    <s v="ORD-0328"/>
    <d v="2026-04-12T00:00:00"/>
    <x v="5"/>
    <n v="4"/>
    <s v="Raka Wijaya"/>
    <x v="0"/>
    <x v="2"/>
    <x v="0"/>
    <s v="P-3002"/>
    <s v="Marker Set"/>
    <x v="3"/>
    <n v="1"/>
    <n v="0.15"/>
    <n v="72250"/>
    <n v="43000"/>
    <n v="29250"/>
    <s v="Nadia"/>
    <b v="0"/>
    <b v="0"/>
    <b v="0"/>
    <b v="0"/>
    <b v="0"/>
    <x v="0"/>
  </r>
  <r>
    <s v="ORD-0329"/>
    <d v="2026-01-02T00:00:00"/>
    <x v="4"/>
    <n v="1"/>
    <s v="Alya Putri"/>
    <x v="1"/>
    <x v="1"/>
    <x v="0"/>
    <s v="P-2001"/>
    <s v="Office Chair"/>
    <x v="1"/>
    <n v="4"/>
    <n v="0.03"/>
    <n v="5626000"/>
    <n v="3920000"/>
    <n v="1706000"/>
    <s v="Sari"/>
    <b v="0"/>
    <b v="0"/>
    <b v="0"/>
    <b v="0"/>
    <b v="0"/>
    <x v="0"/>
  </r>
  <r>
    <s v="ORD-0330"/>
    <d v="2026-03-25T00:00:00"/>
    <x v="3"/>
    <n v="3"/>
    <s v="Raka Wijaya"/>
    <x v="3"/>
    <x v="3"/>
    <x v="0"/>
    <s v="P-1001"/>
    <s v="USB-C Hub"/>
    <x v="0"/>
    <n v="4"/>
    <n v="0.08"/>
    <n v="1288000"/>
    <n v="840000"/>
    <n v="448000"/>
    <s v="Nadia"/>
    <b v="0"/>
    <b v="0"/>
    <b v="0"/>
    <b v="0"/>
    <b v="0"/>
    <x v="0"/>
  </r>
  <r>
    <s v="ORD-0331"/>
    <d v="2026-05-31T00:00:00"/>
    <x v="1"/>
    <n v="5"/>
    <s v="Citra Dewi"/>
    <x v="3"/>
    <x v="0"/>
    <x v="0"/>
    <s v="P-4001"/>
    <s v="Keyboard"/>
    <x v="0"/>
    <n v="2"/>
    <n v="0.05"/>
    <n v="902500"/>
    <n v="570000"/>
    <n v="332500"/>
    <s v="Bima"/>
    <b v="0"/>
    <b v="0"/>
    <b v="0"/>
    <b v="0"/>
    <b v="0"/>
    <x v="0"/>
  </r>
  <r>
    <s v="ORD-0332"/>
    <m/>
    <x v="6"/>
    <m/>
    <s v="Alya Putri"/>
    <x v="4"/>
    <x v="1"/>
    <x v="0"/>
    <s v="P-2002"/>
    <s v="Desk Lamp"/>
    <x v="1"/>
    <n v="3"/>
    <n v="0.05"/>
    <n v="783750"/>
    <n v="465000"/>
    <n v="318750"/>
    <s v="Sari"/>
    <b v="0"/>
    <b v="0"/>
    <b v="1"/>
    <b v="0"/>
    <b v="0"/>
    <x v="3"/>
  </r>
  <r>
    <s v="ORD-0333"/>
    <d v="2026-06-27T00:00:00"/>
    <x v="0"/>
    <n v="6"/>
    <s v="Raka Wijaya"/>
    <x v="2"/>
    <x v="0"/>
    <x v="0"/>
    <s v="P-1002"/>
    <s v="Wireless Mouse"/>
    <x v="2"/>
    <n v="3"/>
    <n v="0.1"/>
    <n v="661500"/>
    <n v="435000"/>
    <n v="226500"/>
    <s v="Nadia"/>
    <b v="0"/>
    <b v="0"/>
    <b v="0"/>
    <b v="0"/>
    <b v="0"/>
    <x v="0"/>
  </r>
  <r>
    <s v="ORD-0334"/>
    <d v="2026-02-17T00:00:00"/>
    <x v="2"/>
    <n v="2"/>
    <s v="Sari Lestari"/>
    <x v="0"/>
    <x v="0"/>
    <x v="0"/>
    <s v="P-5001"/>
    <s v="Monitor 24 inch"/>
    <x v="0"/>
    <n v="8"/>
    <n v="0.15"/>
    <n v="12580000"/>
    <n v="10560000"/>
    <n v="2020000"/>
    <s v="Raka"/>
    <b v="0"/>
    <b v="0"/>
    <b v="0"/>
    <b v="0"/>
    <b v="0"/>
    <x v="0"/>
  </r>
  <r>
    <s v="ORD-0335"/>
    <d v="2026-02-05T00:00:00"/>
    <x v="2"/>
    <n v="2"/>
    <s v="Dimas Pratama"/>
    <x v="2"/>
    <x v="1"/>
    <x v="2"/>
    <s v="P-3001"/>
    <s v="Notebook Pack"/>
    <x v="3"/>
    <n v="3"/>
    <n v="0.05"/>
    <m/>
    <n v="93000"/>
    <n v="92250"/>
    <s v="Alya"/>
    <b v="0"/>
    <b v="0"/>
    <b v="0"/>
    <b v="1"/>
    <b v="0"/>
    <x v="2"/>
  </r>
  <r>
    <s v="ORD-0336"/>
    <d v="2026-05-05T00:00:00"/>
    <x v="1"/>
    <n v="5"/>
    <s v="Raka Wijaya"/>
    <x v="2"/>
    <x v="2"/>
    <x v="2"/>
    <s v="P-1003"/>
    <s v="Laptop Stand"/>
    <x v="2"/>
    <n v="3"/>
    <n v="0.03"/>
    <n v="902100"/>
    <n v="570000"/>
    <n v="332100"/>
    <s v="Fajar"/>
    <b v="0"/>
    <b v="0"/>
    <b v="0"/>
    <b v="0"/>
    <b v="0"/>
    <x v="0"/>
  </r>
  <r>
    <s v="ORD-0337"/>
    <d v="2026-04-17T00:00:00"/>
    <x v="5"/>
    <n v="4"/>
    <s v="Bima Santoso"/>
    <x v="2"/>
    <x v="1"/>
    <x v="0"/>
    <s v="P-6001"/>
    <s v="Storage Box"/>
    <x v="4"/>
    <n v="8"/>
    <n v="0.08"/>
    <n v="920000"/>
    <n v="560000"/>
    <n v="360000"/>
    <s v="Raka"/>
    <b v="0"/>
    <b v="0"/>
    <b v="0"/>
    <b v="0"/>
    <b v="0"/>
    <x v="0"/>
  </r>
  <r>
    <s v="ORD-0338"/>
    <d v="2026-01-09T00:00:00"/>
    <x v="4"/>
    <n v="1"/>
    <s v="Sari Lestari"/>
    <x v="0"/>
    <x v="2"/>
    <x v="0"/>
    <s v="P-3002"/>
    <s v="Marker Set"/>
    <x v="3"/>
    <n v="5"/>
    <n v="0.03"/>
    <n v="412250"/>
    <n v="215000"/>
    <n v="197250"/>
    <s v="Bima"/>
    <b v="0"/>
    <b v="0"/>
    <b v="0"/>
    <b v="0"/>
    <b v="0"/>
    <x v="0"/>
  </r>
  <r>
    <s v="ORD-0339"/>
    <d v="2026-05-27T00:00:00"/>
    <x v="1"/>
    <n v="5"/>
    <s v="Sari Lestari"/>
    <x v="4"/>
    <x v="1"/>
    <x v="0"/>
    <s v="P-2001"/>
    <s v="Office Chair"/>
    <x v="1"/>
    <n v="2"/>
    <n v="0.05"/>
    <n v="2755000"/>
    <n v="1960000"/>
    <n v="795000"/>
    <s v="Dimas"/>
    <b v="0"/>
    <b v="0"/>
    <b v="0"/>
    <b v="0"/>
    <b v="0"/>
    <x v="0"/>
  </r>
  <r>
    <s v="ORD-0340"/>
    <d v="2026-04-19T00:00:00"/>
    <x v="5"/>
    <n v="4"/>
    <s v="PT Sinar Jaya"/>
    <x v="0"/>
    <x v="3"/>
    <x v="2"/>
    <s v="P-1001"/>
    <s v="USB-C Hub"/>
    <x v="0"/>
    <n v="2"/>
    <n v="0.15"/>
    <n v="595000"/>
    <n v="420000"/>
    <n v="175000"/>
    <s v="Fajar"/>
    <b v="0"/>
    <b v="0"/>
    <b v="0"/>
    <b v="0"/>
    <b v="0"/>
    <x v="0"/>
  </r>
  <r>
    <s v="ORD-0341"/>
    <d v="2026-03-09T00:00:00"/>
    <x v="3"/>
    <n v="3"/>
    <s v="Bima Santoso"/>
    <x v="1"/>
    <x v="0"/>
    <x v="0"/>
    <s v="P-4001"/>
    <s v="Keyboard"/>
    <x v="0"/>
    <n v="6"/>
    <n v="0"/>
    <n v="2850000"/>
    <n v="1710000"/>
    <n v="1140000"/>
    <s v="Sari"/>
    <b v="0"/>
    <b v="0"/>
    <b v="0"/>
    <b v="0"/>
    <b v="0"/>
    <x v="0"/>
  </r>
  <r>
    <s v="ORD-0342"/>
    <d v="2026-06-06T00:00:00"/>
    <x v="0"/>
    <n v="6"/>
    <s v="PT Sinar Jaya"/>
    <x v="0"/>
    <x v="0"/>
    <x v="0"/>
    <s v="P-2002"/>
    <s v="Desk Lamp"/>
    <x v="1"/>
    <n v="7"/>
    <n v="0.03"/>
    <n v="1867250"/>
    <n v="1085000"/>
    <n v="782250"/>
    <s v="Sari"/>
    <b v="0"/>
    <b v="0"/>
    <b v="0"/>
    <b v="0"/>
    <b v="0"/>
    <x v="0"/>
  </r>
  <r>
    <s v="ORD-0343"/>
    <d v="2026-05-17T00:00:00"/>
    <x v="1"/>
    <n v="5"/>
    <s v="Citra Dewi"/>
    <x v="4"/>
    <x v="3"/>
    <x v="0"/>
    <s v="P-1002"/>
    <s v="Wireless Mouse"/>
    <x v="2"/>
    <n v="5"/>
    <n v="0.1"/>
    <n v="1102500"/>
    <n v="725000"/>
    <n v="377500"/>
    <s v="Raka"/>
    <b v="0"/>
    <b v="0"/>
    <b v="0"/>
    <b v="0"/>
    <b v="0"/>
    <x v="0"/>
  </r>
  <r>
    <s v="ORD-0344"/>
    <d v="2026-05-12T00:00:00"/>
    <x v="1"/>
    <n v="5"/>
    <s v="Alya Putri"/>
    <x v="1"/>
    <x v="3"/>
    <x v="1"/>
    <s v="P-5001"/>
    <s v="Monitor 24 inch"/>
    <x v="0"/>
    <n v="2"/>
    <n v="0.03"/>
    <n v="897250"/>
    <n v="2640000"/>
    <n v="-1742750"/>
    <s v="Citra"/>
    <b v="0"/>
    <b v="0"/>
    <b v="0"/>
    <b v="0"/>
    <b v="1"/>
    <x v="1"/>
  </r>
  <r>
    <s v="ORD-0345"/>
    <d v="2026-03-05T00:00:00"/>
    <x v="3"/>
    <n v="3"/>
    <s v="Sari Lestari"/>
    <x v="0"/>
    <x v="2"/>
    <x v="0"/>
    <s v="P-3001"/>
    <s v="Notebook Pack"/>
    <x v="3"/>
    <n v="3"/>
    <n v="0.15"/>
    <n v="165750"/>
    <n v="93000"/>
    <n v="72750"/>
    <s v="Citra"/>
    <b v="0"/>
    <b v="0"/>
    <b v="0"/>
    <b v="0"/>
    <b v="0"/>
    <x v="0"/>
  </r>
  <r>
    <s v="ORD-0346"/>
    <d v="2026-05-28T00:00:00"/>
    <x v="1"/>
    <n v="5"/>
    <s v="CV Maju Bersama"/>
    <x v="3"/>
    <x v="1"/>
    <x v="0"/>
    <s v="P-1003"/>
    <s v="Laptop Stand"/>
    <x v="2"/>
    <n v="5"/>
    <n v="0.15"/>
    <n v="1317500"/>
    <n v="950000"/>
    <n v="367500"/>
    <s v="Nadia"/>
    <b v="0"/>
    <b v="0"/>
    <b v="0"/>
    <b v="0"/>
    <b v="0"/>
    <x v="0"/>
  </r>
  <r>
    <s v="ORD-0347"/>
    <d v="2026-05-12T00:00:00"/>
    <x v="1"/>
    <n v="5"/>
    <s v="Dimas Pratama"/>
    <x v="3"/>
    <x v="2"/>
    <x v="3"/>
    <s v="P-6001"/>
    <s v="Storage Box"/>
    <x v="4"/>
    <n v="5"/>
    <n v="0.15"/>
    <n v="132812"/>
    <n v="350000"/>
    <n v="-217188"/>
    <s v="Alya"/>
    <b v="0"/>
    <b v="0"/>
    <b v="0"/>
    <b v="0"/>
    <b v="1"/>
    <x v="1"/>
  </r>
  <r>
    <s v="ORD-0348"/>
    <d v="2026-01-24T00:00:00"/>
    <x v="4"/>
    <n v="1"/>
    <s v="Raka Wijaya"/>
    <x v="4"/>
    <x v="1"/>
    <x v="0"/>
    <s v="P-3002"/>
    <s v="Marker Set"/>
    <x v="3"/>
    <n v="8"/>
    <n v="0.15"/>
    <n v="578000"/>
    <n v="344000"/>
    <n v="234000"/>
    <s v="Dimas"/>
    <b v="0"/>
    <b v="0"/>
    <b v="0"/>
    <b v="0"/>
    <b v="0"/>
    <x v="0"/>
  </r>
  <r>
    <s v="ORD-0349"/>
    <d v="2026-04-20T00:00:00"/>
    <x v="5"/>
    <n v="4"/>
    <s v="Alya Putri"/>
    <x v="4"/>
    <x v="3"/>
    <x v="0"/>
    <s v="P-2001"/>
    <s v="Office Chair"/>
    <x v="1"/>
    <n v="4"/>
    <n v="0.08"/>
    <n v="5336000"/>
    <n v="3920000"/>
    <n v="1416000"/>
    <s v="Fajar"/>
    <b v="0"/>
    <b v="0"/>
    <b v="0"/>
    <b v="0"/>
    <b v="0"/>
    <x v="0"/>
  </r>
  <r>
    <s v="ORD-0350"/>
    <d v="2026-03-29T00:00:00"/>
    <x v="3"/>
    <n v="3"/>
    <s v="CV Maju Bersama"/>
    <x v="3"/>
    <x v="1"/>
    <x v="0"/>
    <s v="P-1001"/>
    <s v="USB-C Hub"/>
    <x v="0"/>
    <n v="1"/>
    <n v="0"/>
    <n v="350000"/>
    <n v="210000"/>
    <n v="140000"/>
    <s v="Citra"/>
    <b v="0"/>
    <b v="0"/>
    <b v="0"/>
    <b v="0"/>
    <b v="0"/>
    <x v="0"/>
  </r>
  <r>
    <s v="ORD-0351"/>
    <d v="2026-04-23T00:00:00"/>
    <x v="5"/>
    <n v="4"/>
    <s v="Citra Dewi"/>
    <x v="0"/>
    <x v="0"/>
    <x v="1"/>
    <s v="P-4001"/>
    <s v="Keyboard"/>
    <x v="0"/>
    <n v="8"/>
    <n v="0"/>
    <n v="950000"/>
    <n v="2280000"/>
    <n v="-1330000"/>
    <s v="Citra"/>
    <b v="0"/>
    <b v="0"/>
    <b v="0"/>
    <b v="0"/>
    <b v="1"/>
    <x v="1"/>
  </r>
  <r>
    <s v="ORD-0352"/>
    <d v="2026-03-12T00:00:00"/>
    <x v="3"/>
    <n v="3"/>
    <s v="Alya Putri"/>
    <x v="1"/>
    <x v="3"/>
    <x v="0"/>
    <s v="P-2002"/>
    <s v="Desk Lamp"/>
    <x v="1"/>
    <n v="2"/>
    <n v="0.15"/>
    <n v="467500"/>
    <n v="310000"/>
    <n v="157500"/>
    <s v="Alya"/>
    <b v="0"/>
    <b v="0"/>
    <b v="0"/>
    <b v="0"/>
    <b v="0"/>
    <x v="0"/>
  </r>
  <r>
    <s v="ORD-0353"/>
    <d v="2026-04-12T00:00:00"/>
    <x v="5"/>
    <n v="4"/>
    <s v="CV Maju Bersama"/>
    <x v="0"/>
    <x v="2"/>
    <x v="0"/>
    <s v="P-1002"/>
    <s v="Wireless Mouse"/>
    <x v="2"/>
    <n v="5"/>
    <n v="0.15"/>
    <n v="1041250"/>
    <n v="725000"/>
    <n v="316250"/>
    <s v="Bima"/>
    <b v="0"/>
    <b v="0"/>
    <b v="0"/>
    <b v="0"/>
    <b v="0"/>
    <x v="0"/>
  </r>
  <r>
    <s v="ORD-0354"/>
    <d v="2026-01-01T00:00:00"/>
    <x v="4"/>
    <n v="1"/>
    <s v="Sari Lestari"/>
    <x v="2"/>
    <x v="0"/>
    <x v="0"/>
    <s v="P-5001"/>
    <s v="Monitor 24 inch"/>
    <x v="0"/>
    <n v="4"/>
    <n v="0.08"/>
    <n v="6808000"/>
    <n v="5280000"/>
    <n v="1528000"/>
    <s v="Alya"/>
    <b v="0"/>
    <b v="0"/>
    <b v="0"/>
    <b v="0"/>
    <b v="0"/>
    <x v="0"/>
  </r>
  <r>
    <s v="ORD-0355"/>
    <d v="2026-01-03T00:00:00"/>
    <x v="4"/>
    <n v="1"/>
    <s v="CV Maju Bersama"/>
    <x v="0"/>
    <x v="2"/>
    <x v="1"/>
    <s v="P-3001"/>
    <s v="Notebook Pack"/>
    <x v="3"/>
    <n v="6"/>
    <n v="0"/>
    <n v="97500"/>
    <n v="186000"/>
    <n v="-88500"/>
    <s v="Dimas"/>
    <b v="0"/>
    <b v="0"/>
    <b v="0"/>
    <b v="0"/>
    <b v="1"/>
    <x v="1"/>
  </r>
  <r>
    <s v="ORD-0356"/>
    <d v="2026-04-09T00:00:00"/>
    <x v="5"/>
    <n v="4"/>
    <s v="Dimas Pratama"/>
    <x v="1"/>
    <x v="3"/>
    <x v="2"/>
    <s v="P-1003"/>
    <s v="Laptop Stand"/>
    <x v="2"/>
    <m/>
    <n v="0.15"/>
    <n v="527000"/>
    <n v="380000"/>
    <n v="147000"/>
    <s v="Raka"/>
    <b v="0"/>
    <b v="1"/>
    <b v="0"/>
    <b v="0"/>
    <b v="0"/>
    <x v="4"/>
  </r>
  <r>
    <s v="ORD-0357"/>
    <d v="2026-02-05T00:00:00"/>
    <x v="2"/>
    <n v="2"/>
    <s v="PT Sinar Jaya"/>
    <x v="0"/>
    <x v="1"/>
    <x v="0"/>
    <s v="P-6001"/>
    <s v="Storage Box"/>
    <x v="4"/>
    <n v="7"/>
    <n v="0.03"/>
    <n v="848750"/>
    <n v="490000"/>
    <n v="358750"/>
    <s v="Citra"/>
    <b v="0"/>
    <b v="0"/>
    <b v="0"/>
    <b v="0"/>
    <b v="0"/>
    <x v="0"/>
  </r>
  <r>
    <s v="ORD-0358"/>
    <d v="2026-04-23T00:00:00"/>
    <x v="5"/>
    <n v="4"/>
    <s v="Sari Lestari"/>
    <x v="0"/>
    <x v="2"/>
    <x v="0"/>
    <s v="P-3002"/>
    <s v="Marker Set"/>
    <x v="3"/>
    <n v="6"/>
    <n v="0.15"/>
    <n v="433500"/>
    <n v="258000"/>
    <n v="175500"/>
    <s v="Dimas"/>
    <b v="0"/>
    <b v="0"/>
    <b v="0"/>
    <b v="0"/>
    <b v="0"/>
    <x v="0"/>
  </r>
  <r>
    <s v="ORD-0359"/>
    <d v="2026-01-23T00:00:00"/>
    <x v="4"/>
    <n v="1"/>
    <s v="Dimas Pratama"/>
    <x v="2"/>
    <x v="2"/>
    <x v="0"/>
    <s v="P-2001"/>
    <s v="Office Chair"/>
    <x v="1"/>
    <n v="2"/>
    <n v="0.03"/>
    <n v="2813000"/>
    <n v="1960000"/>
    <n v="853000"/>
    <s v="Nadia"/>
    <b v="0"/>
    <b v="0"/>
    <b v="0"/>
    <b v="0"/>
    <b v="0"/>
    <x v="0"/>
  </r>
  <r>
    <s v="ORD-0360"/>
    <d v="2026-03-22T00:00:00"/>
    <x v="3"/>
    <n v="3"/>
    <s v="Citra Dewi"/>
    <x v="1"/>
    <x v="0"/>
    <x v="0"/>
    <s v="P-1001"/>
    <s v="USB-C Hub"/>
    <x v="0"/>
    <n v="3"/>
    <n v="0.03"/>
    <n v="1018500"/>
    <n v="630000"/>
    <n v="388500"/>
    <s v="Alya"/>
    <b v="0"/>
    <b v="0"/>
    <b v="0"/>
    <b v="0"/>
    <b v="0"/>
    <x v="0"/>
  </r>
  <r>
    <s v="ORD-0361"/>
    <d v="2026-06-18T00:00:00"/>
    <x v="0"/>
    <n v="6"/>
    <s v="Raka Wijaya"/>
    <x v="2"/>
    <x v="0"/>
    <x v="0"/>
    <s v="P-4001"/>
    <s v="Keyboard"/>
    <x v="0"/>
    <n v="5"/>
    <n v="0.03"/>
    <n v="2303750"/>
    <n v="1425000"/>
    <n v="878750"/>
    <s v="Raka"/>
    <b v="0"/>
    <b v="0"/>
    <b v="0"/>
    <b v="0"/>
    <b v="0"/>
    <x v="0"/>
  </r>
  <r>
    <s v="ORD-0362"/>
    <d v="2026-06-15T00:00:00"/>
    <x v="0"/>
    <n v="6"/>
    <s v="Sari Lestari"/>
    <x v="1"/>
    <x v="0"/>
    <x v="0"/>
    <s v="P-2002"/>
    <s v="Desk Lamp"/>
    <x v="1"/>
    <n v="1"/>
    <n v="0.03"/>
    <n v="266750"/>
    <n v="155000"/>
    <n v="111750"/>
    <s v="Bima"/>
    <b v="0"/>
    <b v="0"/>
    <b v="0"/>
    <b v="0"/>
    <b v="0"/>
    <x v="0"/>
  </r>
  <r>
    <s v="ORD-0363"/>
    <d v="2026-05-16T00:00:00"/>
    <x v="1"/>
    <n v="5"/>
    <s v="Dimas Pratama"/>
    <x v="3"/>
    <x v="2"/>
    <x v="3"/>
    <s v="P-1002"/>
    <s v="Wireless Mouse"/>
    <x v="2"/>
    <n v="1"/>
    <n v="0.05"/>
    <n v="0"/>
    <n v="145000"/>
    <n v="-145000"/>
    <s v="Citra"/>
    <b v="0"/>
    <b v="0"/>
    <b v="0"/>
    <b v="0"/>
    <b v="1"/>
    <x v="1"/>
  </r>
  <r>
    <s v="ORD-0364"/>
    <d v="2026-05-01T00:00:00"/>
    <x v="1"/>
    <n v="5"/>
    <s v="Bima Santoso"/>
    <x v="1"/>
    <x v="3"/>
    <x v="0"/>
    <s v="P-5001"/>
    <s v="Monitor 24 inch"/>
    <x v="0"/>
    <n v="2"/>
    <n v="0"/>
    <n v="3700000"/>
    <n v="2640000"/>
    <n v="1060000"/>
    <s v="Alya"/>
    <b v="0"/>
    <b v="0"/>
    <b v="0"/>
    <b v="0"/>
    <b v="0"/>
    <x v="0"/>
  </r>
  <r>
    <s v="ORD-0365"/>
    <d v="2026-01-16T00:00:00"/>
    <x v="4"/>
    <n v="1"/>
    <s v="Raka Wijaya"/>
    <x v="2"/>
    <x v="2"/>
    <x v="0"/>
    <s v="P-3001"/>
    <s v="Notebook Pack"/>
    <x v="3"/>
    <n v="7"/>
    <n v="0.1"/>
    <n v="409500"/>
    <n v="217000"/>
    <n v="192500"/>
    <s v="Nadia"/>
    <b v="0"/>
    <b v="0"/>
    <b v="0"/>
    <b v="0"/>
    <b v="0"/>
    <x v="0"/>
  </r>
  <r>
    <s v="ORD-0366"/>
    <d v="2026-01-22T00:00:00"/>
    <x v="4"/>
    <n v="1"/>
    <s v="Alya Putri"/>
    <x v="1"/>
    <x v="0"/>
    <x v="0"/>
    <s v="P-1003"/>
    <s v="Laptop Stand"/>
    <x v="2"/>
    <n v="3"/>
    <n v="0.05"/>
    <n v="883500"/>
    <n v="570000"/>
    <n v="313500"/>
    <s v="Sari"/>
    <b v="0"/>
    <b v="0"/>
    <b v="0"/>
    <b v="0"/>
    <b v="0"/>
    <x v="0"/>
  </r>
  <r>
    <s v="ORD-0367"/>
    <d v="2026-04-11T00:00:00"/>
    <x v="5"/>
    <n v="4"/>
    <s v="Bima Santoso"/>
    <x v="0"/>
    <x v="1"/>
    <x v="0"/>
    <s v="P-6001"/>
    <s v="Storage Box"/>
    <x v="4"/>
    <n v="2"/>
    <n v="0.05"/>
    <n v="237500"/>
    <n v="140000"/>
    <n v="97500"/>
    <s v="Bima"/>
    <b v="0"/>
    <b v="0"/>
    <b v="0"/>
    <b v="0"/>
    <b v="0"/>
    <x v="0"/>
  </r>
  <r>
    <s v="ORD-0368"/>
    <d v="2026-04-22T00:00:00"/>
    <x v="5"/>
    <n v="4"/>
    <s v="Alya Putri"/>
    <x v="1"/>
    <x v="3"/>
    <x v="0"/>
    <s v="P-3002"/>
    <s v="Marker Set"/>
    <x v="3"/>
    <n v="2"/>
    <n v="0.08"/>
    <n v="156400"/>
    <n v="86000"/>
    <n v="70400"/>
    <s v="Bima"/>
    <b v="0"/>
    <b v="0"/>
    <b v="0"/>
    <b v="0"/>
    <b v="0"/>
    <x v="0"/>
  </r>
  <r>
    <s v="ORD-0369"/>
    <d v="2026-01-04T00:00:00"/>
    <x v="4"/>
    <n v="1"/>
    <s v="Citra Dewi"/>
    <x v="3"/>
    <x v="3"/>
    <x v="0"/>
    <s v="P-2001"/>
    <s v="Office Chair"/>
    <x v="1"/>
    <n v="3"/>
    <n v="0.15"/>
    <n v="3697500"/>
    <n v="2940000"/>
    <n v="757500"/>
    <s v="Citra"/>
    <b v="0"/>
    <b v="0"/>
    <b v="0"/>
    <b v="0"/>
    <b v="0"/>
    <x v="0"/>
  </r>
  <r>
    <s v="ORD-0370"/>
    <d v="2026-04-06T00:00:00"/>
    <x v="5"/>
    <n v="4"/>
    <s v="PT Sinar Jaya"/>
    <x v="4"/>
    <x v="1"/>
    <x v="2"/>
    <s v="P-1001"/>
    <s v="USB-C Hub"/>
    <x v="0"/>
    <n v="3"/>
    <n v="0.15"/>
    <n v="892500"/>
    <n v="630000"/>
    <n v="262500"/>
    <s v="Sari"/>
    <b v="0"/>
    <b v="0"/>
    <b v="0"/>
    <b v="0"/>
    <b v="0"/>
    <x v="0"/>
  </r>
  <r>
    <s v="ORD-0371"/>
    <d v="2026-04-20T00:00:00"/>
    <x v="5"/>
    <n v="4"/>
    <s v="Sari Lestari"/>
    <x v="2"/>
    <x v="1"/>
    <x v="0"/>
    <s v="P-4001"/>
    <s v="Keyboard"/>
    <x v="0"/>
    <n v="5"/>
    <n v="0.1"/>
    <n v="2137500"/>
    <n v="1425000"/>
    <n v="712500"/>
    <s v="Fajar"/>
    <b v="0"/>
    <b v="0"/>
    <b v="0"/>
    <b v="0"/>
    <b v="0"/>
    <x v="0"/>
  </r>
  <r>
    <s v="ORD-0372"/>
    <d v="2026-05-11T00:00:00"/>
    <x v="1"/>
    <n v="5"/>
    <s v="Dimas Pratama"/>
    <x v="2"/>
    <x v="0"/>
    <x v="0"/>
    <s v="P-2002"/>
    <s v="Desk Lamp"/>
    <x v="1"/>
    <n v="6"/>
    <n v="0"/>
    <n v="1650000"/>
    <n v="930000"/>
    <n v="720000"/>
    <s v="Citra"/>
    <b v="0"/>
    <b v="0"/>
    <b v="0"/>
    <b v="0"/>
    <b v="0"/>
    <x v="0"/>
  </r>
  <r>
    <s v="ORD-0373"/>
    <d v="2026-03-07T00:00:00"/>
    <x v="3"/>
    <n v="3"/>
    <s v="PT Sinar Jaya"/>
    <x v="1"/>
    <x v="0"/>
    <x v="0"/>
    <s v="P-1002"/>
    <s v="Wireless Mouse"/>
    <x v="2"/>
    <n v="2"/>
    <n v="0.1"/>
    <n v="441000"/>
    <n v="290000"/>
    <n v="151000"/>
    <s v="Alya"/>
    <b v="0"/>
    <b v="0"/>
    <b v="0"/>
    <b v="0"/>
    <b v="0"/>
    <x v="0"/>
  </r>
  <r>
    <s v="ORD-0374"/>
    <d v="2026-01-04T00:00:00"/>
    <x v="4"/>
    <n v="1"/>
    <s v="Alya Putri"/>
    <x v="3"/>
    <x v="0"/>
    <x v="0"/>
    <s v="P-5001"/>
    <s v="Monitor 24 inch"/>
    <x v="0"/>
    <n v="4"/>
    <n v="0"/>
    <n v="7400000"/>
    <n v="5280000"/>
    <n v="2120000"/>
    <s v="Alya"/>
    <b v="0"/>
    <b v="0"/>
    <b v="0"/>
    <b v="0"/>
    <b v="0"/>
    <x v="0"/>
  </r>
  <r>
    <s v="ORD-0375"/>
    <d v="2026-05-22T00:00:00"/>
    <x v="1"/>
    <n v="5"/>
    <s v="Citra Dewi"/>
    <x v="3"/>
    <x v="3"/>
    <x v="0"/>
    <s v="P-3001"/>
    <s v="Notebook Pack"/>
    <x v="3"/>
    <n v="7"/>
    <n v="0.03"/>
    <n v="441350"/>
    <n v="217000"/>
    <n v="224350"/>
    <s v="Bima"/>
    <b v="0"/>
    <b v="0"/>
    <b v="0"/>
    <b v="0"/>
    <b v="0"/>
    <x v="0"/>
  </r>
  <r>
    <s v="ORD-0376"/>
    <d v="2026-05-27T00:00:00"/>
    <x v="1"/>
    <n v="5"/>
    <s v="Bima Santoso"/>
    <x v="1"/>
    <x v="0"/>
    <x v="0"/>
    <s v="P-1003"/>
    <s v="Laptop Stand"/>
    <x v="2"/>
    <n v="6"/>
    <n v="0"/>
    <n v="1860000"/>
    <n v="1140000"/>
    <n v="720000"/>
    <s v="Alya"/>
    <b v="0"/>
    <b v="0"/>
    <b v="0"/>
    <b v="0"/>
    <b v="0"/>
    <x v="0"/>
  </r>
  <r>
    <s v="ORD-0377"/>
    <d v="2026-04-13T00:00:00"/>
    <x v="5"/>
    <n v="4"/>
    <s v="CV Maju Bersama"/>
    <x v="4"/>
    <x v="3"/>
    <x v="2"/>
    <s v="P-6001"/>
    <s v="Storage Box"/>
    <x v="4"/>
    <n v="2"/>
    <n v="0.08"/>
    <n v="230000"/>
    <n v="140000"/>
    <n v="90000"/>
    <s v="Fajar"/>
    <b v="0"/>
    <b v="0"/>
    <b v="0"/>
    <b v="0"/>
    <b v="0"/>
    <x v="0"/>
  </r>
  <r>
    <s v="ORD-0378"/>
    <d v="2026-01-03T00:00:00"/>
    <x v="4"/>
    <n v="1"/>
    <s v="Sari Lestari"/>
    <x v="4"/>
    <x v="0"/>
    <x v="0"/>
    <s v="P-3002"/>
    <s v="Marker Set"/>
    <x v="3"/>
    <n v="6"/>
    <n v="0.03"/>
    <n v="494700"/>
    <n v="258000"/>
    <n v="236700"/>
    <s v="Sari"/>
    <b v="0"/>
    <b v="0"/>
    <b v="0"/>
    <b v="0"/>
    <b v="0"/>
    <x v="0"/>
  </r>
  <r>
    <s v="ORD-0379"/>
    <d v="2026-06-01T00:00:00"/>
    <x v="0"/>
    <n v="6"/>
    <s v="Alya Putri"/>
    <x v="2"/>
    <x v="0"/>
    <x v="0"/>
    <s v="P-2001"/>
    <s v="Office Chair"/>
    <x v="1"/>
    <n v="8"/>
    <n v="0.03"/>
    <n v="11252000"/>
    <n v="7840000"/>
    <n v="3412000"/>
    <s v="Alya"/>
    <b v="0"/>
    <b v="0"/>
    <b v="0"/>
    <b v="0"/>
    <b v="0"/>
    <x v="0"/>
  </r>
  <r>
    <s v="ORD-0380"/>
    <d v="2026-04-15T00:00:00"/>
    <x v="5"/>
    <n v="4"/>
    <s v="PT Sinar Jaya"/>
    <x v="1"/>
    <x v="3"/>
    <x v="0"/>
    <s v="P-1001"/>
    <s v="USB-C Hub"/>
    <x v="0"/>
    <n v="1"/>
    <n v="0.03"/>
    <n v="339500"/>
    <n v="210000"/>
    <n v="129500"/>
    <s v="Nadia"/>
    <b v="0"/>
    <b v="0"/>
    <b v="0"/>
    <b v="0"/>
    <b v="0"/>
    <x v="0"/>
  </r>
  <r>
    <s v="ORD-0381"/>
    <d v="2026-03-20T00:00:00"/>
    <x v="3"/>
    <n v="3"/>
    <s v="Sari Lestari"/>
    <x v="0"/>
    <x v="2"/>
    <x v="0"/>
    <s v="P-4001"/>
    <s v="Keyboard"/>
    <x v="0"/>
    <n v="2"/>
    <n v="0.03"/>
    <n v="921500"/>
    <n v="570000"/>
    <n v="351500"/>
    <s v="Alya"/>
    <b v="0"/>
    <b v="0"/>
    <b v="0"/>
    <b v="0"/>
    <b v="0"/>
    <x v="0"/>
  </r>
  <r>
    <s v="ORD-0382"/>
    <d v="2026-02-06T00:00:00"/>
    <x v="2"/>
    <n v="2"/>
    <s v="Dimas Pratama"/>
    <x v="0"/>
    <x v="2"/>
    <x v="0"/>
    <s v="P-2002"/>
    <s v="Desk Lamp"/>
    <x v="1"/>
    <n v="5"/>
    <n v="0"/>
    <n v="1375000"/>
    <n v="775000"/>
    <n v="600000"/>
    <s v="Fajar"/>
    <b v="0"/>
    <b v="0"/>
    <b v="0"/>
    <b v="0"/>
    <b v="0"/>
    <x v="0"/>
  </r>
  <r>
    <s v="ORD-0383"/>
    <d v="2026-01-22T00:00:00"/>
    <x v="4"/>
    <n v="1"/>
    <s v="PT Sinar Jaya"/>
    <x v="3"/>
    <x v="1"/>
    <x v="0"/>
    <s v="P-1002"/>
    <s v="Wireless Mouse"/>
    <x v="2"/>
    <n v="2"/>
    <n v="0.1"/>
    <n v="441000"/>
    <n v="290000"/>
    <n v="151000"/>
    <s v="Nadia"/>
    <b v="0"/>
    <b v="0"/>
    <b v="0"/>
    <b v="0"/>
    <b v="0"/>
    <x v="0"/>
  </r>
  <r>
    <s v="ORD-0384"/>
    <d v="2026-06-19T00:00:00"/>
    <x v="0"/>
    <n v="6"/>
    <s v="Dimas Pratama"/>
    <x v="4"/>
    <x v="2"/>
    <x v="0"/>
    <s v="P-5001"/>
    <s v="Monitor 24 inch"/>
    <x v="0"/>
    <n v="3"/>
    <n v="0.03"/>
    <n v="5383500"/>
    <n v="3960000"/>
    <n v="1423500"/>
    <s v="Sari"/>
    <b v="0"/>
    <b v="0"/>
    <b v="0"/>
    <b v="0"/>
    <b v="0"/>
    <x v="0"/>
  </r>
  <r>
    <s v="ORD-0385"/>
    <d v="2026-04-26T00:00:00"/>
    <x v="5"/>
    <n v="4"/>
    <s v="CV Maju Bersama"/>
    <x v="0"/>
    <x v="0"/>
    <x v="0"/>
    <s v="P-3001"/>
    <s v="Notebook Pack"/>
    <x v="3"/>
    <n v="5"/>
    <n v="0.03"/>
    <n v="315250"/>
    <n v="155000"/>
    <n v="160250"/>
    <s v="Citra"/>
    <b v="0"/>
    <b v="0"/>
    <b v="0"/>
    <b v="0"/>
    <b v="0"/>
    <x v="0"/>
  </r>
  <r>
    <s v="ORD-0386"/>
    <d v="2026-01-28T00:00:00"/>
    <x v="4"/>
    <n v="1"/>
    <s v="Dimas Pratama"/>
    <x v="3"/>
    <x v="1"/>
    <x v="0"/>
    <s v="P-1003"/>
    <s v="Laptop Stand"/>
    <x v="2"/>
    <n v="3"/>
    <n v="0.08"/>
    <n v="855600"/>
    <n v="570000"/>
    <n v="285600"/>
    <s v="Dimas"/>
    <b v="0"/>
    <b v="0"/>
    <b v="0"/>
    <b v="0"/>
    <b v="0"/>
    <x v="0"/>
  </r>
  <r>
    <s v="ORD-0387"/>
    <d v="2026-04-26T00:00:00"/>
    <x v="5"/>
    <n v="4"/>
    <s v="Alya Putri"/>
    <x v="1"/>
    <x v="1"/>
    <x v="0"/>
    <s v="P-6001"/>
    <s v="Storage Box"/>
    <x v="4"/>
    <n v="5"/>
    <n v="0.08"/>
    <n v="575000"/>
    <n v="350000"/>
    <n v="225000"/>
    <s v="Raka"/>
    <b v="0"/>
    <b v="0"/>
    <b v="0"/>
    <b v="0"/>
    <b v="0"/>
    <x v="0"/>
  </r>
  <r>
    <s v="ORD-0388"/>
    <d v="2026-06-30T00:00:00"/>
    <x v="0"/>
    <n v="6"/>
    <s v="CV Maju Bersama"/>
    <x v="4"/>
    <x v="0"/>
    <x v="2"/>
    <s v="P-3002"/>
    <s v="Marker Set"/>
    <x v="3"/>
    <n v="1"/>
    <n v="0.03"/>
    <n v="82450"/>
    <n v="43000"/>
    <n v="39450"/>
    <s v="Dimas"/>
    <b v="0"/>
    <b v="0"/>
    <b v="0"/>
    <b v="0"/>
    <b v="0"/>
    <x v="0"/>
  </r>
  <r>
    <s v="ORD-0389"/>
    <d v="2026-04-02T00:00:00"/>
    <x v="5"/>
    <n v="4"/>
    <s v="Alya Putri"/>
    <x v="4"/>
    <x v="3"/>
    <x v="0"/>
    <s v="P-2001"/>
    <s v="Office Chair"/>
    <x v="1"/>
    <n v="7"/>
    <n v="0.1"/>
    <n v="9135000"/>
    <n v="6860000"/>
    <n v="2275000"/>
    <s v="Alya"/>
    <b v="0"/>
    <b v="0"/>
    <b v="0"/>
    <b v="0"/>
    <b v="0"/>
    <x v="0"/>
  </r>
  <r>
    <s v="ORD-0390"/>
    <d v="2026-04-14T00:00:00"/>
    <x v="5"/>
    <n v="4"/>
    <s v="Sari Lestari"/>
    <x v="0"/>
    <x v="1"/>
    <x v="0"/>
    <s v="P-1001"/>
    <s v="USB-C Hub"/>
    <x v="0"/>
    <n v="8"/>
    <n v="0.1"/>
    <n v="2520000"/>
    <n v="1680000"/>
    <n v="840000"/>
    <s v="Bima"/>
    <b v="0"/>
    <b v="0"/>
    <b v="0"/>
    <b v="0"/>
    <b v="0"/>
    <x v="0"/>
  </r>
  <r>
    <s v="ORD-0391"/>
    <d v="2026-02-05T00:00:00"/>
    <x v="2"/>
    <n v="2"/>
    <s v="Bima Santoso"/>
    <x v="0"/>
    <x v="0"/>
    <x v="0"/>
    <s v="P-4001"/>
    <s v="Keyboard"/>
    <x v="0"/>
    <n v="2"/>
    <n v="0"/>
    <n v="950000"/>
    <n v="570000"/>
    <n v="380000"/>
    <s v="Nadia"/>
    <b v="0"/>
    <b v="0"/>
    <b v="0"/>
    <b v="0"/>
    <b v="0"/>
    <x v="0"/>
  </r>
  <r>
    <s v="ORD-0392"/>
    <d v="2026-04-06T00:00:00"/>
    <x v="5"/>
    <n v="4"/>
    <s v="CV Maju Bersama"/>
    <x v="1"/>
    <x v="1"/>
    <x v="0"/>
    <s v="P-2002"/>
    <s v="Desk Lamp"/>
    <x v="1"/>
    <n v="2"/>
    <n v="0.1"/>
    <n v="495000"/>
    <n v="310000"/>
    <n v="185000"/>
    <s v="Dimas"/>
    <b v="0"/>
    <b v="0"/>
    <b v="0"/>
    <b v="0"/>
    <b v="0"/>
    <x v="0"/>
  </r>
  <r>
    <s v="ORD-0393"/>
    <d v="2026-06-15T00:00:00"/>
    <x v="0"/>
    <n v="6"/>
    <s v="PT Sinar Jaya"/>
    <x v="4"/>
    <x v="1"/>
    <x v="0"/>
    <s v="P-1002"/>
    <s v="Wireless Mouse"/>
    <x v="2"/>
    <n v="8"/>
    <n v="0.03"/>
    <n v="1901200"/>
    <n v="1160000"/>
    <n v="741200"/>
    <s v="Fajar"/>
    <b v="0"/>
    <b v="0"/>
    <b v="0"/>
    <b v="0"/>
    <b v="0"/>
    <x v="0"/>
  </r>
  <r>
    <s v="ORD-0394"/>
    <d v="2026-01-13T00:00:00"/>
    <x v="4"/>
    <n v="1"/>
    <s v="PT Sinar Jaya"/>
    <x v="3"/>
    <x v="2"/>
    <x v="0"/>
    <s v="P-5001"/>
    <s v="Monitor 24 inch"/>
    <x v="0"/>
    <n v="3"/>
    <n v="0.1"/>
    <n v="4995000"/>
    <n v="3960000"/>
    <n v="1035000"/>
    <s v="Nadia"/>
    <b v="0"/>
    <b v="0"/>
    <b v="0"/>
    <b v="0"/>
    <b v="0"/>
    <x v="0"/>
  </r>
  <r>
    <s v="ORD-0395"/>
    <d v="2026-06-24T00:00:00"/>
    <x v="0"/>
    <n v="6"/>
    <s v="Citra Dewi"/>
    <x v="0"/>
    <x v="3"/>
    <x v="0"/>
    <s v="P-3001"/>
    <s v="Notebook Pack"/>
    <x v="3"/>
    <n v="7"/>
    <n v="0.03"/>
    <n v="441350"/>
    <n v="217000"/>
    <n v="224350"/>
    <s v="Fajar"/>
    <b v="0"/>
    <b v="0"/>
    <b v="0"/>
    <b v="0"/>
    <b v="0"/>
    <x v="0"/>
  </r>
  <r>
    <s v="ORD-0396"/>
    <d v="2026-02-08T00:00:00"/>
    <x v="2"/>
    <n v="2"/>
    <s v="Sari Lestari"/>
    <x v="0"/>
    <x v="3"/>
    <x v="0"/>
    <s v="P-1003"/>
    <s v="Laptop Stand"/>
    <x v="2"/>
    <n v="1"/>
    <n v="0.1"/>
    <n v="279000"/>
    <n v="190000"/>
    <n v="89000"/>
    <s v="Nadia"/>
    <b v="0"/>
    <b v="0"/>
    <b v="0"/>
    <b v="0"/>
    <b v="0"/>
    <x v="0"/>
  </r>
  <r>
    <s v="ORD-0397"/>
    <d v="2026-05-21T00:00:00"/>
    <x v="1"/>
    <n v="5"/>
    <s v="Raka Wijaya"/>
    <x v="3"/>
    <x v="0"/>
    <x v="0"/>
    <s v="P-6001"/>
    <s v="Storage Box"/>
    <x v="4"/>
    <n v="8"/>
    <n v="0"/>
    <n v="1000000"/>
    <n v="560000"/>
    <n v="440000"/>
    <s v="Dimas"/>
    <b v="0"/>
    <b v="0"/>
    <b v="0"/>
    <b v="0"/>
    <b v="0"/>
    <x v="0"/>
  </r>
  <r>
    <s v="ORD-0398"/>
    <d v="2026-06-14T00:00:00"/>
    <x v="0"/>
    <n v="6"/>
    <s v="Dimas Pratama"/>
    <x v="1"/>
    <x v="2"/>
    <x v="1"/>
    <s v="P-3002"/>
    <s v="Marker Set"/>
    <x v="3"/>
    <n v="4"/>
    <n v="0.15"/>
    <n v="144500"/>
    <n v="172000"/>
    <n v="-27500"/>
    <s v="Fajar"/>
    <b v="0"/>
    <b v="0"/>
    <b v="0"/>
    <b v="0"/>
    <b v="1"/>
    <x v="1"/>
  </r>
  <r>
    <s v="ORD-0399"/>
    <d v="2026-05-20T00:00:00"/>
    <x v="1"/>
    <n v="5"/>
    <s v="Citra Dewi"/>
    <x v="4"/>
    <x v="2"/>
    <x v="3"/>
    <s v="P-2001"/>
    <s v="Office Chair"/>
    <x v="1"/>
    <n v="8"/>
    <n v="0.05"/>
    <n v="5510000"/>
    <n v="7840000"/>
    <n v="-2330000"/>
    <s v="Citra"/>
    <b v="0"/>
    <b v="0"/>
    <b v="0"/>
    <b v="0"/>
    <b v="1"/>
    <x v="1"/>
  </r>
  <r>
    <s v="ORD-0400"/>
    <d v="2026-01-07T00:00:00"/>
    <x v="4"/>
    <n v="1"/>
    <s v="Sari Lestari"/>
    <x v="4"/>
    <x v="1"/>
    <x v="0"/>
    <s v="P-1001"/>
    <s v="USB-C Hub"/>
    <x v="0"/>
    <n v="6"/>
    <n v="0.1"/>
    <n v="1890000"/>
    <n v="1260000"/>
    <n v="630000"/>
    <s v="Sari"/>
    <b v="0"/>
    <b v="0"/>
    <b v="0"/>
    <b v="0"/>
    <b v="0"/>
    <x v="0"/>
  </r>
  <r>
    <s v="ORD-0401"/>
    <d v="2026-05-30T00:00:00"/>
    <x v="1"/>
    <n v="5"/>
    <s v="PT Sinar Jaya"/>
    <x v="0"/>
    <x v="3"/>
    <x v="0"/>
    <s v="P-4001"/>
    <s v="Keyboard"/>
    <x v="0"/>
    <n v="4"/>
    <n v="0.03"/>
    <n v="1843000"/>
    <n v="1140000"/>
    <n v="703000"/>
    <s v="Dimas"/>
    <b v="0"/>
    <b v="0"/>
    <b v="0"/>
    <b v="0"/>
    <b v="0"/>
    <x v="0"/>
  </r>
  <r>
    <s v="ORD-0402"/>
    <d v="2026-05-28T00:00:00"/>
    <x v="1"/>
    <n v="5"/>
    <s v="Dimas Pratama"/>
    <x v="0"/>
    <x v="0"/>
    <x v="3"/>
    <s v="P-2002"/>
    <s v="Desk Lamp"/>
    <x v="1"/>
    <n v="7"/>
    <n v="0.05"/>
    <m/>
    <n v="1085000"/>
    <n v="-1085000"/>
    <s v="Sari"/>
    <b v="0"/>
    <b v="0"/>
    <b v="0"/>
    <b v="1"/>
    <b v="1"/>
    <x v="2"/>
  </r>
  <r>
    <s v="ORD-0403"/>
    <d v="2026-06-01T00:00:00"/>
    <x v="0"/>
    <n v="6"/>
    <s v="Bima Santoso"/>
    <x v="2"/>
    <x v="0"/>
    <x v="0"/>
    <s v="P-1002"/>
    <s v="Wireless Mouse"/>
    <x v="2"/>
    <n v="1"/>
    <n v="0.15"/>
    <n v="208250"/>
    <n v="145000"/>
    <n v="63250"/>
    <s v="Fajar"/>
    <b v="0"/>
    <b v="0"/>
    <b v="0"/>
    <b v="0"/>
    <b v="0"/>
    <x v="0"/>
  </r>
  <r>
    <s v="ORD-0404"/>
    <d v="2026-05-19T00:00:00"/>
    <x v="1"/>
    <n v="5"/>
    <s v="Bima Santoso"/>
    <x v="1"/>
    <x v="1"/>
    <x v="0"/>
    <s v="P-5001"/>
    <s v="Monitor 24 inch"/>
    <x v="0"/>
    <n v="5"/>
    <n v="0.03"/>
    <n v="8972500"/>
    <n v="6600000"/>
    <n v="2372500"/>
    <s v="Dimas"/>
    <b v="0"/>
    <b v="0"/>
    <b v="0"/>
    <b v="0"/>
    <b v="0"/>
    <x v="0"/>
  </r>
  <r>
    <s v="ORD-0405"/>
    <d v="2026-01-06T00:00:00"/>
    <x v="4"/>
    <n v="1"/>
    <s v="Alya Putri"/>
    <x v="2"/>
    <x v="0"/>
    <x v="0"/>
    <s v="P-3001"/>
    <s v="Notebook Pack"/>
    <x v="3"/>
    <n v="8"/>
    <n v="0"/>
    <n v="520000"/>
    <n v="248000"/>
    <n v="272000"/>
    <s v="Sari"/>
    <b v="0"/>
    <b v="0"/>
    <b v="0"/>
    <b v="0"/>
    <b v="0"/>
    <x v="0"/>
  </r>
  <r>
    <s v="ORD-0406"/>
    <d v="2026-02-15T00:00:00"/>
    <x v="2"/>
    <n v="2"/>
    <s v="CV Maju Bersama"/>
    <x v="2"/>
    <x v="0"/>
    <x v="0"/>
    <s v="P-1003"/>
    <s v="Laptop Stand"/>
    <x v="2"/>
    <n v="6"/>
    <n v="0"/>
    <n v="1860000"/>
    <n v="1140000"/>
    <n v="720000"/>
    <s v="Sari"/>
    <b v="0"/>
    <b v="0"/>
    <b v="0"/>
    <b v="0"/>
    <b v="0"/>
    <x v="0"/>
  </r>
  <r>
    <s v="ORD-0407"/>
    <d v="2026-01-19T00:00:00"/>
    <x v="4"/>
    <n v="1"/>
    <s v="Dimas Pratama"/>
    <x v="2"/>
    <x v="1"/>
    <x v="3"/>
    <s v="P-6001"/>
    <s v="Storage Box"/>
    <x v="4"/>
    <n v="6"/>
    <n v="0.15"/>
    <n v="159375"/>
    <n v="420000"/>
    <n v="-260625"/>
    <s v="Raka"/>
    <b v="0"/>
    <b v="0"/>
    <b v="0"/>
    <b v="0"/>
    <b v="1"/>
    <x v="1"/>
  </r>
  <r>
    <s v="ORD-0408"/>
    <d v="2026-03-24T00:00:00"/>
    <x v="3"/>
    <n v="3"/>
    <s v="Dimas Pratama"/>
    <x v="3"/>
    <x v="2"/>
    <x v="0"/>
    <s v="P-3002"/>
    <s v="Marker Set"/>
    <x v="3"/>
    <n v="3"/>
    <n v="0.03"/>
    <n v="247350"/>
    <n v="129000"/>
    <n v="118350"/>
    <s v="Citra"/>
    <b v="0"/>
    <b v="0"/>
    <b v="0"/>
    <b v="0"/>
    <b v="0"/>
    <x v="0"/>
  </r>
  <r>
    <s v="ORD-0409"/>
    <d v="2026-05-24T00:00:00"/>
    <x v="1"/>
    <n v="5"/>
    <s v="Citra Dewi"/>
    <x v="0"/>
    <x v="2"/>
    <x v="0"/>
    <s v="P-2001"/>
    <s v="Office Chair"/>
    <x v="1"/>
    <n v="6"/>
    <n v="0.03"/>
    <n v="8439000"/>
    <n v="5880000"/>
    <n v="2559000"/>
    <s v="Raka"/>
    <b v="0"/>
    <b v="0"/>
    <b v="0"/>
    <b v="0"/>
    <b v="0"/>
    <x v="0"/>
  </r>
  <r>
    <s v="ORD-0410"/>
    <d v="2026-02-02T00:00:00"/>
    <x v="2"/>
    <n v="2"/>
    <s v="PT Sinar Jaya"/>
    <x v="2"/>
    <x v="2"/>
    <x v="0"/>
    <s v="P-1001"/>
    <s v="USB-C Hub"/>
    <x v="0"/>
    <n v="3"/>
    <n v="0.15"/>
    <n v="892500"/>
    <n v="630000"/>
    <n v="262500"/>
    <s v="Citra"/>
    <b v="0"/>
    <b v="0"/>
    <b v="0"/>
    <b v="0"/>
    <b v="0"/>
    <x v="0"/>
  </r>
  <r>
    <s v="ORD-0411"/>
    <d v="2026-06-04T00:00:00"/>
    <x v="0"/>
    <n v="6"/>
    <s v="Sari Lestari"/>
    <x v="2"/>
    <x v="1"/>
    <x v="0"/>
    <s v="P-4001"/>
    <s v="Keyboard"/>
    <x v="0"/>
    <n v="6"/>
    <n v="0.1"/>
    <n v="2565000"/>
    <n v="1710000"/>
    <n v="855000"/>
    <s v="Citra"/>
    <b v="0"/>
    <b v="0"/>
    <b v="0"/>
    <b v="0"/>
    <b v="0"/>
    <x v="0"/>
  </r>
  <r>
    <s v="ORD-0412"/>
    <d v="2026-03-26T00:00:00"/>
    <x v="3"/>
    <n v="3"/>
    <s v="CV Maju Bersama"/>
    <x v="4"/>
    <x v="0"/>
    <x v="0"/>
    <s v="P-2002"/>
    <s v="Desk Lamp"/>
    <x v="1"/>
    <n v="2"/>
    <n v="0.03"/>
    <n v="533500"/>
    <n v="310000"/>
    <n v="223500"/>
    <s v="Sari"/>
    <b v="0"/>
    <b v="0"/>
    <b v="0"/>
    <b v="0"/>
    <b v="0"/>
    <x v="0"/>
  </r>
  <r>
    <s v="ORD-0413"/>
    <d v="1990-01-01T00:00:00"/>
    <x v="4"/>
    <n v="1"/>
    <s v="Citra Dewi"/>
    <x v="1"/>
    <x v="3"/>
    <x v="0"/>
    <s v="P-1002"/>
    <s v="Wireless Mouse"/>
    <x v="2"/>
    <n v="1"/>
    <n v="0.05"/>
    <n v="232750"/>
    <n v="145000"/>
    <n v="87750"/>
    <s v="Bima"/>
    <b v="0"/>
    <b v="0"/>
    <b v="0"/>
    <b v="0"/>
    <b v="0"/>
    <x v="0"/>
  </r>
  <r>
    <s v="ORD-0414"/>
    <d v="2026-01-01T00:00:00"/>
    <x v="4"/>
    <n v="1"/>
    <s v="Raka Wijaya"/>
    <x v="3"/>
    <x v="0"/>
    <x v="0"/>
    <s v="P-5001"/>
    <s v="Monitor 24 inch"/>
    <x v="0"/>
    <n v="1"/>
    <n v="0.08"/>
    <n v="1702000"/>
    <n v="1320000"/>
    <n v="382000"/>
    <s v="Fajar"/>
    <b v="0"/>
    <b v="0"/>
    <b v="0"/>
    <b v="0"/>
    <b v="0"/>
    <x v="0"/>
  </r>
  <r>
    <s v="ORD-0415"/>
    <m/>
    <x v="6"/>
    <m/>
    <s v="Alya Putri"/>
    <x v="3"/>
    <x v="0"/>
    <x v="0"/>
    <s v="P-3001"/>
    <s v="Notebook Pack"/>
    <x v="3"/>
    <n v="6"/>
    <n v="0.1"/>
    <n v="351000"/>
    <n v="186000"/>
    <n v="165000"/>
    <s v="Fajar"/>
    <b v="0"/>
    <b v="0"/>
    <b v="1"/>
    <b v="0"/>
    <b v="0"/>
    <x v="3"/>
  </r>
  <r>
    <s v="ORD-0416"/>
    <d v="2026-01-19T00:00:00"/>
    <x v="4"/>
    <n v="1"/>
    <s v="CV Maju Bersama"/>
    <x v="4"/>
    <x v="1"/>
    <x v="0"/>
    <s v="P-1003"/>
    <s v="Laptop Stand"/>
    <x v="2"/>
    <n v="1"/>
    <n v="0.05"/>
    <n v="294500"/>
    <n v="190000"/>
    <n v="104500"/>
    <s v="Sari"/>
    <b v="0"/>
    <b v="0"/>
    <b v="0"/>
    <b v="0"/>
    <b v="0"/>
    <x v="0"/>
  </r>
  <r>
    <s v="ORD-0417"/>
    <d v="2026-02-13T00:00:00"/>
    <x v="2"/>
    <n v="2"/>
    <s v="Dimas Pratama"/>
    <x v="2"/>
    <x v="1"/>
    <x v="0"/>
    <s v="P-6001"/>
    <s v="Storage Box"/>
    <x v="4"/>
    <n v="7"/>
    <n v="0.03"/>
    <n v="848750"/>
    <n v="490000"/>
    <n v="358750"/>
    <s v="Fajar"/>
    <b v="0"/>
    <b v="0"/>
    <b v="0"/>
    <b v="0"/>
    <b v="0"/>
    <x v="0"/>
  </r>
  <r>
    <s v="ORD-0418"/>
    <d v="2026-06-30T00:00:00"/>
    <x v="0"/>
    <n v="6"/>
    <s v="Alya Putri"/>
    <x v="2"/>
    <x v="2"/>
    <x v="3"/>
    <s v="P-3002"/>
    <s v="Marker Set"/>
    <x v="3"/>
    <n v="1"/>
    <n v="0.08"/>
    <n v="0"/>
    <n v="43000"/>
    <n v="-43000"/>
    <s v="Alya"/>
    <b v="0"/>
    <b v="0"/>
    <b v="0"/>
    <b v="0"/>
    <b v="1"/>
    <x v="1"/>
  </r>
  <r>
    <s v="ORD-0419"/>
    <d v="2026-01-26T00:00:00"/>
    <x v="4"/>
    <n v="1"/>
    <s v="Citra Dewi"/>
    <x v="2"/>
    <x v="3"/>
    <x v="1"/>
    <s v="P-2001"/>
    <s v="Office Chair"/>
    <x v="1"/>
    <n v="6"/>
    <n v="0.03"/>
    <n v="2109750"/>
    <n v="5880000"/>
    <n v="-3770250"/>
    <s v="Raka"/>
    <b v="0"/>
    <b v="0"/>
    <b v="0"/>
    <b v="0"/>
    <b v="1"/>
    <x v="1"/>
  </r>
  <r>
    <s v="ORD-0420"/>
    <d v="2026-03-02T00:00:00"/>
    <x v="3"/>
    <n v="3"/>
    <s v="Alya Putri"/>
    <x v="2"/>
    <x v="2"/>
    <x v="0"/>
    <s v="P-1001"/>
    <s v="USB-C Hub"/>
    <x v="0"/>
    <n v="2"/>
    <n v="0"/>
    <n v="700000"/>
    <n v="420000"/>
    <n v="280000"/>
    <s v="Alya"/>
    <b v="0"/>
    <b v="0"/>
    <b v="0"/>
    <b v="0"/>
    <b v="0"/>
    <x v="0"/>
  </r>
  <r>
    <s v="ORD-0421"/>
    <d v="2026-04-03T00:00:00"/>
    <x v="5"/>
    <n v="4"/>
    <s v="Bima Santoso"/>
    <x v="2"/>
    <x v="2"/>
    <x v="0"/>
    <s v="P-4001"/>
    <s v="Keyboard"/>
    <x v="0"/>
    <n v="1"/>
    <n v="0.08"/>
    <n v="437000"/>
    <n v="285000"/>
    <n v="152000"/>
    <s v="Bima"/>
    <b v="0"/>
    <b v="0"/>
    <b v="0"/>
    <b v="0"/>
    <b v="0"/>
    <x v="0"/>
  </r>
  <r>
    <s v="ORD-0422"/>
    <d v="2026-01-07T00:00:00"/>
    <x v="4"/>
    <n v="1"/>
    <s v="CV Maju Bersama"/>
    <x v="1"/>
    <x v="2"/>
    <x v="0"/>
    <s v="P-2002"/>
    <s v="Desk Lamp"/>
    <x v="1"/>
    <n v="4"/>
    <n v="0.03"/>
    <n v="1067000"/>
    <n v="620000"/>
    <n v="447000"/>
    <s v="Raka"/>
    <b v="0"/>
    <b v="0"/>
    <b v="0"/>
    <b v="0"/>
    <b v="0"/>
    <x v="0"/>
  </r>
  <r>
    <s v="ORD-0423"/>
    <d v="2026-04-12T00:00:00"/>
    <x v="5"/>
    <n v="4"/>
    <s v="Alya Putri"/>
    <x v="1"/>
    <x v="2"/>
    <x v="3"/>
    <s v="P-1002"/>
    <s v="Wireless Mouse"/>
    <x v="2"/>
    <n v="8"/>
    <n v="0.08"/>
    <n v="450800"/>
    <n v="1160000"/>
    <n v="-709200"/>
    <s v="Sari"/>
    <b v="0"/>
    <b v="0"/>
    <b v="0"/>
    <b v="0"/>
    <b v="1"/>
    <x v="1"/>
  </r>
  <r>
    <s v="ORD-0424"/>
    <d v="2026-04-08T00:00:00"/>
    <x v="5"/>
    <n v="4"/>
    <s v="Sari Lestari"/>
    <x v="4"/>
    <x v="2"/>
    <x v="0"/>
    <s v="P-5001"/>
    <s v="Monitor 24 inch"/>
    <x v="0"/>
    <n v="6"/>
    <n v="0.03"/>
    <n v="10767000"/>
    <n v="7920000"/>
    <n v="2847000"/>
    <s v="Raka"/>
    <b v="0"/>
    <b v="0"/>
    <b v="0"/>
    <b v="0"/>
    <b v="0"/>
    <x v="0"/>
  </r>
  <r>
    <s v="ORD-0425"/>
    <d v="2026-02-27T00:00:00"/>
    <x v="2"/>
    <n v="2"/>
    <s v="Dimas Pratama"/>
    <x v="1"/>
    <x v="1"/>
    <x v="0"/>
    <s v="P-3001"/>
    <s v="Notebook Pack"/>
    <x v="3"/>
    <n v="5"/>
    <n v="0.1"/>
    <n v="292500"/>
    <n v="155000"/>
    <n v="137500"/>
    <s v="Nadia"/>
    <b v="0"/>
    <b v="0"/>
    <b v="0"/>
    <b v="0"/>
    <b v="0"/>
    <x v="0"/>
  </r>
  <r>
    <s v="ORD-0426"/>
    <d v="2026-05-31T00:00:00"/>
    <x v="1"/>
    <n v="5"/>
    <s v="Sari Lestari"/>
    <x v="3"/>
    <x v="2"/>
    <x v="0"/>
    <s v="P-1003"/>
    <s v="Laptop Stand"/>
    <x v="2"/>
    <n v="4"/>
    <n v="0.1"/>
    <n v="1116000"/>
    <n v="760000"/>
    <n v="356000"/>
    <s v="Dimas"/>
    <b v="0"/>
    <b v="0"/>
    <b v="0"/>
    <b v="0"/>
    <b v="0"/>
    <x v="0"/>
  </r>
  <r>
    <s v="ORD-0427"/>
    <d v="2026-05-02T00:00:00"/>
    <x v="1"/>
    <n v="5"/>
    <s v="CV Maju Bersama"/>
    <x v="1"/>
    <x v="0"/>
    <x v="0"/>
    <s v="P-6001"/>
    <s v="Storage Box"/>
    <x v="4"/>
    <n v="5"/>
    <n v="0"/>
    <n v="625000"/>
    <n v="350000"/>
    <n v="275000"/>
    <s v="Fajar"/>
    <b v="0"/>
    <b v="0"/>
    <b v="0"/>
    <b v="0"/>
    <b v="0"/>
    <x v="0"/>
  </r>
  <r>
    <s v="ORD-0428"/>
    <d v="2026-02-14T00:00:00"/>
    <x v="2"/>
    <n v="2"/>
    <s v="Raka Wijaya"/>
    <x v="0"/>
    <x v="1"/>
    <x v="2"/>
    <s v="P-3002"/>
    <s v="Marker Set"/>
    <x v="3"/>
    <n v="3"/>
    <n v="0.03"/>
    <n v="247350"/>
    <n v="129000"/>
    <n v="118350"/>
    <s v="Bima"/>
    <b v="0"/>
    <b v="0"/>
    <b v="0"/>
    <b v="0"/>
    <b v="0"/>
    <x v="0"/>
  </r>
  <r>
    <s v="ORD-0429"/>
    <d v="2026-06-24T00:00:00"/>
    <x v="0"/>
    <n v="6"/>
    <s v="Dimas Pratama"/>
    <x v="0"/>
    <x v="3"/>
    <x v="1"/>
    <s v="P-2001"/>
    <s v="Office Chair"/>
    <x v="1"/>
    <n v="7"/>
    <n v="0.03"/>
    <n v="4922750"/>
    <n v="6860000"/>
    <n v="-1937250"/>
    <s v="Bima"/>
    <b v="0"/>
    <b v="0"/>
    <b v="0"/>
    <b v="0"/>
    <b v="1"/>
    <x v="1"/>
  </r>
  <r>
    <s v="ORD-0430"/>
    <d v="2026-01-23T00:00:00"/>
    <x v="4"/>
    <n v="1"/>
    <s v="Sari Lestari"/>
    <x v="4"/>
    <x v="3"/>
    <x v="0"/>
    <s v="P-1001"/>
    <s v="USB-C Hub"/>
    <x v="0"/>
    <n v="7"/>
    <n v="0.1"/>
    <n v="2205000"/>
    <n v="1470000"/>
    <n v="735000"/>
    <s v="Alya"/>
    <b v="0"/>
    <b v="0"/>
    <b v="0"/>
    <b v="0"/>
    <b v="0"/>
    <x v="0"/>
  </r>
  <r>
    <s v="ORD-0431"/>
    <d v="2026-06-29T00:00:00"/>
    <x v="0"/>
    <n v="6"/>
    <s v="CV Maju Bersama"/>
    <x v="0"/>
    <x v="1"/>
    <x v="0"/>
    <s v="P-4001"/>
    <s v="Keyboard"/>
    <x v="0"/>
    <n v="7"/>
    <n v="0"/>
    <n v="3325000"/>
    <n v="1995000"/>
    <n v="1330000"/>
    <s v="Bima"/>
    <b v="0"/>
    <b v="0"/>
    <b v="0"/>
    <b v="0"/>
    <b v="0"/>
    <x v="0"/>
  </r>
  <r>
    <s v="ORD-0432"/>
    <d v="2026-03-15T00:00:00"/>
    <x v="3"/>
    <n v="3"/>
    <s v="PT Sinar Jaya"/>
    <x v="3"/>
    <x v="2"/>
    <x v="0"/>
    <s v="P-2002"/>
    <s v="Desk Lamp"/>
    <x v="1"/>
    <n v="6"/>
    <n v="0.08"/>
    <n v="1518000"/>
    <n v="930000"/>
    <n v="588000"/>
    <s v="Citra"/>
    <b v="0"/>
    <b v="0"/>
    <b v="0"/>
    <b v="0"/>
    <b v="0"/>
    <x v="0"/>
  </r>
  <r>
    <s v="ORD-0433"/>
    <d v="2026-03-12T00:00:00"/>
    <x v="3"/>
    <n v="3"/>
    <s v="Raka Wijaya"/>
    <x v="3"/>
    <x v="1"/>
    <x v="0"/>
    <s v="P-1002"/>
    <s v="Wireless Mouse"/>
    <x v="2"/>
    <n v="7"/>
    <n v="0.03"/>
    <n v="1663550"/>
    <n v="1015000"/>
    <n v="648550"/>
    <s v="Sari"/>
    <b v="0"/>
    <b v="0"/>
    <b v="0"/>
    <b v="0"/>
    <b v="0"/>
    <x v="0"/>
  </r>
  <r>
    <s v="ORD-0434"/>
    <d v="2026-06-26T00:00:00"/>
    <x v="0"/>
    <n v="6"/>
    <s v="PT Sinar Jaya"/>
    <x v="4"/>
    <x v="3"/>
    <x v="0"/>
    <s v="P-5001"/>
    <s v="Monitor 24 inch"/>
    <x v="0"/>
    <n v="4"/>
    <n v="0"/>
    <n v="7400000"/>
    <n v="5280000"/>
    <n v="2120000"/>
    <s v="Sari"/>
    <b v="0"/>
    <b v="0"/>
    <b v="0"/>
    <b v="0"/>
    <b v="0"/>
    <x v="0"/>
  </r>
  <r>
    <s v="ORD-0435"/>
    <d v="2026-03-19T00:00:00"/>
    <x v="3"/>
    <n v="3"/>
    <s v="Alya Putri"/>
    <x v="1"/>
    <x v="0"/>
    <x v="2"/>
    <s v="P-3001"/>
    <s v="Notebook Pack"/>
    <x v="3"/>
    <n v="5"/>
    <n v="0.05"/>
    <n v="308750"/>
    <n v="155000"/>
    <n v="153750"/>
    <s v="Raka"/>
    <b v="0"/>
    <b v="0"/>
    <b v="0"/>
    <b v="0"/>
    <b v="0"/>
    <x v="0"/>
  </r>
  <r>
    <s v="ORD-0436"/>
    <d v="2026-04-24T00:00:00"/>
    <x v="5"/>
    <n v="4"/>
    <s v="Bima Santoso"/>
    <x v="2"/>
    <x v="1"/>
    <x v="0"/>
    <s v="P-1003"/>
    <s v="Laptop Stand"/>
    <x v="2"/>
    <n v="6"/>
    <n v="0.05"/>
    <n v="1767000"/>
    <n v="1140000"/>
    <n v="627000"/>
    <s v="Fajar"/>
    <b v="0"/>
    <b v="0"/>
    <b v="0"/>
    <b v="0"/>
    <b v="0"/>
    <x v="0"/>
  </r>
  <r>
    <s v="ORD-0437"/>
    <d v="2026-02-24T00:00:00"/>
    <x v="2"/>
    <n v="2"/>
    <s v="PT Sinar Jaya"/>
    <x v="2"/>
    <x v="3"/>
    <x v="0"/>
    <s v="P-6001"/>
    <s v="Storage Box"/>
    <x v="4"/>
    <n v="7"/>
    <n v="0.15"/>
    <n v="743750"/>
    <n v="490000"/>
    <n v="253750"/>
    <s v="Citra"/>
    <b v="0"/>
    <b v="0"/>
    <b v="0"/>
    <b v="0"/>
    <b v="0"/>
    <x v="0"/>
  </r>
  <r>
    <s v="ORD-0438"/>
    <d v="2026-01-17T00:00:00"/>
    <x v="4"/>
    <n v="1"/>
    <s v="Alya Putri"/>
    <x v="0"/>
    <x v="1"/>
    <x v="0"/>
    <s v="P-3002"/>
    <s v="Marker Set"/>
    <x v="3"/>
    <n v="5"/>
    <n v="0.15"/>
    <n v="361250"/>
    <n v="215000"/>
    <n v="146250"/>
    <s v="Dimas"/>
    <b v="0"/>
    <b v="0"/>
    <b v="0"/>
    <b v="0"/>
    <b v="0"/>
    <x v="0"/>
  </r>
  <r>
    <s v="ORD-0439"/>
    <d v="2026-02-21T00:00:00"/>
    <x v="2"/>
    <n v="2"/>
    <s v="Bima Santoso"/>
    <x v="1"/>
    <x v="3"/>
    <x v="0"/>
    <s v="P-2001"/>
    <s v="Office Chair"/>
    <x v="1"/>
    <n v="1"/>
    <n v="0.03"/>
    <n v="1406500"/>
    <n v="980000"/>
    <n v="426500"/>
    <s v="Raka"/>
    <b v="0"/>
    <b v="0"/>
    <b v="0"/>
    <b v="0"/>
    <b v="0"/>
    <x v="0"/>
  </r>
  <r>
    <s v="ORD-0440"/>
    <d v="2026-04-05T00:00:00"/>
    <x v="5"/>
    <n v="4"/>
    <s v="Bima Santoso"/>
    <x v="1"/>
    <x v="1"/>
    <x v="0"/>
    <s v="P-1001"/>
    <s v="USB-C Hub"/>
    <x v="0"/>
    <n v="8"/>
    <n v="0.1"/>
    <n v="2520000"/>
    <n v="1680000"/>
    <n v="840000"/>
    <s v="Sari"/>
    <b v="0"/>
    <b v="0"/>
    <b v="0"/>
    <b v="0"/>
    <b v="0"/>
    <x v="0"/>
  </r>
  <r>
    <s v="ORD-0441"/>
    <d v="2026-05-06T00:00:00"/>
    <x v="1"/>
    <n v="5"/>
    <s v="Dimas Pratama"/>
    <x v="2"/>
    <x v="3"/>
    <x v="1"/>
    <s v="P-4001"/>
    <s v="Keyboard"/>
    <x v="0"/>
    <n v="8"/>
    <n v="0.03"/>
    <n v="921500"/>
    <n v="2280000"/>
    <n v="-1358500"/>
    <s v="Citra"/>
    <b v="0"/>
    <b v="0"/>
    <b v="0"/>
    <b v="0"/>
    <b v="1"/>
    <x v="1"/>
  </r>
  <r>
    <s v="ORD-0442"/>
    <d v="2026-03-08T00:00:00"/>
    <x v="3"/>
    <n v="3"/>
    <s v="Bima Santoso"/>
    <x v="1"/>
    <x v="0"/>
    <x v="0"/>
    <s v="P-2002"/>
    <s v="Desk Lamp"/>
    <x v="1"/>
    <n v="2"/>
    <n v="0.05"/>
    <n v="522500"/>
    <n v="310000"/>
    <n v="212500"/>
    <s v="Dimas"/>
    <b v="0"/>
    <b v="0"/>
    <b v="0"/>
    <b v="0"/>
    <b v="0"/>
    <x v="0"/>
  </r>
  <r>
    <s v="ORD-0443"/>
    <d v="2026-06-15T00:00:00"/>
    <x v="0"/>
    <n v="6"/>
    <s v="PT Sinar Jaya"/>
    <x v="3"/>
    <x v="1"/>
    <x v="0"/>
    <s v="P-1002"/>
    <s v="Wireless Mouse"/>
    <x v="2"/>
    <n v="4"/>
    <n v="0.15"/>
    <n v="833000"/>
    <n v="580000"/>
    <n v="253000"/>
    <s v="Fajar"/>
    <b v="0"/>
    <b v="0"/>
    <b v="0"/>
    <b v="0"/>
    <b v="0"/>
    <x v="0"/>
  </r>
  <r>
    <s v="ORD-0444"/>
    <d v="2026-02-03T00:00:00"/>
    <x v="2"/>
    <n v="2"/>
    <s v="Citra Dewi"/>
    <x v="0"/>
    <x v="3"/>
    <x v="2"/>
    <s v="P-5001"/>
    <s v="Monitor 24 inch"/>
    <x v="0"/>
    <n v="3"/>
    <n v="0.1"/>
    <n v="4995000"/>
    <n v="3960000"/>
    <n v="1035000"/>
    <s v="Raka"/>
    <b v="0"/>
    <b v="0"/>
    <b v="0"/>
    <b v="0"/>
    <b v="0"/>
    <x v="0"/>
  </r>
  <r>
    <s v="ORD-0445"/>
    <d v="2026-04-19T00:00:00"/>
    <x v="5"/>
    <n v="4"/>
    <s v="Citra Dewi"/>
    <x v="0"/>
    <x v="2"/>
    <x v="0"/>
    <s v="P-3001"/>
    <s v="Notebook Pack"/>
    <x v="3"/>
    <m/>
    <n v="0.05"/>
    <n v="432250"/>
    <n v="217000"/>
    <n v="215250"/>
    <s v="Nadia"/>
    <b v="0"/>
    <b v="1"/>
    <b v="0"/>
    <b v="0"/>
    <b v="0"/>
    <x v="4"/>
  </r>
  <r>
    <s v="ORD-0446"/>
    <d v="2026-05-30T00:00:00"/>
    <x v="1"/>
    <n v="5"/>
    <s v="Citra Dewi"/>
    <x v="4"/>
    <x v="3"/>
    <x v="0"/>
    <s v="P-1003"/>
    <s v="Laptop Stand"/>
    <x v="2"/>
    <n v="2"/>
    <n v="0"/>
    <n v="620000"/>
    <n v="380000"/>
    <n v="240000"/>
    <s v="Bima"/>
    <b v="0"/>
    <b v="0"/>
    <b v="0"/>
    <b v="0"/>
    <b v="0"/>
    <x v="0"/>
  </r>
  <r>
    <s v="ORD-0447"/>
    <d v="2026-05-04T00:00:00"/>
    <x v="1"/>
    <n v="5"/>
    <s v="Citra Dewi"/>
    <x v="4"/>
    <x v="3"/>
    <x v="1"/>
    <s v="P-6001"/>
    <s v="Storage Box"/>
    <x v="4"/>
    <n v="2"/>
    <n v="0.05"/>
    <n v="118750"/>
    <n v="140000"/>
    <n v="-21250"/>
    <s v="Raka"/>
    <b v="0"/>
    <b v="0"/>
    <b v="0"/>
    <b v="0"/>
    <b v="1"/>
    <x v="1"/>
  </r>
  <r>
    <s v="ORD-0448"/>
    <d v="2026-02-18T00:00:00"/>
    <x v="2"/>
    <n v="2"/>
    <s v="Dimas Pratama"/>
    <x v="1"/>
    <x v="2"/>
    <x v="0"/>
    <s v="P-3002"/>
    <s v="Marker Set"/>
    <x v="3"/>
    <n v="3"/>
    <n v="0.1"/>
    <n v="229500"/>
    <n v="129000"/>
    <n v="100500"/>
    <s v="Citra"/>
    <b v="0"/>
    <b v="0"/>
    <b v="0"/>
    <b v="0"/>
    <b v="0"/>
    <x v="0"/>
  </r>
  <r>
    <s v="ORD-0449"/>
    <d v="2026-01-07T00:00:00"/>
    <x v="4"/>
    <n v="1"/>
    <s v="Raka Wijaya"/>
    <x v="3"/>
    <x v="2"/>
    <x v="0"/>
    <s v="P-2001"/>
    <s v="Office Chair"/>
    <x v="1"/>
    <n v="8"/>
    <n v="0.05"/>
    <n v="11020000"/>
    <n v="7840000"/>
    <n v="3180000"/>
    <s v="Alya"/>
    <b v="0"/>
    <b v="0"/>
    <b v="0"/>
    <b v="0"/>
    <b v="0"/>
    <x v="0"/>
  </r>
  <r>
    <s v="ORD-0450"/>
    <d v="2026-05-30T00:00:00"/>
    <x v="1"/>
    <n v="5"/>
    <s v="Dimas Pratama"/>
    <x v="0"/>
    <x v="2"/>
    <x v="0"/>
    <s v="P-1001"/>
    <s v="USB-C Hub"/>
    <x v="0"/>
    <n v="4"/>
    <n v="0.05"/>
    <n v="1330000"/>
    <n v="840000"/>
    <n v="490000"/>
    <s v="Raka"/>
    <b v="0"/>
    <b v="0"/>
    <b v="0"/>
    <b v="0"/>
    <b v="0"/>
    <x v="0"/>
  </r>
  <r>
    <s v="ORD-0451"/>
    <d v="2026-02-13T00:00:00"/>
    <x v="2"/>
    <n v="2"/>
    <s v="Alya Putri"/>
    <x v="0"/>
    <x v="3"/>
    <x v="0"/>
    <s v="P-4001"/>
    <s v="Keyboard"/>
    <x v="0"/>
    <n v="3"/>
    <n v="0.05"/>
    <n v="1353750"/>
    <n v="855000"/>
    <n v="498750"/>
    <s v="Sari"/>
    <b v="0"/>
    <b v="0"/>
    <b v="0"/>
    <b v="0"/>
    <b v="0"/>
    <x v="0"/>
  </r>
  <r>
    <s v="ORD-0452"/>
    <d v="2026-06-17T00:00:00"/>
    <x v="0"/>
    <n v="6"/>
    <s v="Dimas Pratama"/>
    <x v="4"/>
    <x v="2"/>
    <x v="0"/>
    <s v="P-2002"/>
    <s v="Desk Lamp"/>
    <x v="1"/>
    <n v="2"/>
    <n v="0.03"/>
    <n v="533500"/>
    <n v="310000"/>
    <n v="223500"/>
    <s v="Sari"/>
    <b v="0"/>
    <b v="0"/>
    <b v="0"/>
    <b v="0"/>
    <b v="0"/>
    <x v="0"/>
  </r>
  <r>
    <s v="ORD-0453"/>
    <d v="2026-03-08T00:00:00"/>
    <x v="3"/>
    <n v="3"/>
    <s v="CV Maju Bersama"/>
    <x v="3"/>
    <x v="1"/>
    <x v="2"/>
    <s v="P-1002"/>
    <s v="Wireless Mouse"/>
    <x v="2"/>
    <n v="5"/>
    <n v="0.08"/>
    <n v="1127000"/>
    <n v="725000"/>
    <n v="402000"/>
    <s v="Fajar"/>
    <b v="0"/>
    <b v="0"/>
    <b v="0"/>
    <b v="0"/>
    <b v="0"/>
    <x v="0"/>
  </r>
  <r>
    <s v="ORD-0454"/>
    <d v="2026-02-19T00:00:00"/>
    <x v="2"/>
    <n v="2"/>
    <s v="PT Sinar Jaya"/>
    <x v="4"/>
    <x v="2"/>
    <x v="0"/>
    <s v="P-5001"/>
    <s v="Monitor 24 inch"/>
    <x v="0"/>
    <n v="2"/>
    <n v="0.15"/>
    <n v="3145000"/>
    <n v="2640000"/>
    <n v="505000"/>
    <s v="Citra"/>
    <b v="0"/>
    <b v="0"/>
    <b v="0"/>
    <b v="0"/>
    <b v="0"/>
    <x v="0"/>
  </r>
  <r>
    <s v="ORD-0455"/>
    <d v="2026-02-05T00:00:00"/>
    <x v="2"/>
    <n v="2"/>
    <s v="Alya Putri"/>
    <x v="2"/>
    <x v="2"/>
    <x v="0"/>
    <s v="P-3001"/>
    <s v="Notebook Pack"/>
    <x v="3"/>
    <n v="4"/>
    <n v="0.05"/>
    <n v="247000"/>
    <n v="124000"/>
    <n v="123000"/>
    <s v="Sari"/>
    <b v="0"/>
    <b v="0"/>
    <b v="0"/>
    <b v="0"/>
    <b v="0"/>
    <x v="0"/>
  </r>
  <r>
    <s v="ORD-0456"/>
    <d v="2026-02-16T00:00:00"/>
    <x v="2"/>
    <n v="2"/>
    <s v="PT Sinar Jaya"/>
    <x v="0"/>
    <x v="3"/>
    <x v="0"/>
    <s v="P-1003"/>
    <s v="Laptop Stand"/>
    <x v="2"/>
    <n v="2"/>
    <n v="0.08"/>
    <n v="570400"/>
    <n v="380000"/>
    <n v="190400"/>
    <s v="Alya"/>
    <b v="0"/>
    <b v="0"/>
    <b v="0"/>
    <b v="0"/>
    <b v="0"/>
    <x v="0"/>
  </r>
  <r>
    <s v="ORD-0457"/>
    <d v="2026-04-26T00:00:00"/>
    <x v="5"/>
    <n v="4"/>
    <s v="Sari Lestari"/>
    <x v="0"/>
    <x v="0"/>
    <x v="0"/>
    <s v="P-6001"/>
    <s v="Storage Box"/>
    <x v="4"/>
    <n v="5"/>
    <n v="0.03"/>
    <n v="606250"/>
    <n v="350000"/>
    <n v="256250"/>
    <s v="Bima"/>
    <b v="0"/>
    <b v="0"/>
    <b v="0"/>
    <b v="0"/>
    <b v="0"/>
    <x v="0"/>
  </r>
  <r>
    <s v="ORD-0458"/>
    <d v="2026-02-03T00:00:00"/>
    <x v="2"/>
    <n v="2"/>
    <s v="Raka Wijaya"/>
    <x v="3"/>
    <x v="2"/>
    <x v="0"/>
    <s v="P-3002"/>
    <s v="Marker Set"/>
    <x v="3"/>
    <n v="7"/>
    <n v="0.15"/>
    <n v="505750"/>
    <n v="301000"/>
    <n v="204750"/>
    <s v="Alya"/>
    <b v="0"/>
    <b v="0"/>
    <b v="0"/>
    <b v="0"/>
    <b v="0"/>
    <x v="0"/>
  </r>
  <r>
    <s v="ORD-0459"/>
    <d v="2026-01-10T00:00:00"/>
    <x v="4"/>
    <n v="1"/>
    <s v="Bima Santoso"/>
    <x v="1"/>
    <x v="3"/>
    <x v="0"/>
    <s v="P-2001"/>
    <s v="Office Chair"/>
    <x v="1"/>
    <n v="4"/>
    <n v="0.15"/>
    <n v="4930000"/>
    <n v="3920000"/>
    <n v="1010000"/>
    <s v="Alya"/>
    <b v="0"/>
    <b v="0"/>
    <b v="0"/>
    <b v="0"/>
    <b v="0"/>
    <x v="0"/>
  </r>
  <r>
    <s v="ORD-0460"/>
    <d v="2026-06-23T00:00:00"/>
    <x v="0"/>
    <n v="6"/>
    <s v="Citra Dewi"/>
    <x v="0"/>
    <x v="3"/>
    <x v="0"/>
    <s v="P-1001"/>
    <s v="USB-C Hub"/>
    <x v="0"/>
    <n v="1"/>
    <n v="0.15"/>
    <n v="297500"/>
    <n v="210000"/>
    <n v="87500"/>
    <s v="Citra"/>
    <b v="0"/>
    <b v="0"/>
    <b v="0"/>
    <b v="0"/>
    <b v="0"/>
    <x v="0"/>
  </r>
  <r>
    <s v="ORD-0461"/>
    <d v="2026-01-27T00:00:00"/>
    <x v="4"/>
    <n v="1"/>
    <s v="PT Sinar Jaya"/>
    <x v="0"/>
    <x v="1"/>
    <x v="0"/>
    <s v="P-4001"/>
    <s v="Keyboard"/>
    <x v="0"/>
    <n v="7"/>
    <n v="0.1"/>
    <n v="2992500"/>
    <n v="1995000"/>
    <n v="997500"/>
    <s v="Raka"/>
    <b v="0"/>
    <b v="0"/>
    <b v="0"/>
    <b v="0"/>
    <b v="0"/>
    <x v="0"/>
  </r>
  <r>
    <s v="ORD-0462"/>
    <d v="2026-03-16T00:00:00"/>
    <x v="3"/>
    <n v="3"/>
    <s v="Raka Wijaya"/>
    <x v="2"/>
    <x v="3"/>
    <x v="0"/>
    <s v="P-2002"/>
    <s v="Desk Lamp"/>
    <x v="1"/>
    <n v="8"/>
    <n v="0.15"/>
    <n v="1870000"/>
    <n v="1240000"/>
    <n v="630000"/>
    <s v="Citra"/>
    <b v="0"/>
    <b v="0"/>
    <b v="0"/>
    <b v="0"/>
    <b v="0"/>
    <x v="0"/>
  </r>
  <r>
    <s v="ORD-0463"/>
    <d v="2026-03-29T00:00:00"/>
    <x v="3"/>
    <n v="3"/>
    <s v="PT Sinar Jaya"/>
    <x v="0"/>
    <x v="2"/>
    <x v="0"/>
    <s v="P-1002"/>
    <s v="Wireless Mouse"/>
    <x v="2"/>
    <n v="8"/>
    <n v="0.05"/>
    <n v="1862000"/>
    <n v="1160000"/>
    <n v="702000"/>
    <s v="Dimas"/>
    <b v="0"/>
    <b v="0"/>
    <b v="0"/>
    <b v="0"/>
    <b v="0"/>
    <x v="0"/>
  </r>
  <r>
    <s v="ORD-0464"/>
    <d v="2026-02-27T00:00:00"/>
    <x v="2"/>
    <n v="2"/>
    <s v="CV Maju Bersama"/>
    <x v="2"/>
    <x v="0"/>
    <x v="0"/>
    <s v="P-5001"/>
    <s v="Monitor 24 inch"/>
    <x v="0"/>
    <n v="3"/>
    <n v="0.03"/>
    <n v="5383500"/>
    <n v="3960000"/>
    <n v="1423500"/>
    <s v="Sari"/>
    <b v="0"/>
    <b v="0"/>
    <b v="0"/>
    <b v="0"/>
    <b v="0"/>
    <x v="0"/>
  </r>
  <r>
    <s v="ORD-0465"/>
    <d v="2026-06-16T00:00:00"/>
    <x v="0"/>
    <n v="6"/>
    <s v="PT Sinar Jaya"/>
    <x v="4"/>
    <x v="1"/>
    <x v="2"/>
    <s v="P-3001"/>
    <s v="Notebook Pack"/>
    <x v="3"/>
    <n v="1"/>
    <n v="0.08"/>
    <n v="59800"/>
    <n v="31000"/>
    <n v="28800"/>
    <s v="Bima"/>
    <b v="0"/>
    <b v="0"/>
    <b v="0"/>
    <b v="0"/>
    <b v="0"/>
    <x v="0"/>
  </r>
  <r>
    <s v="ORD-0466"/>
    <d v="2026-06-17T00:00:00"/>
    <x v="0"/>
    <n v="6"/>
    <s v="Raka Wijaya"/>
    <x v="3"/>
    <x v="2"/>
    <x v="0"/>
    <s v="P-1003"/>
    <s v="Laptop Stand"/>
    <x v="2"/>
    <n v="1"/>
    <n v="0"/>
    <n v="310000"/>
    <n v="190000"/>
    <n v="120000"/>
    <s v="Bima"/>
    <b v="0"/>
    <b v="0"/>
    <b v="0"/>
    <b v="0"/>
    <b v="0"/>
    <x v="0"/>
  </r>
  <r>
    <s v="ORD-0467"/>
    <d v="2026-05-21T00:00:00"/>
    <x v="1"/>
    <n v="5"/>
    <s v="Citra Dewi"/>
    <x v="0"/>
    <x v="1"/>
    <x v="0"/>
    <s v="P-6001"/>
    <s v="Storage Box"/>
    <x v="4"/>
    <n v="5"/>
    <n v="0.08"/>
    <n v="575000"/>
    <n v="350000"/>
    <n v="225000"/>
    <s v="Nadia"/>
    <b v="0"/>
    <b v="0"/>
    <b v="0"/>
    <b v="0"/>
    <b v="0"/>
    <x v="0"/>
  </r>
  <r>
    <s v="ORD-0468"/>
    <d v="2026-06-19T00:00:00"/>
    <x v="0"/>
    <n v="6"/>
    <s v="Raka Wijaya"/>
    <x v="2"/>
    <x v="0"/>
    <x v="0"/>
    <s v="P-3002"/>
    <s v="Marker Set"/>
    <x v="3"/>
    <n v="2"/>
    <n v="0.15"/>
    <n v="144500"/>
    <n v="86000"/>
    <n v="58500"/>
    <s v="Bima"/>
    <b v="0"/>
    <b v="0"/>
    <b v="0"/>
    <b v="0"/>
    <b v="0"/>
    <x v="0"/>
  </r>
  <r>
    <s v="ORD-0469"/>
    <d v="2026-05-11T00:00:00"/>
    <x v="1"/>
    <n v="5"/>
    <s v="Bima Santoso"/>
    <x v="1"/>
    <x v="2"/>
    <x v="0"/>
    <s v="P-2001"/>
    <s v="Office Chair"/>
    <x v="1"/>
    <n v="2"/>
    <n v="0.05"/>
    <m/>
    <n v="1960000"/>
    <n v="795000"/>
    <s v="Dimas"/>
    <b v="0"/>
    <b v="0"/>
    <b v="0"/>
    <b v="1"/>
    <b v="0"/>
    <x v="2"/>
  </r>
  <r>
    <s v="ORD-0470"/>
    <d v="2026-03-09T00:00:00"/>
    <x v="3"/>
    <n v="3"/>
    <s v="PT Sinar Jaya"/>
    <x v="4"/>
    <x v="0"/>
    <x v="0"/>
    <s v="P-1001"/>
    <s v="USB-C Hub"/>
    <x v="0"/>
    <n v="4"/>
    <n v="0.05"/>
    <n v="1330000"/>
    <n v="840000"/>
    <n v="490000"/>
    <s v="Fajar"/>
    <b v="0"/>
    <b v="0"/>
    <b v="0"/>
    <b v="0"/>
    <b v="0"/>
    <x v="0"/>
  </r>
  <r>
    <s v="ORD-0471"/>
    <d v="2026-02-23T00:00:00"/>
    <x v="2"/>
    <n v="2"/>
    <s v="CV Maju Bersama"/>
    <x v="1"/>
    <x v="1"/>
    <x v="0"/>
    <s v="P-4001"/>
    <s v="Keyboard"/>
    <x v="0"/>
    <n v="8"/>
    <n v="0.05"/>
    <n v="3610000"/>
    <n v="2280000"/>
    <n v="1330000"/>
    <s v="Fajar"/>
    <b v="0"/>
    <b v="0"/>
    <b v="0"/>
    <b v="0"/>
    <b v="0"/>
    <x v="0"/>
  </r>
  <r>
    <s v="ORD-0472"/>
    <d v="2026-08-02T00:00:00"/>
    <x v="7"/>
    <n v="8"/>
    <s v="Bima Santoso"/>
    <x v="1"/>
    <x v="3"/>
    <x v="0"/>
    <s v="P-2002"/>
    <s v="Desk Lamp"/>
    <x v="1"/>
    <n v="2"/>
    <n v="0.1"/>
    <n v="495000"/>
    <n v="310000"/>
    <n v="185000"/>
    <s v="Fajar"/>
    <b v="0"/>
    <b v="0"/>
    <b v="0"/>
    <b v="0"/>
    <b v="0"/>
    <x v="0"/>
  </r>
  <r>
    <s v="ORD-0473"/>
    <d v="2026-03-17T00:00:00"/>
    <x v="3"/>
    <n v="3"/>
    <s v="Citra Dewi"/>
    <x v="0"/>
    <x v="1"/>
    <x v="0"/>
    <s v="P-1002"/>
    <s v="Wireless Mouse"/>
    <x v="2"/>
    <n v="5"/>
    <n v="0.08"/>
    <n v="1127000"/>
    <n v="725000"/>
    <n v="402000"/>
    <s v="Sari"/>
    <b v="0"/>
    <b v="0"/>
    <b v="0"/>
    <b v="0"/>
    <b v="0"/>
    <x v="0"/>
  </r>
  <r>
    <s v="ORD-0474"/>
    <d v="2026-06-23T00:00:00"/>
    <x v="0"/>
    <n v="6"/>
    <s v="PT Sinar Jaya"/>
    <x v="1"/>
    <x v="1"/>
    <x v="0"/>
    <s v="P-5001"/>
    <s v="Monitor 24 inch"/>
    <x v="0"/>
    <n v="6"/>
    <n v="0.08"/>
    <n v="10212000"/>
    <n v="7920000"/>
    <n v="2292000"/>
    <s v="Citra"/>
    <b v="0"/>
    <b v="0"/>
    <b v="0"/>
    <b v="0"/>
    <b v="0"/>
    <x v="0"/>
  </r>
  <r>
    <s v="ORD-0475"/>
    <d v="2026-06-19T00:00:00"/>
    <x v="0"/>
    <n v="6"/>
    <s v="CV Maju Bersama"/>
    <x v="3"/>
    <x v="3"/>
    <x v="0"/>
    <s v="P-3001"/>
    <s v="Notebook Pack"/>
    <x v="3"/>
    <n v="3"/>
    <n v="0.05"/>
    <n v="185250"/>
    <n v="93000"/>
    <n v="92250"/>
    <s v="Sari"/>
    <b v="0"/>
    <b v="0"/>
    <b v="0"/>
    <b v="0"/>
    <b v="0"/>
    <x v="0"/>
  </r>
  <r>
    <s v="ORD-0476"/>
    <d v="2026-03-29T00:00:00"/>
    <x v="3"/>
    <n v="3"/>
    <s v="Raka Wijaya"/>
    <x v="3"/>
    <x v="3"/>
    <x v="0"/>
    <s v="P-1003"/>
    <s v="Laptop Stand"/>
    <x v="2"/>
    <n v="3"/>
    <n v="0"/>
    <n v="930000"/>
    <n v="570000"/>
    <n v="360000"/>
    <s v="Fajar"/>
    <b v="0"/>
    <b v="0"/>
    <b v="0"/>
    <b v="0"/>
    <b v="0"/>
    <x v="0"/>
  </r>
  <r>
    <s v="ORD-0477"/>
    <d v="2026-04-18T00:00:00"/>
    <x v="5"/>
    <n v="4"/>
    <s v="CV Maju Bersama"/>
    <x v="1"/>
    <x v="0"/>
    <x v="0"/>
    <s v="P-6001"/>
    <s v="Storage Box"/>
    <x v="4"/>
    <n v="3"/>
    <n v="0"/>
    <n v="375000"/>
    <n v="210000"/>
    <n v="165000"/>
    <s v="Nadia"/>
    <b v="0"/>
    <b v="0"/>
    <b v="0"/>
    <b v="0"/>
    <b v="0"/>
    <x v="0"/>
  </r>
  <r>
    <s v="ORD-0478"/>
    <d v="2026-06-01T00:00:00"/>
    <x v="0"/>
    <n v="6"/>
    <s v="Dimas Pratama"/>
    <x v="0"/>
    <x v="2"/>
    <x v="0"/>
    <s v="P-3002"/>
    <s v="Marker Set"/>
    <x v="3"/>
    <n v="8"/>
    <n v="0.1"/>
    <n v="612000"/>
    <n v="344000"/>
    <n v="268000"/>
    <s v="Alya"/>
    <b v="0"/>
    <b v="0"/>
    <b v="0"/>
    <b v="0"/>
    <b v="0"/>
    <x v="0"/>
  </r>
  <r>
    <s v="ORD-0479"/>
    <d v="2026-06-25T00:00:00"/>
    <x v="0"/>
    <n v="6"/>
    <s v="PT Sinar Jaya"/>
    <x v="3"/>
    <x v="2"/>
    <x v="3"/>
    <s v="P-2001"/>
    <s v="Office Chair"/>
    <x v="1"/>
    <n v="3"/>
    <n v="0.08"/>
    <n v="0"/>
    <n v="2940000"/>
    <n v="-2940000"/>
    <s v="Bima"/>
    <b v="0"/>
    <b v="0"/>
    <b v="0"/>
    <b v="0"/>
    <b v="1"/>
    <x v="1"/>
  </r>
  <r>
    <s v="ORD-0480"/>
    <d v="2026-03-08T00:00:00"/>
    <x v="3"/>
    <n v="3"/>
    <s v="Dimas Pratama"/>
    <x v="2"/>
    <x v="0"/>
    <x v="0"/>
    <s v="P-1001"/>
    <s v="USB-C Hub"/>
    <x v="0"/>
    <n v="6"/>
    <n v="0"/>
    <n v="2100000"/>
    <n v="1260000"/>
    <n v="840000"/>
    <s v="Bima"/>
    <b v="0"/>
    <b v="0"/>
    <b v="0"/>
    <b v="0"/>
    <b v="0"/>
    <x v="0"/>
  </r>
  <r>
    <s v="ORD-0481"/>
    <d v="2026-04-21T00:00:00"/>
    <x v="5"/>
    <n v="4"/>
    <s v="PT Sinar Jaya"/>
    <x v="3"/>
    <x v="0"/>
    <x v="0"/>
    <s v="P-4001"/>
    <s v="Keyboard"/>
    <x v="0"/>
    <n v="4"/>
    <n v="0.08"/>
    <n v="1748000"/>
    <n v="1140000"/>
    <n v="608000"/>
    <s v="Alya"/>
    <b v="0"/>
    <b v="0"/>
    <b v="0"/>
    <b v="0"/>
    <b v="0"/>
    <x v="0"/>
  </r>
  <r>
    <s v="ORD-0482"/>
    <d v="2026-06-14T00:00:00"/>
    <x v="0"/>
    <n v="6"/>
    <s v="CV Maju Bersama"/>
    <x v="3"/>
    <x v="0"/>
    <x v="2"/>
    <s v="P-2002"/>
    <s v="Desk Lamp"/>
    <x v="1"/>
    <n v="3"/>
    <n v="0.1"/>
    <n v="742500"/>
    <n v="465000"/>
    <n v="277500"/>
    <s v="Fajar"/>
    <b v="0"/>
    <b v="0"/>
    <b v="0"/>
    <b v="0"/>
    <b v="0"/>
    <x v="0"/>
  </r>
  <r>
    <s v="ORD-0483"/>
    <d v="2026-03-24T00:00:00"/>
    <x v="3"/>
    <n v="3"/>
    <s v="Raka Wijaya"/>
    <x v="2"/>
    <x v="0"/>
    <x v="1"/>
    <s v="P-1002"/>
    <s v="Wireless Mouse"/>
    <x v="2"/>
    <n v="4"/>
    <n v="0.05"/>
    <n v="0"/>
    <n v="580000"/>
    <n v="-580000"/>
    <s v="Nadia"/>
    <b v="0"/>
    <b v="0"/>
    <b v="0"/>
    <b v="0"/>
    <b v="1"/>
    <x v="1"/>
  </r>
  <r>
    <s v="ORD-0484"/>
    <d v="2026-03-02T00:00:00"/>
    <x v="3"/>
    <n v="3"/>
    <s v="CV Maju Bersama"/>
    <x v="2"/>
    <x v="2"/>
    <x v="0"/>
    <s v="P-5001"/>
    <s v="Monitor 24 inch"/>
    <x v="0"/>
    <n v="2"/>
    <n v="0.08"/>
    <n v="3404000"/>
    <n v="2640000"/>
    <n v="764000"/>
    <s v="Fajar"/>
    <b v="0"/>
    <b v="0"/>
    <b v="0"/>
    <b v="0"/>
    <b v="0"/>
    <x v="0"/>
  </r>
  <r>
    <s v="ORD-0485"/>
    <d v="2026-04-25T00:00:00"/>
    <x v="5"/>
    <n v="4"/>
    <s v="Raka Wijaya"/>
    <x v="1"/>
    <x v="1"/>
    <x v="1"/>
    <s v="P-3001"/>
    <s v="Notebook Pack"/>
    <x v="3"/>
    <n v="6"/>
    <n v="0"/>
    <n v="195000"/>
    <n v="186000"/>
    <n v="9000"/>
    <s v="Nadia"/>
    <b v="0"/>
    <b v="0"/>
    <b v="0"/>
    <b v="0"/>
    <b v="1"/>
    <x v="1"/>
  </r>
  <r>
    <s v="ORD-0486"/>
    <d v="2026-01-10T00:00:00"/>
    <x v="4"/>
    <n v="1"/>
    <s v="Bima Santoso"/>
    <x v="2"/>
    <x v="3"/>
    <x v="2"/>
    <s v="P-1003"/>
    <s v="Laptop Stand"/>
    <x v="2"/>
    <n v="1"/>
    <n v="0"/>
    <n v="310000"/>
    <n v="190000"/>
    <n v="120000"/>
    <s v="Fajar"/>
    <b v="0"/>
    <b v="0"/>
    <b v="0"/>
    <b v="0"/>
    <b v="0"/>
    <x v="0"/>
  </r>
  <r>
    <s v="ORD-0487"/>
    <d v="2026-03-29T00:00:00"/>
    <x v="3"/>
    <n v="3"/>
    <s v="Sari Lestari"/>
    <x v="3"/>
    <x v="3"/>
    <x v="2"/>
    <s v="P-6001"/>
    <s v="Storage Box"/>
    <x v="4"/>
    <n v="6"/>
    <n v="0"/>
    <n v="750000"/>
    <n v="420000"/>
    <n v="330000"/>
    <s v="Sari"/>
    <b v="0"/>
    <b v="0"/>
    <b v="0"/>
    <b v="0"/>
    <b v="0"/>
    <x v="0"/>
  </r>
  <r>
    <s v="ORD-0488"/>
    <d v="2026-04-26T00:00:00"/>
    <x v="5"/>
    <n v="4"/>
    <s v="Dimas Pratama"/>
    <x v="0"/>
    <x v="1"/>
    <x v="0"/>
    <s v="P-3002"/>
    <s v="Marker Set"/>
    <x v="3"/>
    <n v="2"/>
    <n v="0"/>
    <n v="170000"/>
    <n v="86000"/>
    <n v="84000"/>
    <s v="Sari"/>
    <b v="0"/>
    <b v="0"/>
    <b v="0"/>
    <b v="0"/>
    <b v="0"/>
    <x v="0"/>
  </r>
  <r>
    <s v="ORD-0489"/>
    <d v="2026-06-12T00:00:00"/>
    <x v="0"/>
    <n v="6"/>
    <s v="Alya Putri"/>
    <x v="1"/>
    <x v="1"/>
    <x v="0"/>
    <s v="P-2001"/>
    <s v="Office Chair"/>
    <x v="1"/>
    <n v="5"/>
    <n v="0.1"/>
    <n v="6525000"/>
    <n v="4900000"/>
    <n v="1625000"/>
    <s v="Fajar"/>
    <b v="0"/>
    <b v="0"/>
    <b v="0"/>
    <b v="0"/>
    <b v="0"/>
    <x v="0"/>
  </r>
  <r>
    <s v="ORD-0490"/>
    <d v="2026-02-05T00:00:00"/>
    <x v="2"/>
    <n v="2"/>
    <s v="CV Maju Bersama"/>
    <x v="0"/>
    <x v="0"/>
    <x v="0"/>
    <s v="P-1001"/>
    <s v="USB-C Hub"/>
    <x v="0"/>
    <n v="7"/>
    <n v="0"/>
    <n v="2450000"/>
    <n v="1470000"/>
    <n v="980000"/>
    <s v="Nadia"/>
    <b v="0"/>
    <b v="0"/>
    <b v="0"/>
    <b v="0"/>
    <b v="0"/>
    <x v="0"/>
  </r>
  <r>
    <s v="ORD-0491"/>
    <d v="2026-02-25T00:00:00"/>
    <x v="2"/>
    <n v="2"/>
    <s v="PT Sinar Jaya"/>
    <x v="1"/>
    <x v="2"/>
    <x v="0"/>
    <s v="P-4001"/>
    <s v="Keyboard"/>
    <x v="0"/>
    <n v="8"/>
    <n v="0.03"/>
    <n v="3686000"/>
    <n v="2280000"/>
    <n v="1406000"/>
    <s v="Bima"/>
    <b v="0"/>
    <b v="0"/>
    <b v="0"/>
    <b v="0"/>
    <b v="0"/>
    <x v="0"/>
  </r>
  <r>
    <s v="ORD-0492"/>
    <d v="2026-04-26T00:00:00"/>
    <x v="5"/>
    <n v="4"/>
    <s v="Sari Lestari"/>
    <x v="2"/>
    <x v="0"/>
    <x v="0"/>
    <s v="P-2002"/>
    <s v="Desk Lamp"/>
    <x v="1"/>
    <n v="8"/>
    <n v="0.15"/>
    <n v="1870000"/>
    <n v="1240000"/>
    <n v="630000"/>
    <s v="Alya"/>
    <b v="0"/>
    <b v="0"/>
    <b v="0"/>
    <b v="0"/>
    <b v="0"/>
    <x v="0"/>
  </r>
  <r>
    <s v="ORD-0493"/>
    <d v="2026-05-16T00:00:00"/>
    <x v="1"/>
    <n v="5"/>
    <s v="Alya Putri"/>
    <x v="3"/>
    <x v="0"/>
    <x v="3"/>
    <s v="P-1002"/>
    <s v="Wireless Mouse"/>
    <x v="2"/>
    <n v="1"/>
    <n v="0.1"/>
    <n v="110250"/>
    <n v="145000"/>
    <n v="-34750"/>
    <s v="Citra"/>
    <b v="0"/>
    <b v="0"/>
    <b v="0"/>
    <b v="0"/>
    <b v="1"/>
    <x v="1"/>
  </r>
  <r>
    <s v="ORD-0494"/>
    <d v="2026-01-27T00:00:00"/>
    <x v="4"/>
    <n v="1"/>
    <s v="Raka Wijaya"/>
    <x v="4"/>
    <x v="2"/>
    <x v="0"/>
    <s v="P-5001"/>
    <s v="Monitor 24 inch"/>
    <x v="0"/>
    <n v="7"/>
    <n v="0.15"/>
    <n v="11007500"/>
    <n v="9240000"/>
    <n v="1767500"/>
    <s v="Dimas"/>
    <b v="0"/>
    <b v="0"/>
    <b v="0"/>
    <b v="0"/>
    <b v="0"/>
    <x v="0"/>
  </r>
  <r>
    <s v="ORD-0495"/>
    <d v="2026-03-12T00:00:00"/>
    <x v="3"/>
    <n v="3"/>
    <s v="Raka Wijaya"/>
    <x v="0"/>
    <x v="0"/>
    <x v="1"/>
    <s v="P-3001"/>
    <s v="Notebook Pack"/>
    <x v="3"/>
    <n v="7"/>
    <n v="0.05"/>
    <n v="108062"/>
    <n v="217000"/>
    <n v="-108938"/>
    <s v="Raka"/>
    <b v="0"/>
    <b v="0"/>
    <b v="0"/>
    <b v="0"/>
    <b v="1"/>
    <x v="1"/>
  </r>
  <r>
    <s v="ORD-0496"/>
    <d v="2026-06-29T00:00:00"/>
    <x v="0"/>
    <n v="6"/>
    <s v="Bima Santoso"/>
    <x v="2"/>
    <x v="0"/>
    <x v="0"/>
    <s v="P-1003"/>
    <s v="Laptop Stand"/>
    <x v="2"/>
    <n v="6"/>
    <n v="0.15"/>
    <n v="1581000"/>
    <n v="1140000"/>
    <n v="441000"/>
    <s v="Dimas"/>
    <b v="0"/>
    <b v="0"/>
    <b v="0"/>
    <b v="0"/>
    <b v="0"/>
    <x v="0"/>
  </r>
  <r>
    <s v="ORD-0497"/>
    <d v="2026-06-09T00:00:00"/>
    <x v="0"/>
    <n v="6"/>
    <s v="Dimas Pratama"/>
    <x v="0"/>
    <x v="0"/>
    <x v="0"/>
    <s v="P-6001"/>
    <s v="Storage Box"/>
    <x v="4"/>
    <n v="5"/>
    <n v="0.15"/>
    <n v="531250"/>
    <n v="350000"/>
    <n v="181250"/>
    <s v="Bima"/>
    <b v="0"/>
    <b v="0"/>
    <b v="0"/>
    <b v="0"/>
    <b v="0"/>
    <x v="0"/>
  </r>
  <r>
    <s v="ORD-0498"/>
    <m/>
    <x v="6"/>
    <m/>
    <s v="Raka Wijaya"/>
    <x v="3"/>
    <x v="3"/>
    <x v="0"/>
    <s v="P-3002"/>
    <s v="Marker Set"/>
    <x v="3"/>
    <n v="8"/>
    <n v="0.1"/>
    <n v="612000"/>
    <n v="344000"/>
    <n v="268000"/>
    <s v="Alya"/>
    <b v="0"/>
    <b v="0"/>
    <b v="1"/>
    <b v="0"/>
    <b v="0"/>
    <x v="3"/>
  </r>
  <r>
    <s v="ORD-0499"/>
    <d v="2026-05-14T00:00:00"/>
    <x v="1"/>
    <n v="5"/>
    <s v="Bima Santoso"/>
    <x v="1"/>
    <x v="1"/>
    <x v="0"/>
    <s v="P-2001"/>
    <s v="Office Chair"/>
    <x v="1"/>
    <n v="2"/>
    <n v="0"/>
    <n v="2900000"/>
    <n v="1960000"/>
    <n v="940000"/>
    <s v="Raka"/>
    <b v="0"/>
    <b v="0"/>
    <b v="0"/>
    <b v="0"/>
    <b v="0"/>
    <x v="0"/>
  </r>
  <r>
    <s v="ORD-0500"/>
    <d v="2026-02-11T00:00:00"/>
    <x v="2"/>
    <n v="2"/>
    <s v="Bima Santoso"/>
    <x v="1"/>
    <x v="3"/>
    <x v="0"/>
    <s v="P-1001"/>
    <s v="USB-C Hub"/>
    <x v="0"/>
    <n v="5"/>
    <n v="0.15"/>
    <n v="1487500"/>
    <n v="1050000"/>
    <n v="437500"/>
    <s v="Alya"/>
    <b v="0"/>
    <b v="0"/>
    <b v="0"/>
    <b v="0"/>
    <b v="0"/>
    <x v="0"/>
  </r>
  <r>
    <s v="ORD-0501"/>
    <d v="2026-04-02T00:00:00"/>
    <x v="5"/>
    <n v="4"/>
    <s v="Raka Wijaya"/>
    <x v="2"/>
    <x v="0"/>
    <x v="0"/>
    <s v="P-4001"/>
    <s v="Keyboard"/>
    <x v="0"/>
    <n v="8"/>
    <n v="0"/>
    <n v="3800000"/>
    <n v="2280000"/>
    <n v="1520000"/>
    <s v="Dimas"/>
    <b v="0"/>
    <b v="0"/>
    <b v="0"/>
    <b v="0"/>
    <b v="0"/>
    <x v="0"/>
  </r>
  <r>
    <s v="ORD-0502"/>
    <d v="2026-05-11T00:00:00"/>
    <x v="1"/>
    <n v="5"/>
    <s v="Raka Wijaya"/>
    <x v="3"/>
    <x v="2"/>
    <x v="0"/>
    <s v="P-2002"/>
    <s v="Desk Lamp"/>
    <x v="1"/>
    <n v="5"/>
    <n v="0.15"/>
    <n v="1168750"/>
    <n v="775000"/>
    <n v="393750"/>
    <s v="Sari"/>
    <b v="0"/>
    <b v="0"/>
    <b v="0"/>
    <b v="0"/>
    <b v="0"/>
    <x v="0"/>
  </r>
  <r>
    <s v="ORD-0503"/>
    <d v="2026-05-22T00:00:00"/>
    <x v="1"/>
    <n v="5"/>
    <s v="Bima Santoso"/>
    <x v="0"/>
    <x v="2"/>
    <x v="0"/>
    <s v="P-1002"/>
    <s v="Wireless Mouse"/>
    <x v="2"/>
    <n v="1"/>
    <n v="0"/>
    <n v="245000"/>
    <n v="145000"/>
    <n v="100000"/>
    <s v="Sari"/>
    <b v="0"/>
    <b v="0"/>
    <b v="0"/>
    <b v="0"/>
    <b v="0"/>
    <x v="0"/>
  </r>
  <r>
    <s v="ORD-0504"/>
    <d v="2026-05-31T00:00:00"/>
    <x v="1"/>
    <n v="5"/>
    <s v="CV Maju Bersama"/>
    <x v="3"/>
    <x v="0"/>
    <x v="1"/>
    <s v="P-5001"/>
    <s v="Monitor 24 inch"/>
    <x v="0"/>
    <n v="4"/>
    <n v="0.15"/>
    <n v="1572500"/>
    <n v="5280000"/>
    <n v="-3707500"/>
    <s v="Citra"/>
    <b v="0"/>
    <b v="0"/>
    <b v="0"/>
    <b v="0"/>
    <b v="1"/>
    <x v="1"/>
  </r>
  <r>
    <s v="ORD-0505"/>
    <d v="2026-02-14T00:00:00"/>
    <x v="2"/>
    <n v="2"/>
    <s v="Alya Putri"/>
    <x v="4"/>
    <x v="3"/>
    <x v="0"/>
    <s v="P-3001"/>
    <s v="Notebook Pack"/>
    <x v="3"/>
    <n v="2"/>
    <n v="0.08"/>
    <n v="119600"/>
    <n v="62000"/>
    <n v="57600"/>
    <s v="Citra"/>
    <b v="0"/>
    <b v="0"/>
    <b v="0"/>
    <b v="0"/>
    <b v="0"/>
    <x v="0"/>
  </r>
  <r>
    <s v="ORD-0506"/>
    <d v="2026-05-30T00:00:00"/>
    <x v="1"/>
    <n v="5"/>
    <s v="Alya Putri"/>
    <x v="0"/>
    <x v="1"/>
    <x v="0"/>
    <s v="P-1003"/>
    <s v="Laptop Stand"/>
    <x v="2"/>
    <n v="5"/>
    <n v="0"/>
    <n v="1550000"/>
    <n v="950000"/>
    <n v="600000"/>
    <s v="Sari"/>
    <b v="0"/>
    <b v="0"/>
    <b v="0"/>
    <b v="0"/>
    <b v="0"/>
    <x v="0"/>
  </r>
  <r>
    <s v="ORD-0507"/>
    <d v="2026-06-02T00:00:00"/>
    <x v="0"/>
    <n v="6"/>
    <s v="Dimas Pratama"/>
    <x v="4"/>
    <x v="2"/>
    <x v="0"/>
    <s v="P-6001"/>
    <s v="Storage Box"/>
    <x v="4"/>
    <n v="1"/>
    <n v="0.15"/>
    <n v="106250"/>
    <n v="70000"/>
    <n v="36250"/>
    <s v="Bima"/>
    <b v="0"/>
    <b v="0"/>
    <b v="0"/>
    <b v="0"/>
    <b v="0"/>
    <x v="0"/>
  </r>
  <r>
    <s v="ORD-0508"/>
    <d v="2026-03-23T00:00:00"/>
    <x v="3"/>
    <n v="3"/>
    <s v="Raka Wijaya"/>
    <x v="2"/>
    <x v="0"/>
    <x v="0"/>
    <s v="P-3002"/>
    <s v="Marker Set"/>
    <x v="3"/>
    <n v="4"/>
    <n v="0.03"/>
    <n v="329800"/>
    <n v="172000"/>
    <n v="157800"/>
    <s v="Nadia"/>
    <b v="0"/>
    <b v="0"/>
    <b v="0"/>
    <b v="0"/>
    <b v="0"/>
    <x v="0"/>
  </r>
  <r>
    <s v="ORD-0509"/>
    <d v="2026-01-24T00:00:00"/>
    <x v="4"/>
    <n v="1"/>
    <s v="Dimas Pratama"/>
    <x v="4"/>
    <x v="3"/>
    <x v="2"/>
    <s v="P-2001"/>
    <s v="Office Chair"/>
    <x v="1"/>
    <n v="6"/>
    <n v="0.03"/>
    <n v="8439000"/>
    <n v="5880000"/>
    <n v="2559000"/>
    <s v="Raka"/>
    <b v="0"/>
    <b v="0"/>
    <b v="0"/>
    <b v="0"/>
    <b v="0"/>
    <x v="0"/>
  </r>
  <r>
    <s v="ORD-0510"/>
    <d v="2026-02-25T00:00:00"/>
    <x v="2"/>
    <n v="2"/>
    <s v="Dimas Pratama"/>
    <x v="1"/>
    <x v="1"/>
    <x v="2"/>
    <s v="P-1001"/>
    <s v="USB-C Hub"/>
    <x v="0"/>
    <n v="8"/>
    <n v="0.1"/>
    <n v="2520000"/>
    <n v="1680000"/>
    <n v="840000"/>
    <s v="Fajar"/>
    <b v="0"/>
    <b v="0"/>
    <b v="0"/>
    <b v="0"/>
    <b v="0"/>
    <x v="0"/>
  </r>
  <r>
    <s v="ORD-0511"/>
    <d v="2026-03-03T00:00:00"/>
    <x v="3"/>
    <n v="3"/>
    <s v="CV Maju Bersama"/>
    <x v="4"/>
    <x v="2"/>
    <x v="0"/>
    <s v="P-4001"/>
    <s v="Keyboard"/>
    <x v="0"/>
    <n v="4"/>
    <n v="0"/>
    <n v="1900000"/>
    <n v="1140000"/>
    <n v="760000"/>
    <s v="Nadia"/>
    <b v="0"/>
    <b v="0"/>
    <b v="0"/>
    <b v="0"/>
    <b v="0"/>
    <x v="0"/>
  </r>
  <r>
    <s v="ORD-0512"/>
    <d v="2026-03-07T00:00:00"/>
    <x v="3"/>
    <n v="3"/>
    <s v="Sari Lestari"/>
    <x v="2"/>
    <x v="2"/>
    <x v="3"/>
    <s v="P-2002"/>
    <s v="Desk Lamp"/>
    <x v="1"/>
    <n v="5"/>
    <n v="0"/>
    <n v="343750"/>
    <n v="775000"/>
    <n v="-431250"/>
    <s v="Alya"/>
    <b v="0"/>
    <b v="0"/>
    <b v="0"/>
    <b v="0"/>
    <b v="1"/>
    <x v="1"/>
  </r>
  <r>
    <s v="ORD-0513"/>
    <d v="2026-03-17T00:00:00"/>
    <x v="3"/>
    <n v="3"/>
    <s v="PT Sinar Jaya"/>
    <x v="1"/>
    <x v="0"/>
    <x v="0"/>
    <s v="P-1002"/>
    <s v="Wireless Mouse"/>
    <x v="2"/>
    <n v="4"/>
    <n v="0.05"/>
    <n v="931000"/>
    <n v="580000"/>
    <n v="351000"/>
    <s v="Bima"/>
    <b v="0"/>
    <b v="0"/>
    <b v="0"/>
    <b v="0"/>
    <b v="0"/>
    <x v="0"/>
  </r>
  <r>
    <s v="ORD-0514"/>
    <d v="2026-02-23T00:00:00"/>
    <x v="2"/>
    <n v="2"/>
    <s v="Raka Wijaya"/>
    <x v="1"/>
    <x v="0"/>
    <x v="0"/>
    <s v="P-5001"/>
    <s v="Monitor 24 inch"/>
    <x v="0"/>
    <n v="4"/>
    <n v="0.15"/>
    <n v="6290000"/>
    <n v="5280000"/>
    <n v="1010000"/>
    <s v="Bima"/>
    <b v="0"/>
    <b v="0"/>
    <b v="0"/>
    <b v="0"/>
    <b v="0"/>
    <x v="0"/>
  </r>
  <r>
    <s v="ORD-0515"/>
    <d v="2026-06-25T00:00:00"/>
    <x v="0"/>
    <n v="6"/>
    <s v="CV Maju Bersama"/>
    <x v="4"/>
    <x v="1"/>
    <x v="0"/>
    <s v="P-3001"/>
    <s v="Notebook Pack"/>
    <x v="3"/>
    <n v="3"/>
    <n v="0"/>
    <n v="195000"/>
    <n v="93000"/>
    <n v="102000"/>
    <s v="Bima"/>
    <b v="0"/>
    <b v="0"/>
    <b v="0"/>
    <b v="0"/>
    <b v="0"/>
    <x v="0"/>
  </r>
  <r>
    <s v="ORD-0516"/>
    <d v="2026-01-14T00:00:00"/>
    <x v="4"/>
    <n v="1"/>
    <s v="Citra Dewi"/>
    <x v="2"/>
    <x v="0"/>
    <x v="0"/>
    <s v="P-1003"/>
    <s v="Laptop Stand"/>
    <x v="2"/>
    <n v="3"/>
    <n v="0.05"/>
    <n v="883500"/>
    <n v="570000"/>
    <n v="313500"/>
    <s v="Nadia"/>
    <b v="0"/>
    <b v="0"/>
    <b v="0"/>
    <b v="0"/>
    <b v="0"/>
    <x v="0"/>
  </r>
  <r>
    <s v="ORD-0517"/>
    <d v="2026-04-10T00:00:00"/>
    <x v="5"/>
    <n v="4"/>
    <s v="Raka Wijaya"/>
    <x v="4"/>
    <x v="1"/>
    <x v="0"/>
    <s v="P-6001"/>
    <s v="Storage Box"/>
    <x v="4"/>
    <n v="8"/>
    <n v="0.15"/>
    <n v="850000"/>
    <n v="560000"/>
    <n v="290000"/>
    <s v="Bima"/>
    <b v="0"/>
    <b v="0"/>
    <b v="0"/>
    <b v="0"/>
    <b v="0"/>
    <x v="0"/>
  </r>
  <r>
    <s v="ORD-0518"/>
    <d v="2026-05-17T00:00:00"/>
    <x v="1"/>
    <n v="5"/>
    <s v="CV Maju Bersama"/>
    <x v="1"/>
    <x v="1"/>
    <x v="0"/>
    <s v="P-3002"/>
    <s v="Marker Set"/>
    <x v="3"/>
    <n v="1"/>
    <n v="0.15"/>
    <n v="72250"/>
    <n v="43000"/>
    <n v="29250"/>
    <s v="Sari"/>
    <b v="0"/>
    <b v="0"/>
    <b v="0"/>
    <b v="0"/>
    <b v="0"/>
    <x v="0"/>
  </r>
  <r>
    <s v="ORD-0519"/>
    <d v="2026-05-09T00:00:00"/>
    <x v="1"/>
    <n v="5"/>
    <s v="Citra Dewi"/>
    <x v="4"/>
    <x v="1"/>
    <x v="2"/>
    <s v="P-2001"/>
    <s v="Office Chair"/>
    <x v="1"/>
    <n v="2"/>
    <n v="0.05"/>
    <n v="2755000"/>
    <n v="1960000"/>
    <n v="795000"/>
    <s v="Fajar"/>
    <b v="0"/>
    <b v="0"/>
    <b v="0"/>
    <b v="0"/>
    <b v="0"/>
    <x v="0"/>
  </r>
  <r>
    <s v="ORD-0520"/>
    <d v="2026-04-08T00:00:00"/>
    <x v="5"/>
    <n v="4"/>
    <s v="Alya Putri"/>
    <x v="0"/>
    <x v="0"/>
    <x v="0"/>
    <s v="P-1001"/>
    <s v="USB-C Hub"/>
    <x v="0"/>
    <n v="7"/>
    <n v="0.15"/>
    <n v="2082500"/>
    <n v="1470000"/>
    <n v="612500"/>
    <s v="Nadia"/>
    <b v="0"/>
    <b v="0"/>
    <b v="0"/>
    <b v="0"/>
    <b v="0"/>
    <x v="0"/>
  </r>
  <r>
    <s v="ORD-0521"/>
    <d v="2026-05-20T00:00:00"/>
    <x v="1"/>
    <n v="5"/>
    <s v="Alya Putri"/>
    <x v="4"/>
    <x v="1"/>
    <x v="0"/>
    <s v="P-4001"/>
    <s v="Keyboard"/>
    <x v="0"/>
    <n v="5"/>
    <n v="0.15"/>
    <n v="2018750"/>
    <n v="1425000"/>
    <n v="593750"/>
    <s v="Bima"/>
    <b v="0"/>
    <b v="0"/>
    <b v="0"/>
    <b v="0"/>
    <b v="0"/>
    <x v="0"/>
  </r>
  <r>
    <s v="ORD-0522"/>
    <d v="2026-01-11T00:00:00"/>
    <x v="4"/>
    <n v="1"/>
    <s v="Citra Dewi"/>
    <x v="2"/>
    <x v="1"/>
    <x v="0"/>
    <s v="P-2002"/>
    <s v="Desk Lamp"/>
    <x v="1"/>
    <n v="1"/>
    <n v="0.1"/>
    <n v="247500"/>
    <n v="155000"/>
    <n v="92500"/>
    <s v="Dimas"/>
    <b v="0"/>
    <b v="0"/>
    <b v="0"/>
    <b v="0"/>
    <b v="0"/>
    <x v="0"/>
  </r>
  <r>
    <s v="ORD-0523"/>
    <d v="2026-03-30T00:00:00"/>
    <x v="3"/>
    <n v="3"/>
    <s v="Alya Putri"/>
    <x v="0"/>
    <x v="0"/>
    <x v="3"/>
    <s v="P-1002"/>
    <s v="Wireless Mouse"/>
    <x v="2"/>
    <n v="4"/>
    <n v="0.08"/>
    <n v="450800"/>
    <n v="580000"/>
    <n v="-129200"/>
    <s v="Dimas"/>
    <b v="0"/>
    <b v="0"/>
    <b v="0"/>
    <b v="0"/>
    <b v="1"/>
    <x v="1"/>
  </r>
  <r>
    <s v="ORD-0524"/>
    <d v="2026-06-07T00:00:00"/>
    <x v="0"/>
    <n v="6"/>
    <s v="Sari Lestari"/>
    <x v="2"/>
    <x v="1"/>
    <x v="0"/>
    <s v="P-5001"/>
    <s v="Monitor 24 inch"/>
    <x v="0"/>
    <n v="5"/>
    <n v="0.03"/>
    <n v="8972500"/>
    <n v="6600000"/>
    <n v="2372500"/>
    <s v="Bima"/>
    <b v="0"/>
    <b v="0"/>
    <b v="0"/>
    <b v="0"/>
    <b v="0"/>
    <x v="0"/>
  </r>
  <r>
    <s v="ORD-0525"/>
    <d v="2026-03-16T00:00:00"/>
    <x v="3"/>
    <n v="3"/>
    <s v="Dimas Pratama"/>
    <x v="2"/>
    <x v="2"/>
    <x v="0"/>
    <s v="P-3001"/>
    <s v="Notebook Pack"/>
    <x v="3"/>
    <n v="2"/>
    <n v="0.05"/>
    <n v="123500"/>
    <n v="62000"/>
    <n v="61500"/>
    <s v="Sari"/>
    <b v="0"/>
    <b v="0"/>
    <b v="0"/>
    <b v="0"/>
    <b v="0"/>
    <x v="0"/>
  </r>
  <r>
    <s v="ORD-0526"/>
    <d v="2026-02-02T00:00:00"/>
    <x v="2"/>
    <n v="2"/>
    <s v="Dimas Pratama"/>
    <x v="1"/>
    <x v="0"/>
    <x v="0"/>
    <s v="P-1003"/>
    <s v="Laptop Stand"/>
    <x v="2"/>
    <n v="4"/>
    <n v="0"/>
    <n v="1240000"/>
    <n v="760000"/>
    <n v="480000"/>
    <s v="Fajar"/>
    <b v="0"/>
    <b v="0"/>
    <b v="0"/>
    <b v="0"/>
    <b v="0"/>
    <x v="0"/>
  </r>
  <r>
    <s v="ORD-0527"/>
    <d v="2026-04-26T00:00:00"/>
    <x v="5"/>
    <n v="4"/>
    <s v="Dimas Pratama"/>
    <x v="2"/>
    <x v="0"/>
    <x v="0"/>
    <s v="P-6001"/>
    <s v="Storage Box"/>
    <x v="4"/>
    <n v="6"/>
    <n v="0.1"/>
    <n v="675000"/>
    <n v="420000"/>
    <n v="255000"/>
    <s v="Sari"/>
    <b v="0"/>
    <b v="0"/>
    <b v="0"/>
    <b v="0"/>
    <b v="0"/>
    <x v="0"/>
  </r>
  <r>
    <s v="ORD-0528"/>
    <d v="2026-04-20T00:00:00"/>
    <x v="5"/>
    <n v="4"/>
    <s v="Citra Dewi"/>
    <x v="0"/>
    <x v="2"/>
    <x v="0"/>
    <s v="P-3002"/>
    <s v="Marker Set"/>
    <x v="3"/>
    <n v="3"/>
    <n v="0"/>
    <n v="255000"/>
    <n v="129000"/>
    <n v="126000"/>
    <s v="Sari"/>
    <b v="0"/>
    <b v="0"/>
    <b v="0"/>
    <b v="0"/>
    <b v="0"/>
    <x v="0"/>
  </r>
  <r>
    <s v="ORD-0529"/>
    <d v="2026-02-04T00:00:00"/>
    <x v="2"/>
    <n v="2"/>
    <s v="Sari Lestari"/>
    <x v="4"/>
    <x v="3"/>
    <x v="0"/>
    <s v="P-2001"/>
    <s v="Office Chair"/>
    <x v="1"/>
    <n v="6"/>
    <n v="0.08"/>
    <n v="8004000"/>
    <n v="5880000"/>
    <n v="2124000"/>
    <s v="Bima"/>
    <b v="0"/>
    <b v="0"/>
    <b v="0"/>
    <b v="0"/>
    <b v="0"/>
    <x v="0"/>
  </r>
  <r>
    <s v="ORD-0530"/>
    <d v="2026-02-14T00:00:00"/>
    <x v="2"/>
    <n v="2"/>
    <s v="Citra Dewi"/>
    <x v="0"/>
    <x v="0"/>
    <x v="2"/>
    <s v="P-1001"/>
    <s v="USB-C Hub"/>
    <x v="0"/>
    <n v="2"/>
    <n v="0.05"/>
    <n v="665000"/>
    <n v="420000"/>
    <n v="245000"/>
    <s v="Bima"/>
    <b v="0"/>
    <b v="0"/>
    <b v="0"/>
    <b v="0"/>
    <b v="0"/>
    <x v="0"/>
  </r>
  <r>
    <s v="ORD-0531"/>
    <d v="1990-01-01T00:00:00"/>
    <x v="4"/>
    <n v="1"/>
    <s v="Bima Santoso"/>
    <x v="2"/>
    <x v="2"/>
    <x v="0"/>
    <s v="P-4001"/>
    <s v="Keyboard"/>
    <x v="0"/>
    <n v="1"/>
    <n v="0.1"/>
    <n v="427500"/>
    <n v="285000"/>
    <n v="142500"/>
    <s v="Alya"/>
    <b v="0"/>
    <b v="0"/>
    <b v="0"/>
    <b v="0"/>
    <b v="0"/>
    <x v="0"/>
  </r>
  <r>
    <s v="ORD-0532"/>
    <d v="2026-05-22T00:00:00"/>
    <x v="1"/>
    <n v="5"/>
    <s v="Dimas Pratama"/>
    <x v="3"/>
    <x v="0"/>
    <x v="3"/>
    <s v="P-2002"/>
    <s v="Desk Lamp"/>
    <x v="1"/>
    <n v="5"/>
    <n v="0.1"/>
    <n v="618750"/>
    <n v="775000"/>
    <n v="-156250"/>
    <s v="Nadia"/>
    <b v="0"/>
    <b v="0"/>
    <b v="0"/>
    <b v="0"/>
    <b v="1"/>
    <x v="1"/>
  </r>
  <r>
    <s v="ORD-0533"/>
    <d v="2026-02-27T00:00:00"/>
    <x v="2"/>
    <n v="2"/>
    <s v="Raka Wijaya"/>
    <x v="2"/>
    <x v="1"/>
    <x v="0"/>
    <s v="P-1002"/>
    <s v="Wireless Mouse"/>
    <x v="2"/>
    <n v="5"/>
    <n v="0.03"/>
    <n v="1188250"/>
    <n v="725000"/>
    <n v="463250"/>
    <s v="Sari"/>
    <b v="0"/>
    <b v="0"/>
    <b v="0"/>
    <b v="0"/>
    <b v="0"/>
    <x v="0"/>
  </r>
  <r>
    <s v="ORD-0534"/>
    <d v="2026-05-09T00:00:00"/>
    <x v="1"/>
    <n v="5"/>
    <s v="Alya Putri"/>
    <x v="2"/>
    <x v="0"/>
    <x v="0"/>
    <s v="P-5001"/>
    <s v="Monitor 24 inch"/>
    <x v="0"/>
    <m/>
    <n v="0.15"/>
    <n v="1572500"/>
    <n v="1320000"/>
    <n v="252500"/>
    <s v="Fajar"/>
    <b v="0"/>
    <b v="1"/>
    <b v="0"/>
    <b v="0"/>
    <b v="0"/>
    <x v="4"/>
  </r>
  <r>
    <s v="ORD-0535"/>
    <d v="2026-02-10T00:00:00"/>
    <x v="2"/>
    <n v="2"/>
    <s v="Dimas Pratama"/>
    <x v="0"/>
    <x v="2"/>
    <x v="3"/>
    <s v="P-3001"/>
    <s v="Notebook Pack"/>
    <x v="3"/>
    <n v="3"/>
    <n v="0.1"/>
    <n v="87750"/>
    <n v="93000"/>
    <n v="-5250"/>
    <s v="Alya"/>
    <b v="0"/>
    <b v="0"/>
    <b v="0"/>
    <b v="0"/>
    <b v="1"/>
    <x v="1"/>
  </r>
  <r>
    <s v="ORD-0536"/>
    <d v="2026-02-26T00:00:00"/>
    <x v="2"/>
    <n v="2"/>
    <s v="PT Sinar Jaya"/>
    <x v="4"/>
    <x v="0"/>
    <x v="0"/>
    <s v="P-1003"/>
    <s v="Laptop Stand"/>
    <x v="2"/>
    <n v="8"/>
    <n v="0.03"/>
    <m/>
    <n v="1520000"/>
    <n v="885600"/>
    <s v="Dimas"/>
    <b v="0"/>
    <b v="0"/>
    <b v="0"/>
    <b v="1"/>
    <b v="0"/>
    <x v="2"/>
  </r>
  <r>
    <s v="ORD-0537"/>
    <d v="2026-05-13T00:00:00"/>
    <x v="1"/>
    <n v="5"/>
    <s v="PT Sinar Jaya"/>
    <x v="3"/>
    <x v="1"/>
    <x v="0"/>
    <s v="P-6001"/>
    <s v="Storage Box"/>
    <x v="4"/>
    <n v="6"/>
    <n v="0.08"/>
    <n v="690000"/>
    <n v="420000"/>
    <n v="270000"/>
    <s v="Sari"/>
    <b v="0"/>
    <b v="0"/>
    <b v="0"/>
    <b v="0"/>
    <b v="0"/>
    <x v="0"/>
  </r>
  <r>
    <s v="ORD-0538"/>
    <d v="2026-01-27T00:00:00"/>
    <x v="4"/>
    <n v="1"/>
    <s v="Raka Wijaya"/>
    <x v="2"/>
    <x v="0"/>
    <x v="0"/>
    <s v="P-3002"/>
    <s v="Marker Set"/>
    <x v="3"/>
    <n v="5"/>
    <n v="0.15"/>
    <n v="361250"/>
    <n v="215000"/>
    <n v="146250"/>
    <s v="Nadia"/>
    <b v="0"/>
    <b v="0"/>
    <b v="0"/>
    <b v="0"/>
    <b v="0"/>
    <x v="0"/>
  </r>
  <r>
    <s v="ORD-0539"/>
    <d v="2026-04-04T00:00:00"/>
    <x v="5"/>
    <n v="4"/>
    <s v="Dimas Pratama"/>
    <x v="0"/>
    <x v="2"/>
    <x v="0"/>
    <s v="P-2001"/>
    <s v="Office Chair"/>
    <x v="1"/>
    <n v="2"/>
    <n v="0.1"/>
    <n v="2610000"/>
    <n v="1960000"/>
    <n v="650000"/>
    <s v="Sari"/>
    <b v="0"/>
    <b v="0"/>
    <b v="0"/>
    <b v="0"/>
    <b v="0"/>
    <x v="0"/>
  </r>
  <r>
    <s v="ORD-0540"/>
    <d v="2026-05-05T00:00:00"/>
    <x v="1"/>
    <n v="5"/>
    <s v="Alya Putri"/>
    <x v="0"/>
    <x v="2"/>
    <x v="0"/>
    <s v="P-1001"/>
    <s v="USB-C Hub"/>
    <x v="0"/>
    <n v="8"/>
    <n v="0.1"/>
    <n v="2520000"/>
    <n v="1680000"/>
    <n v="840000"/>
    <s v="Dimas"/>
    <b v="0"/>
    <b v="0"/>
    <b v="0"/>
    <b v="0"/>
    <b v="0"/>
    <x v="0"/>
  </r>
  <r>
    <s v="ORD-0541"/>
    <d v="2026-01-20T00:00:00"/>
    <x v="4"/>
    <n v="1"/>
    <s v="CV Maju Bersama"/>
    <x v="0"/>
    <x v="3"/>
    <x v="0"/>
    <s v="P-4001"/>
    <s v="Keyboard"/>
    <x v="0"/>
    <n v="5"/>
    <n v="0.03"/>
    <n v="2303750"/>
    <n v="1425000"/>
    <n v="878750"/>
    <s v="Dimas"/>
    <b v="0"/>
    <b v="0"/>
    <b v="0"/>
    <b v="0"/>
    <b v="0"/>
    <x v="0"/>
  </r>
  <r>
    <s v="ORD-0542"/>
    <d v="2026-04-17T00:00:00"/>
    <x v="5"/>
    <n v="4"/>
    <s v="Bima Santoso"/>
    <x v="3"/>
    <x v="2"/>
    <x v="0"/>
    <s v="P-2002"/>
    <s v="Desk Lamp"/>
    <x v="1"/>
    <n v="6"/>
    <n v="0.15"/>
    <n v="1402500"/>
    <n v="930000"/>
    <n v="472500"/>
    <s v="Citra"/>
    <b v="0"/>
    <b v="0"/>
    <b v="0"/>
    <b v="0"/>
    <b v="0"/>
    <x v="0"/>
  </r>
  <r>
    <s v="ORD-0543"/>
    <d v="2026-06-15T00:00:00"/>
    <x v="0"/>
    <n v="6"/>
    <s v="Alya Putri"/>
    <x v="0"/>
    <x v="0"/>
    <x v="0"/>
    <s v="P-1002"/>
    <s v="Wireless Mouse"/>
    <x v="2"/>
    <n v="7"/>
    <n v="0"/>
    <n v="1715000"/>
    <n v="1015000"/>
    <n v="700000"/>
    <s v="Alya"/>
    <b v="0"/>
    <b v="0"/>
    <b v="0"/>
    <b v="0"/>
    <b v="0"/>
    <x v="0"/>
  </r>
  <r>
    <s v="ORD-0544"/>
    <d v="2026-05-27T00:00:00"/>
    <x v="1"/>
    <n v="5"/>
    <s v="PT Sinar Jaya"/>
    <x v="0"/>
    <x v="2"/>
    <x v="0"/>
    <s v="P-5001"/>
    <s v="Monitor 24 inch"/>
    <x v="0"/>
    <n v="3"/>
    <n v="0"/>
    <n v="5550000"/>
    <n v="3960000"/>
    <n v="1590000"/>
    <s v="Raka"/>
    <b v="0"/>
    <b v="0"/>
    <b v="0"/>
    <b v="0"/>
    <b v="0"/>
    <x v="0"/>
  </r>
  <r>
    <s v="ORD-0545"/>
    <d v="2026-01-22T00:00:00"/>
    <x v="4"/>
    <n v="1"/>
    <s v="Alya Putri"/>
    <x v="3"/>
    <x v="2"/>
    <x v="0"/>
    <s v="P-3001"/>
    <s v="Notebook Pack"/>
    <x v="3"/>
    <n v="4"/>
    <n v="0.08"/>
    <n v="239200"/>
    <n v="124000"/>
    <n v="115200"/>
    <s v="Dimas"/>
    <b v="0"/>
    <b v="0"/>
    <b v="0"/>
    <b v="0"/>
    <b v="0"/>
    <x v="0"/>
  </r>
  <r>
    <s v="ORD-0546"/>
    <d v="2026-04-16T00:00:00"/>
    <x v="5"/>
    <n v="4"/>
    <s v="Alya Putri"/>
    <x v="0"/>
    <x v="3"/>
    <x v="2"/>
    <s v="P-1003"/>
    <s v="Laptop Stand"/>
    <x v="2"/>
    <n v="3"/>
    <n v="0.1"/>
    <n v="837000"/>
    <n v="570000"/>
    <n v="267000"/>
    <s v="Sari"/>
    <b v="0"/>
    <b v="0"/>
    <b v="0"/>
    <b v="0"/>
    <b v="0"/>
    <x v="0"/>
  </r>
  <r>
    <s v="ORD-0547"/>
    <d v="2026-04-27T00:00:00"/>
    <x v="5"/>
    <n v="4"/>
    <s v="PT Sinar Jaya"/>
    <x v="0"/>
    <x v="1"/>
    <x v="0"/>
    <s v="P-6001"/>
    <s v="Storage Box"/>
    <x v="4"/>
    <n v="2"/>
    <n v="0.03"/>
    <n v="242500"/>
    <n v="140000"/>
    <n v="102500"/>
    <s v="Dimas"/>
    <b v="0"/>
    <b v="0"/>
    <b v="0"/>
    <b v="0"/>
    <b v="0"/>
    <x v="0"/>
  </r>
  <r>
    <s v="ORD-0548"/>
    <d v="2026-05-14T00:00:00"/>
    <x v="1"/>
    <n v="5"/>
    <s v="PT Sinar Jaya"/>
    <x v="0"/>
    <x v="2"/>
    <x v="0"/>
    <s v="P-3002"/>
    <s v="Marker Set"/>
    <x v="3"/>
    <n v="7"/>
    <n v="0.03"/>
    <n v="577150"/>
    <n v="301000"/>
    <n v="276150"/>
    <s v="Bima"/>
    <b v="0"/>
    <b v="0"/>
    <b v="0"/>
    <b v="0"/>
    <b v="0"/>
    <x v="0"/>
  </r>
  <r>
    <s v="ORD-0549"/>
    <d v="2026-01-24T00:00:00"/>
    <x v="4"/>
    <n v="1"/>
    <s v="Raka Wijaya"/>
    <x v="2"/>
    <x v="1"/>
    <x v="0"/>
    <s v="P-2001"/>
    <s v="Office Chair"/>
    <x v="1"/>
    <n v="8"/>
    <n v="0.15"/>
    <n v="9860000"/>
    <n v="7840000"/>
    <n v="2020000"/>
    <s v="Nadia"/>
    <b v="0"/>
    <b v="0"/>
    <b v="0"/>
    <b v="0"/>
    <b v="0"/>
    <x v="0"/>
  </r>
  <r>
    <s v="ORD-0550"/>
    <d v="2026-04-05T00:00:00"/>
    <x v="5"/>
    <n v="4"/>
    <s v="Raka Wijaya"/>
    <x v="0"/>
    <x v="2"/>
    <x v="0"/>
    <s v="P-1001"/>
    <s v="USB-C Hub"/>
    <x v="0"/>
    <n v="1"/>
    <n v="0.15"/>
    <n v="297500"/>
    <n v="210000"/>
    <n v="87500"/>
    <s v="Sari"/>
    <b v="0"/>
    <b v="0"/>
    <b v="0"/>
    <b v="0"/>
    <b v="0"/>
    <x v="0"/>
  </r>
  <r>
    <s v="ORD-0551"/>
    <d v="2026-05-31T00:00:00"/>
    <x v="1"/>
    <n v="5"/>
    <s v="CV Maju Bersama"/>
    <x v="3"/>
    <x v="0"/>
    <x v="0"/>
    <s v="P-4001"/>
    <s v="Keyboard"/>
    <x v="0"/>
    <n v="2"/>
    <n v="0.08"/>
    <n v="874000"/>
    <n v="570000"/>
    <n v="304000"/>
    <s v="Raka"/>
    <b v="0"/>
    <b v="0"/>
    <b v="0"/>
    <b v="0"/>
    <b v="0"/>
    <x v="0"/>
  </r>
  <r>
    <s v="ORD-0552"/>
    <d v="2026-06-03T00:00:00"/>
    <x v="0"/>
    <n v="6"/>
    <s v="PT Sinar Jaya"/>
    <x v="1"/>
    <x v="1"/>
    <x v="0"/>
    <s v="P-2002"/>
    <s v="Desk Lamp"/>
    <x v="1"/>
    <n v="7"/>
    <n v="0.05"/>
    <n v="1828750"/>
    <n v="1085000"/>
    <n v="743750"/>
    <s v="Nadia"/>
    <b v="0"/>
    <b v="0"/>
    <b v="0"/>
    <b v="0"/>
    <b v="0"/>
    <x v="0"/>
  </r>
  <r>
    <s v="ORD-0553"/>
    <d v="2026-06-17T00:00:00"/>
    <x v="0"/>
    <n v="6"/>
    <s v="CV Maju Bersama"/>
    <x v="3"/>
    <x v="3"/>
    <x v="2"/>
    <s v="P-1002"/>
    <s v="Wireless Mouse"/>
    <x v="2"/>
    <n v="4"/>
    <n v="0.15"/>
    <n v="833000"/>
    <n v="580000"/>
    <n v="253000"/>
    <s v="Citra"/>
    <b v="0"/>
    <b v="0"/>
    <b v="0"/>
    <b v="0"/>
    <b v="0"/>
    <x v="0"/>
  </r>
  <r>
    <s v="ORD-0554"/>
    <d v="2026-04-20T00:00:00"/>
    <x v="5"/>
    <n v="4"/>
    <s v="Citra Dewi"/>
    <x v="3"/>
    <x v="3"/>
    <x v="2"/>
    <s v="P-5001"/>
    <s v="Monitor 24 inch"/>
    <x v="0"/>
    <n v="5"/>
    <n v="0.05"/>
    <n v="8787500"/>
    <n v="6600000"/>
    <n v="2187500"/>
    <s v="Nadia"/>
    <b v="0"/>
    <b v="0"/>
    <b v="0"/>
    <b v="0"/>
    <b v="0"/>
    <x v="0"/>
  </r>
  <r>
    <s v="ORD-0555"/>
    <d v="2026-02-22T00:00:00"/>
    <x v="2"/>
    <n v="2"/>
    <s v="Dimas Pratama"/>
    <x v="3"/>
    <x v="0"/>
    <x v="2"/>
    <s v="P-3001"/>
    <s v="Notebook Pack"/>
    <x v="3"/>
    <n v="7"/>
    <n v="0.1"/>
    <n v="409500"/>
    <n v="217000"/>
    <n v="192500"/>
    <s v="Fajar"/>
    <b v="0"/>
    <b v="0"/>
    <b v="0"/>
    <b v="0"/>
    <b v="0"/>
    <x v="0"/>
  </r>
  <r>
    <s v="ORD-0556"/>
    <d v="2026-03-06T00:00:00"/>
    <x v="3"/>
    <n v="3"/>
    <s v="CV Maju Bersama"/>
    <x v="3"/>
    <x v="0"/>
    <x v="0"/>
    <s v="P-1003"/>
    <s v="Laptop Stand"/>
    <x v="2"/>
    <n v="5"/>
    <n v="0.1"/>
    <n v="1395000"/>
    <n v="950000"/>
    <n v="445000"/>
    <s v="Dimas"/>
    <b v="0"/>
    <b v="0"/>
    <b v="0"/>
    <b v="0"/>
    <b v="0"/>
    <x v="0"/>
  </r>
  <r>
    <s v="ORD-0557"/>
    <d v="2026-04-25T00:00:00"/>
    <x v="5"/>
    <n v="4"/>
    <s v="PT Sinar Jaya"/>
    <x v="3"/>
    <x v="3"/>
    <x v="0"/>
    <s v="P-6001"/>
    <s v="Storage Box"/>
    <x v="4"/>
    <n v="3"/>
    <n v="0"/>
    <n v="375000"/>
    <n v="210000"/>
    <n v="165000"/>
    <s v="Citra"/>
    <b v="0"/>
    <b v="0"/>
    <b v="0"/>
    <b v="0"/>
    <b v="0"/>
    <x v="0"/>
  </r>
  <r>
    <s v="ORD-0558"/>
    <d v="2026-04-10T00:00:00"/>
    <x v="5"/>
    <n v="4"/>
    <s v="CV Maju Bersama"/>
    <x v="3"/>
    <x v="2"/>
    <x v="2"/>
    <s v="P-3002"/>
    <s v="Marker Set"/>
    <x v="3"/>
    <n v="1"/>
    <n v="0"/>
    <n v="85000"/>
    <n v="43000"/>
    <n v="42000"/>
    <s v="Bima"/>
    <b v="0"/>
    <b v="0"/>
    <b v="0"/>
    <b v="0"/>
    <b v="0"/>
    <x v="0"/>
  </r>
  <r>
    <s v="ORD-0559"/>
    <d v="2026-03-09T00:00:00"/>
    <x v="3"/>
    <n v="3"/>
    <s v="Raka Wijaya"/>
    <x v="1"/>
    <x v="2"/>
    <x v="0"/>
    <s v="P-2001"/>
    <s v="Office Chair"/>
    <x v="1"/>
    <n v="4"/>
    <n v="0.05"/>
    <n v="5510000"/>
    <n v="3920000"/>
    <n v="1590000"/>
    <s v="Raka"/>
    <b v="0"/>
    <b v="0"/>
    <b v="0"/>
    <b v="0"/>
    <b v="0"/>
    <x v="0"/>
  </r>
  <r>
    <s v="ORD-0560"/>
    <d v="2026-06-02T00:00:00"/>
    <x v="0"/>
    <n v="6"/>
    <s v="Bima Santoso"/>
    <x v="3"/>
    <x v="1"/>
    <x v="0"/>
    <s v="P-1001"/>
    <s v="USB-C Hub"/>
    <x v="0"/>
    <n v="1"/>
    <n v="0.03"/>
    <n v="339500"/>
    <n v="210000"/>
    <n v="129500"/>
    <s v="Raka"/>
    <b v="0"/>
    <b v="0"/>
    <b v="0"/>
    <b v="0"/>
    <b v="0"/>
    <x v="0"/>
  </r>
  <r>
    <s v="ORD-0561"/>
    <d v="2026-02-19T00:00:00"/>
    <x v="2"/>
    <n v="2"/>
    <s v="PT Sinar Jaya"/>
    <x v="0"/>
    <x v="0"/>
    <x v="0"/>
    <s v="P-4001"/>
    <s v="Keyboard"/>
    <x v="0"/>
    <n v="1"/>
    <n v="0.1"/>
    <n v="427500"/>
    <n v="285000"/>
    <n v="142500"/>
    <s v="Sari"/>
    <b v="0"/>
    <b v="0"/>
    <b v="0"/>
    <b v="0"/>
    <b v="0"/>
    <x v="0"/>
  </r>
  <r>
    <s v="ORD-0562"/>
    <d v="2026-03-03T00:00:00"/>
    <x v="3"/>
    <n v="3"/>
    <s v="Dimas Pratama"/>
    <x v="4"/>
    <x v="2"/>
    <x v="0"/>
    <s v="P-2002"/>
    <s v="Desk Lamp"/>
    <x v="1"/>
    <n v="1"/>
    <n v="0.03"/>
    <n v="266750"/>
    <n v="155000"/>
    <n v="111750"/>
    <s v="Nadia"/>
    <b v="0"/>
    <b v="0"/>
    <b v="0"/>
    <b v="0"/>
    <b v="0"/>
    <x v="0"/>
  </r>
  <r>
    <s v="ORD-0563"/>
    <d v="2026-04-14T00:00:00"/>
    <x v="5"/>
    <n v="4"/>
    <s v="Citra Dewi"/>
    <x v="1"/>
    <x v="1"/>
    <x v="0"/>
    <s v="P-1002"/>
    <s v="Wireless Mouse"/>
    <x v="2"/>
    <n v="4"/>
    <n v="0.1"/>
    <n v="882000"/>
    <n v="580000"/>
    <n v="302000"/>
    <s v="Sari"/>
    <b v="0"/>
    <b v="0"/>
    <b v="0"/>
    <b v="0"/>
    <b v="0"/>
    <x v="0"/>
  </r>
  <r>
    <s v="ORD-0564"/>
    <d v="2026-03-30T00:00:00"/>
    <x v="3"/>
    <n v="3"/>
    <s v="Raka Wijaya"/>
    <x v="0"/>
    <x v="2"/>
    <x v="0"/>
    <s v="P-5001"/>
    <s v="Monitor 24 inch"/>
    <x v="0"/>
    <n v="5"/>
    <n v="0.03"/>
    <n v="8972500"/>
    <n v="6600000"/>
    <n v="2372500"/>
    <s v="Alya"/>
    <b v="0"/>
    <b v="0"/>
    <b v="0"/>
    <b v="0"/>
    <b v="0"/>
    <x v="0"/>
  </r>
  <r>
    <s v="ORD-0565"/>
    <d v="2026-03-08T00:00:00"/>
    <x v="3"/>
    <n v="3"/>
    <s v="Citra Dewi"/>
    <x v="2"/>
    <x v="1"/>
    <x v="0"/>
    <s v="P-3001"/>
    <s v="Notebook Pack"/>
    <x v="3"/>
    <n v="3"/>
    <n v="0.08"/>
    <n v="179400"/>
    <n v="93000"/>
    <n v="86400"/>
    <s v="Sari"/>
    <b v="0"/>
    <b v="0"/>
    <b v="0"/>
    <b v="0"/>
    <b v="0"/>
    <x v="0"/>
  </r>
  <r>
    <s v="ORD-0566"/>
    <d v="2026-01-30T00:00:00"/>
    <x v="4"/>
    <n v="1"/>
    <s v="Sari Lestari"/>
    <x v="2"/>
    <x v="3"/>
    <x v="2"/>
    <s v="P-1003"/>
    <s v="Laptop Stand"/>
    <x v="2"/>
    <n v="5"/>
    <n v="0.1"/>
    <n v="1395000"/>
    <n v="950000"/>
    <n v="445000"/>
    <s v="Nadia"/>
    <b v="0"/>
    <b v="0"/>
    <b v="0"/>
    <b v="0"/>
    <b v="0"/>
    <x v="0"/>
  </r>
  <r>
    <s v="ORD-0567"/>
    <d v="2026-05-25T00:00:00"/>
    <x v="1"/>
    <n v="5"/>
    <s v="PT Sinar Jaya"/>
    <x v="3"/>
    <x v="2"/>
    <x v="0"/>
    <s v="P-6001"/>
    <s v="Storage Box"/>
    <x v="4"/>
    <n v="8"/>
    <n v="0.03"/>
    <n v="970000"/>
    <n v="560000"/>
    <n v="410000"/>
    <s v="Fajar"/>
    <b v="0"/>
    <b v="0"/>
    <b v="0"/>
    <b v="0"/>
    <b v="0"/>
    <x v="0"/>
  </r>
  <r>
    <s v="ORD-0568"/>
    <d v="2026-01-30T00:00:00"/>
    <x v="4"/>
    <n v="1"/>
    <s v="Dimas Pratama"/>
    <x v="0"/>
    <x v="0"/>
    <x v="0"/>
    <s v="P-3002"/>
    <s v="Marker Set"/>
    <x v="3"/>
    <n v="5"/>
    <n v="0"/>
    <n v="425000"/>
    <n v="215000"/>
    <n v="210000"/>
    <s v="Nadia"/>
    <b v="0"/>
    <b v="0"/>
    <b v="0"/>
    <b v="0"/>
    <b v="0"/>
    <x v="0"/>
  </r>
  <r>
    <s v="ORD-0569"/>
    <d v="2026-04-01T00:00:00"/>
    <x v="5"/>
    <n v="4"/>
    <s v="CV Maju Bersama"/>
    <x v="0"/>
    <x v="3"/>
    <x v="2"/>
    <s v="P-2001"/>
    <s v="Office Chair"/>
    <x v="1"/>
    <n v="1"/>
    <n v="0.15"/>
    <n v="1232500"/>
    <n v="980000"/>
    <n v="252500"/>
    <s v="Nadia"/>
    <b v="0"/>
    <b v="0"/>
    <b v="0"/>
    <b v="0"/>
    <b v="0"/>
    <x v="0"/>
  </r>
  <r>
    <s v="ORD-0570"/>
    <d v="2026-06-22T00:00:00"/>
    <x v="0"/>
    <n v="6"/>
    <s v="Dimas Pratama"/>
    <x v="0"/>
    <x v="2"/>
    <x v="0"/>
    <s v="P-1001"/>
    <s v="USB-C Hub"/>
    <x v="0"/>
    <n v="6"/>
    <n v="0"/>
    <n v="2100000"/>
    <n v="1260000"/>
    <n v="840000"/>
    <s v="Sari"/>
    <b v="0"/>
    <b v="0"/>
    <b v="0"/>
    <b v="0"/>
    <b v="0"/>
    <x v="0"/>
  </r>
  <r>
    <s v="ORD-0571"/>
    <d v="2026-02-25T00:00:00"/>
    <x v="2"/>
    <n v="2"/>
    <s v="Bima Santoso"/>
    <x v="0"/>
    <x v="2"/>
    <x v="3"/>
    <s v="P-4001"/>
    <s v="Keyboard"/>
    <x v="0"/>
    <n v="5"/>
    <n v="0.03"/>
    <n v="1151875"/>
    <n v="1425000"/>
    <n v="-273125"/>
    <s v="Dimas"/>
    <b v="0"/>
    <b v="0"/>
    <b v="0"/>
    <b v="0"/>
    <b v="1"/>
    <x v="1"/>
  </r>
  <r>
    <s v="ORD-0572"/>
    <d v="2026-03-03T00:00:00"/>
    <x v="3"/>
    <n v="3"/>
    <s v="Alya Putri"/>
    <x v="0"/>
    <x v="3"/>
    <x v="0"/>
    <s v="P-2002"/>
    <s v="Desk Lamp"/>
    <x v="1"/>
    <n v="5"/>
    <n v="0.03"/>
    <n v="1333750"/>
    <n v="775000"/>
    <n v="558750"/>
    <s v="Bima"/>
    <b v="0"/>
    <b v="0"/>
    <b v="0"/>
    <b v="0"/>
    <b v="0"/>
    <x v="0"/>
  </r>
  <r>
    <s v="ORD-0573"/>
    <d v="2026-01-31T00:00:00"/>
    <x v="4"/>
    <n v="1"/>
    <s v="PT Sinar Jaya"/>
    <x v="2"/>
    <x v="1"/>
    <x v="3"/>
    <s v="P-1002"/>
    <s v="Wireless Mouse"/>
    <x v="2"/>
    <n v="2"/>
    <n v="0.15"/>
    <n v="104125"/>
    <n v="290000"/>
    <n v="-185875"/>
    <s v="Fajar"/>
    <b v="0"/>
    <b v="0"/>
    <b v="0"/>
    <b v="0"/>
    <b v="1"/>
    <x v="1"/>
  </r>
  <r>
    <s v="ORD-0574"/>
    <d v="2026-04-06T00:00:00"/>
    <x v="5"/>
    <n v="4"/>
    <s v="Alya Putri"/>
    <x v="4"/>
    <x v="2"/>
    <x v="3"/>
    <s v="P-5001"/>
    <s v="Monitor 24 inch"/>
    <x v="0"/>
    <n v="6"/>
    <n v="0.08"/>
    <n v="5106000"/>
    <n v="7920000"/>
    <n v="-2814000"/>
    <s v="Raka"/>
    <b v="0"/>
    <b v="0"/>
    <b v="0"/>
    <b v="0"/>
    <b v="1"/>
    <x v="1"/>
  </r>
  <r>
    <s v="ORD-0575"/>
    <d v="2026-04-12T00:00:00"/>
    <x v="5"/>
    <n v="4"/>
    <s v="Sari Lestari"/>
    <x v="2"/>
    <x v="2"/>
    <x v="0"/>
    <s v="P-3001"/>
    <s v="Notebook Pack"/>
    <x v="3"/>
    <n v="4"/>
    <n v="0.1"/>
    <n v="234000"/>
    <n v="124000"/>
    <n v="110000"/>
    <s v="Alya"/>
    <b v="0"/>
    <b v="0"/>
    <b v="0"/>
    <b v="0"/>
    <b v="0"/>
    <x v="0"/>
  </r>
  <r>
    <s v="ORD-0576"/>
    <d v="2026-05-09T00:00:00"/>
    <x v="1"/>
    <n v="5"/>
    <s v="CV Maju Bersama"/>
    <x v="0"/>
    <x v="2"/>
    <x v="2"/>
    <s v="P-1003"/>
    <s v="Laptop Stand"/>
    <x v="2"/>
    <n v="6"/>
    <n v="0.08"/>
    <n v="1711200"/>
    <n v="1140000"/>
    <n v="571200"/>
    <s v="Fajar"/>
    <b v="0"/>
    <b v="0"/>
    <b v="0"/>
    <b v="0"/>
    <b v="0"/>
    <x v="0"/>
  </r>
  <r>
    <s v="ORD-0577"/>
    <d v="2026-03-22T00:00:00"/>
    <x v="3"/>
    <n v="3"/>
    <s v="Dimas Pratama"/>
    <x v="3"/>
    <x v="1"/>
    <x v="0"/>
    <s v="P-6001"/>
    <s v="Storage Box"/>
    <x v="4"/>
    <n v="1"/>
    <n v="0"/>
    <n v="125000"/>
    <n v="70000"/>
    <n v="55000"/>
    <s v="Sari"/>
    <b v="0"/>
    <b v="0"/>
    <b v="0"/>
    <b v="0"/>
    <b v="0"/>
    <x v="0"/>
  </r>
  <r>
    <s v="ORD-0578"/>
    <d v="2026-06-06T00:00:00"/>
    <x v="0"/>
    <n v="6"/>
    <s v="Sari Lestari"/>
    <x v="0"/>
    <x v="3"/>
    <x v="0"/>
    <s v="P-3002"/>
    <s v="Marker Set"/>
    <x v="3"/>
    <n v="5"/>
    <n v="0.03"/>
    <n v="412250"/>
    <n v="215000"/>
    <n v="197250"/>
    <s v="Sari"/>
    <b v="0"/>
    <b v="0"/>
    <b v="0"/>
    <b v="0"/>
    <b v="0"/>
    <x v="0"/>
  </r>
  <r>
    <s v="ORD-0579"/>
    <d v="2026-04-04T00:00:00"/>
    <x v="5"/>
    <n v="4"/>
    <s v="Dimas Pratama"/>
    <x v="3"/>
    <x v="3"/>
    <x v="0"/>
    <s v="P-2001"/>
    <s v="Office Chair"/>
    <x v="1"/>
    <n v="3"/>
    <n v="0.08"/>
    <n v="4002000"/>
    <n v="2940000"/>
    <n v="1062000"/>
    <s v="Nadia"/>
    <b v="0"/>
    <b v="0"/>
    <b v="0"/>
    <b v="0"/>
    <b v="0"/>
    <x v="0"/>
  </r>
  <r>
    <s v="ORD-0580"/>
    <d v="2026-03-13T00:00:00"/>
    <x v="3"/>
    <n v="3"/>
    <s v="CV Maju Bersama"/>
    <x v="2"/>
    <x v="0"/>
    <x v="0"/>
    <s v="P-1001"/>
    <s v="USB-C Hub"/>
    <x v="0"/>
    <n v="8"/>
    <n v="0.03"/>
    <n v="2716000"/>
    <n v="1680000"/>
    <n v="1036000"/>
    <s v="Raka"/>
    <b v="0"/>
    <b v="0"/>
    <b v="0"/>
    <b v="0"/>
    <b v="0"/>
    <x v="0"/>
  </r>
  <r>
    <s v="ORD-0581"/>
    <m/>
    <x v="6"/>
    <m/>
    <s v="PT Sinar Jaya"/>
    <x v="0"/>
    <x v="2"/>
    <x v="0"/>
    <s v="P-4001"/>
    <s v="Keyboard"/>
    <x v="0"/>
    <n v="7"/>
    <n v="0.08"/>
    <n v="3059000"/>
    <n v="1995000"/>
    <n v="1064000"/>
    <s v="Citra"/>
    <b v="0"/>
    <b v="0"/>
    <b v="1"/>
    <b v="0"/>
    <b v="0"/>
    <x v="3"/>
  </r>
  <r>
    <s v="ORD-0582"/>
    <d v="2026-04-18T00:00:00"/>
    <x v="5"/>
    <n v="4"/>
    <s v="Sari Lestari"/>
    <x v="2"/>
    <x v="3"/>
    <x v="1"/>
    <s v="P-2002"/>
    <s v="Desk Lamp"/>
    <x v="1"/>
    <n v="8"/>
    <n v="0.03"/>
    <n v="1067000"/>
    <n v="1240000"/>
    <n v="-173000"/>
    <s v="Raka"/>
    <b v="0"/>
    <b v="0"/>
    <b v="0"/>
    <b v="0"/>
    <b v="1"/>
    <x v="1"/>
  </r>
  <r>
    <s v="ORD-0583"/>
    <d v="2026-03-06T00:00:00"/>
    <x v="3"/>
    <n v="3"/>
    <s v="Bima Santoso"/>
    <x v="0"/>
    <x v="1"/>
    <x v="0"/>
    <s v="P-1002"/>
    <s v="Wireless Mouse"/>
    <x v="2"/>
    <n v="1"/>
    <n v="0.08"/>
    <n v="225400"/>
    <n v="145000"/>
    <n v="80400"/>
    <s v="Raka"/>
    <b v="0"/>
    <b v="0"/>
    <b v="0"/>
    <b v="0"/>
    <b v="0"/>
    <x v="0"/>
  </r>
  <r>
    <s v="ORD-0584"/>
    <d v="2026-05-02T00:00:00"/>
    <x v="1"/>
    <n v="5"/>
    <s v="Dimas Pratama"/>
    <x v="4"/>
    <x v="3"/>
    <x v="0"/>
    <s v="P-5001"/>
    <s v="Monitor 24 inch"/>
    <x v="0"/>
    <n v="2"/>
    <n v="0.08"/>
    <n v="3404000"/>
    <n v="2640000"/>
    <n v="764000"/>
    <s v="Raka"/>
    <b v="0"/>
    <b v="0"/>
    <b v="0"/>
    <b v="0"/>
    <b v="0"/>
    <x v="0"/>
  </r>
  <r>
    <s v="ORD-0585"/>
    <d v="2026-03-30T00:00:00"/>
    <x v="3"/>
    <n v="3"/>
    <s v="Alya Putri"/>
    <x v="2"/>
    <x v="0"/>
    <x v="0"/>
    <s v="P-3001"/>
    <s v="Notebook Pack"/>
    <x v="3"/>
    <n v="1"/>
    <n v="0.08"/>
    <n v="59800"/>
    <n v="31000"/>
    <n v="28800"/>
    <s v="Raka"/>
    <b v="0"/>
    <b v="0"/>
    <b v="0"/>
    <b v="0"/>
    <b v="0"/>
    <x v="0"/>
  </r>
  <r>
    <s v="ORD-0586"/>
    <d v="2026-04-01T00:00:00"/>
    <x v="5"/>
    <n v="4"/>
    <s v="Raka Wijaya"/>
    <x v="3"/>
    <x v="1"/>
    <x v="0"/>
    <s v="P-1003"/>
    <s v="Laptop Stand"/>
    <x v="2"/>
    <n v="6"/>
    <n v="0.15"/>
    <n v="1581000"/>
    <n v="1140000"/>
    <n v="441000"/>
    <s v="Raka"/>
    <b v="0"/>
    <b v="0"/>
    <b v="0"/>
    <b v="0"/>
    <b v="0"/>
    <x v="0"/>
  </r>
  <r>
    <s v="ORD-0587"/>
    <d v="2026-04-29T00:00:00"/>
    <x v="5"/>
    <n v="4"/>
    <s v="Raka Wijaya"/>
    <x v="4"/>
    <x v="2"/>
    <x v="0"/>
    <s v="P-6001"/>
    <s v="Storage Box"/>
    <x v="4"/>
    <n v="3"/>
    <n v="0.03"/>
    <n v="363750"/>
    <n v="210000"/>
    <n v="153750"/>
    <s v="Bima"/>
    <b v="0"/>
    <b v="0"/>
    <b v="0"/>
    <b v="0"/>
    <b v="0"/>
    <x v="0"/>
  </r>
  <r>
    <s v="ORD-0588"/>
    <d v="2026-01-21T00:00:00"/>
    <x v="4"/>
    <n v="1"/>
    <s v="Citra Dewi"/>
    <x v="4"/>
    <x v="3"/>
    <x v="0"/>
    <s v="P-3002"/>
    <s v="Marker Set"/>
    <x v="3"/>
    <n v="3"/>
    <n v="0.05"/>
    <n v="242250"/>
    <n v="129000"/>
    <n v="113250"/>
    <s v="Nadia"/>
    <b v="0"/>
    <b v="0"/>
    <b v="0"/>
    <b v="0"/>
    <b v="0"/>
    <x v="0"/>
  </r>
  <r>
    <s v="ORD-0589"/>
    <d v="2026-03-11T00:00:00"/>
    <x v="3"/>
    <n v="3"/>
    <s v="Raka Wijaya"/>
    <x v="2"/>
    <x v="2"/>
    <x v="0"/>
    <s v="P-2001"/>
    <s v="Office Chair"/>
    <x v="1"/>
    <n v="8"/>
    <n v="0.05"/>
    <n v="11020000"/>
    <n v="7840000"/>
    <n v="3180000"/>
    <s v="Citra"/>
    <b v="0"/>
    <b v="0"/>
    <b v="0"/>
    <b v="0"/>
    <b v="0"/>
    <x v="0"/>
  </r>
  <r>
    <s v="ORD-0590"/>
    <d v="1990-01-01T00:00:00"/>
    <x v="4"/>
    <n v="1"/>
    <s v="Bima Santoso"/>
    <x v="4"/>
    <x v="1"/>
    <x v="0"/>
    <s v="P-1001"/>
    <s v="USB-C Hub"/>
    <x v="0"/>
    <n v="1"/>
    <n v="0.03"/>
    <n v="339500"/>
    <n v="210000"/>
    <n v="129500"/>
    <s v="Citra"/>
    <b v="0"/>
    <b v="0"/>
    <b v="0"/>
    <b v="0"/>
    <b v="0"/>
    <x v="0"/>
  </r>
  <r>
    <s v="ORD-0591"/>
    <d v="2026-04-12T00:00:00"/>
    <x v="5"/>
    <n v="4"/>
    <s v="PT Sinar Jaya"/>
    <x v="3"/>
    <x v="1"/>
    <x v="0"/>
    <s v="P-4001"/>
    <s v="Keyboard"/>
    <x v="0"/>
    <n v="2"/>
    <n v="0"/>
    <n v="950000"/>
    <n v="570000"/>
    <n v="380000"/>
    <s v="Nadia"/>
    <b v="0"/>
    <b v="0"/>
    <b v="0"/>
    <b v="0"/>
    <b v="0"/>
    <x v="0"/>
  </r>
  <r>
    <s v="ORD-0592"/>
    <d v="2026-05-15T00:00:00"/>
    <x v="1"/>
    <n v="5"/>
    <s v="Raka Wijaya"/>
    <x v="0"/>
    <x v="1"/>
    <x v="0"/>
    <s v="P-2002"/>
    <s v="Desk Lamp"/>
    <x v="1"/>
    <n v="2"/>
    <n v="0"/>
    <n v="550000"/>
    <n v="310000"/>
    <n v="240000"/>
    <s v="Raka"/>
    <b v="0"/>
    <b v="0"/>
    <b v="0"/>
    <b v="0"/>
    <b v="0"/>
    <x v="0"/>
  </r>
  <r>
    <s v="ORD-0593"/>
    <d v="2026-02-28T00:00:00"/>
    <x v="2"/>
    <n v="2"/>
    <s v="Alya Putri"/>
    <x v="0"/>
    <x v="0"/>
    <x v="0"/>
    <s v="P-1002"/>
    <s v="Wireless Mouse"/>
    <x v="2"/>
    <n v="4"/>
    <n v="0.15"/>
    <n v="833000"/>
    <n v="580000"/>
    <n v="253000"/>
    <s v="Alya"/>
    <b v="0"/>
    <b v="0"/>
    <b v="0"/>
    <b v="0"/>
    <b v="0"/>
    <x v="0"/>
  </r>
  <r>
    <s v="ORD-0594"/>
    <d v="2026-01-09T00:00:00"/>
    <x v="4"/>
    <n v="1"/>
    <s v="Sari Lestari"/>
    <x v="3"/>
    <x v="3"/>
    <x v="2"/>
    <s v="P-5001"/>
    <s v="Monitor 24 inch"/>
    <x v="0"/>
    <n v="6"/>
    <n v="0.05"/>
    <n v="10545000"/>
    <n v="7920000"/>
    <n v="2625000"/>
    <s v="Citra"/>
    <b v="0"/>
    <b v="0"/>
    <b v="0"/>
    <b v="0"/>
    <b v="0"/>
    <x v="0"/>
  </r>
  <r>
    <s v="ORD-0595"/>
    <d v="2026-06-28T00:00:00"/>
    <x v="0"/>
    <n v="6"/>
    <s v="Citra Dewi"/>
    <x v="2"/>
    <x v="2"/>
    <x v="0"/>
    <s v="P-3001"/>
    <s v="Notebook Pack"/>
    <x v="3"/>
    <n v="3"/>
    <n v="0.1"/>
    <n v="175500"/>
    <n v="93000"/>
    <n v="82500"/>
    <s v="Sari"/>
    <b v="0"/>
    <b v="0"/>
    <b v="0"/>
    <b v="0"/>
    <b v="0"/>
    <x v="0"/>
  </r>
  <r>
    <s v="ORD-0596"/>
    <d v="2026-05-04T00:00:00"/>
    <x v="1"/>
    <n v="5"/>
    <s v="Citra Dewi"/>
    <x v="4"/>
    <x v="2"/>
    <x v="0"/>
    <s v="P-1003"/>
    <s v="Laptop Stand"/>
    <x v="2"/>
    <n v="4"/>
    <n v="0"/>
    <n v="1240000"/>
    <n v="760000"/>
    <n v="480000"/>
    <s v="Citra"/>
    <b v="0"/>
    <b v="0"/>
    <b v="0"/>
    <b v="0"/>
    <b v="0"/>
    <x v="0"/>
  </r>
  <r>
    <s v="ORD-0597"/>
    <d v="2026-03-19T00:00:00"/>
    <x v="3"/>
    <n v="3"/>
    <s v="Citra Dewi"/>
    <x v="0"/>
    <x v="3"/>
    <x v="0"/>
    <s v="P-6001"/>
    <s v="Storage Box"/>
    <x v="4"/>
    <n v="1"/>
    <n v="0"/>
    <n v="125000"/>
    <n v="70000"/>
    <n v="55000"/>
    <s v="Fajar"/>
    <b v="0"/>
    <b v="0"/>
    <b v="0"/>
    <b v="0"/>
    <b v="0"/>
    <x v="0"/>
  </r>
  <r>
    <s v="ORD-0598"/>
    <d v="2026-05-17T00:00:00"/>
    <x v="1"/>
    <n v="5"/>
    <s v="Raka Wijaya"/>
    <x v="4"/>
    <x v="1"/>
    <x v="3"/>
    <s v="P-3002"/>
    <s v="Marker Set"/>
    <x v="3"/>
    <n v="1"/>
    <n v="0.15"/>
    <n v="18062"/>
    <n v="43000"/>
    <n v="-24938"/>
    <s v="Raka"/>
    <b v="0"/>
    <b v="0"/>
    <b v="0"/>
    <b v="0"/>
    <b v="1"/>
    <x v="1"/>
  </r>
  <r>
    <s v="ORD-0599"/>
    <d v="2026-06-02T00:00:00"/>
    <x v="0"/>
    <n v="6"/>
    <s v="Raka Wijaya"/>
    <x v="0"/>
    <x v="2"/>
    <x v="0"/>
    <s v="P-2001"/>
    <s v="Office Chair"/>
    <x v="1"/>
    <n v="4"/>
    <n v="0"/>
    <n v="5800000"/>
    <n v="3920000"/>
    <n v="1880000"/>
    <s v="Nadia"/>
    <b v="0"/>
    <b v="0"/>
    <b v="0"/>
    <b v="0"/>
    <b v="0"/>
    <x v="0"/>
  </r>
  <r>
    <s v="ORD-0600"/>
    <d v="2026-03-05T00:00:00"/>
    <x v="3"/>
    <n v="3"/>
    <s v="Bima Santoso"/>
    <x v="3"/>
    <x v="2"/>
    <x v="0"/>
    <s v="P-1001"/>
    <s v="USB-C Hub"/>
    <x v="0"/>
    <n v="3"/>
    <n v="0.15"/>
    <n v="892500"/>
    <n v="630000"/>
    <n v="262500"/>
    <s v="Raka"/>
    <b v="0"/>
    <b v="0"/>
    <b v="0"/>
    <b v="0"/>
    <b v="0"/>
    <x v="0"/>
  </r>
  <r>
    <s v="ORD-0601"/>
    <d v="2026-01-21T00:00:00"/>
    <x v="4"/>
    <n v="1"/>
    <s v="Citra Dewi"/>
    <x v="2"/>
    <x v="3"/>
    <x v="0"/>
    <s v="P-4001"/>
    <s v="Keyboard"/>
    <x v="0"/>
    <n v="7"/>
    <n v="0.15"/>
    <n v="2826250"/>
    <n v="1995000"/>
    <n v="831250"/>
    <s v="Raka"/>
    <b v="0"/>
    <b v="0"/>
    <b v="0"/>
    <b v="0"/>
    <b v="0"/>
    <x v="0"/>
  </r>
  <r>
    <s v="ORD-0602"/>
    <d v="2026-04-16T00:00:00"/>
    <x v="5"/>
    <n v="4"/>
    <s v="Sari Lestari"/>
    <x v="4"/>
    <x v="1"/>
    <x v="0"/>
    <s v="P-2002"/>
    <s v="Desk Lamp"/>
    <x v="1"/>
    <n v="4"/>
    <n v="0"/>
    <n v="1100000"/>
    <n v="620000"/>
    <n v="480000"/>
    <s v="Fajar"/>
    <b v="0"/>
    <b v="0"/>
    <b v="0"/>
    <b v="0"/>
    <b v="0"/>
    <x v="0"/>
  </r>
  <r>
    <s v="ORD-0603"/>
    <d v="2026-03-11T00:00:00"/>
    <x v="3"/>
    <n v="3"/>
    <s v="PT Sinar Jaya"/>
    <x v="0"/>
    <x v="1"/>
    <x v="0"/>
    <s v="P-1002"/>
    <s v="Wireless Mouse"/>
    <x v="2"/>
    <n v="8"/>
    <n v="0.03"/>
    <m/>
    <n v="1160000"/>
    <n v="741200"/>
    <s v="Citra"/>
    <b v="0"/>
    <b v="0"/>
    <b v="0"/>
    <b v="1"/>
    <b v="0"/>
    <x v="2"/>
  </r>
  <r>
    <s v="ORD-0604"/>
    <d v="2026-01-27T00:00:00"/>
    <x v="4"/>
    <n v="1"/>
    <s v="Bima Santoso"/>
    <x v="3"/>
    <x v="1"/>
    <x v="0"/>
    <s v="P-5001"/>
    <s v="Monitor 24 inch"/>
    <x v="0"/>
    <n v="5"/>
    <n v="0.05"/>
    <n v="8787500"/>
    <n v="6600000"/>
    <n v="2187500"/>
    <s v="Bima"/>
    <b v="0"/>
    <b v="0"/>
    <b v="0"/>
    <b v="0"/>
    <b v="0"/>
    <x v="0"/>
  </r>
  <r>
    <s v="ORD-0605"/>
    <d v="2026-02-08T00:00:00"/>
    <x v="2"/>
    <n v="2"/>
    <s v="Sari Lestari"/>
    <x v="3"/>
    <x v="3"/>
    <x v="0"/>
    <s v="P-3001"/>
    <s v="Notebook Pack"/>
    <x v="3"/>
    <n v="1"/>
    <n v="0.08"/>
    <n v="59800"/>
    <n v="31000"/>
    <n v="28800"/>
    <s v="Sari"/>
    <b v="0"/>
    <b v="0"/>
    <b v="0"/>
    <b v="0"/>
    <b v="0"/>
    <x v="0"/>
  </r>
  <r>
    <s v="ORD-0606"/>
    <d v="2026-04-29T00:00:00"/>
    <x v="5"/>
    <n v="4"/>
    <s v="Citra Dewi"/>
    <x v="0"/>
    <x v="1"/>
    <x v="0"/>
    <s v="P-1003"/>
    <s v="Laptop Stand"/>
    <x v="2"/>
    <n v="1"/>
    <n v="0.05"/>
    <n v="294500"/>
    <n v="190000"/>
    <n v="104500"/>
    <s v="Nadia"/>
    <b v="0"/>
    <b v="0"/>
    <b v="0"/>
    <b v="0"/>
    <b v="0"/>
    <x v="0"/>
  </r>
  <r>
    <s v="ORD-0607"/>
    <d v="2026-01-19T00:00:00"/>
    <x v="4"/>
    <n v="1"/>
    <s v="PT Sinar Jaya"/>
    <x v="4"/>
    <x v="2"/>
    <x v="0"/>
    <s v="P-6001"/>
    <s v="Storage Box"/>
    <x v="4"/>
    <n v="8"/>
    <n v="0.03"/>
    <n v="970000"/>
    <n v="560000"/>
    <n v="410000"/>
    <s v="Bima"/>
    <b v="0"/>
    <b v="0"/>
    <b v="0"/>
    <b v="0"/>
    <b v="0"/>
    <x v="0"/>
  </r>
  <r>
    <s v="ORD-0608"/>
    <d v="2026-03-05T00:00:00"/>
    <x v="3"/>
    <n v="3"/>
    <s v="Sari Lestari"/>
    <x v="1"/>
    <x v="0"/>
    <x v="0"/>
    <s v="P-3002"/>
    <s v="Marker Set"/>
    <x v="3"/>
    <n v="7"/>
    <n v="0.08"/>
    <n v="547400"/>
    <n v="301000"/>
    <n v="246400"/>
    <s v="Bima"/>
    <b v="0"/>
    <b v="0"/>
    <b v="0"/>
    <b v="0"/>
    <b v="0"/>
    <x v="0"/>
  </r>
  <r>
    <s v="ORD-0609"/>
    <d v="2026-05-14T00:00:00"/>
    <x v="1"/>
    <n v="5"/>
    <s v="Alya Putri"/>
    <x v="4"/>
    <x v="3"/>
    <x v="0"/>
    <s v="P-2001"/>
    <s v="Office Chair"/>
    <x v="1"/>
    <n v="4"/>
    <n v="0.08"/>
    <n v="5336000"/>
    <n v="3920000"/>
    <n v="1416000"/>
    <s v="Alya"/>
    <b v="0"/>
    <b v="0"/>
    <b v="0"/>
    <b v="0"/>
    <b v="0"/>
    <x v="0"/>
  </r>
  <r>
    <s v="ORD-0610"/>
    <d v="2026-05-21T00:00:00"/>
    <x v="1"/>
    <n v="5"/>
    <s v="Dimas Pratama"/>
    <x v="4"/>
    <x v="0"/>
    <x v="0"/>
    <s v="P-1001"/>
    <s v="USB-C Hub"/>
    <x v="0"/>
    <n v="2"/>
    <n v="0.05"/>
    <n v="665000"/>
    <n v="420000"/>
    <n v="245000"/>
    <s v="Alya"/>
    <b v="0"/>
    <b v="0"/>
    <b v="0"/>
    <b v="0"/>
    <b v="0"/>
    <x v="0"/>
  </r>
  <r>
    <s v="ORD-0611"/>
    <d v="2026-06-20T00:00:00"/>
    <x v="0"/>
    <n v="6"/>
    <s v="PT Sinar Jaya"/>
    <x v="3"/>
    <x v="3"/>
    <x v="0"/>
    <s v="P-4001"/>
    <s v="Keyboard"/>
    <x v="0"/>
    <n v="4"/>
    <n v="0"/>
    <n v="1900000"/>
    <n v="1140000"/>
    <n v="760000"/>
    <s v="Citra"/>
    <b v="0"/>
    <b v="0"/>
    <b v="0"/>
    <b v="0"/>
    <b v="0"/>
    <x v="0"/>
  </r>
  <r>
    <s v="ORD-0612"/>
    <d v="2026-03-12T00:00:00"/>
    <x v="3"/>
    <n v="3"/>
    <s v="Sari Lestari"/>
    <x v="1"/>
    <x v="1"/>
    <x v="2"/>
    <s v="P-2002"/>
    <s v="Desk Lamp"/>
    <x v="1"/>
    <n v="2"/>
    <n v="0.08"/>
    <n v="506000"/>
    <n v="310000"/>
    <n v="196000"/>
    <s v="Citra"/>
    <b v="0"/>
    <b v="0"/>
    <b v="0"/>
    <b v="0"/>
    <b v="0"/>
    <x v="0"/>
  </r>
  <r>
    <s v="ORD-0613"/>
    <d v="2026-04-06T00:00:00"/>
    <x v="5"/>
    <n v="4"/>
    <s v="PT Sinar Jaya"/>
    <x v="1"/>
    <x v="3"/>
    <x v="0"/>
    <s v="P-1002"/>
    <s v="Wireless Mouse"/>
    <x v="2"/>
    <n v="2"/>
    <n v="0.03"/>
    <n v="475300"/>
    <n v="290000"/>
    <n v="185300"/>
    <s v="Alya"/>
    <b v="0"/>
    <b v="0"/>
    <b v="0"/>
    <b v="0"/>
    <b v="0"/>
    <x v="0"/>
  </r>
  <r>
    <s v="ORD-0614"/>
    <d v="2026-04-02T00:00:00"/>
    <x v="5"/>
    <n v="4"/>
    <s v="Sari Lestari"/>
    <x v="1"/>
    <x v="0"/>
    <x v="0"/>
    <s v="P-5001"/>
    <s v="Monitor 24 inch"/>
    <x v="0"/>
    <n v="3"/>
    <n v="0.15"/>
    <n v="4717500"/>
    <n v="3960000"/>
    <n v="757500"/>
    <s v="Dimas"/>
    <b v="0"/>
    <b v="0"/>
    <b v="0"/>
    <b v="0"/>
    <b v="0"/>
    <x v="0"/>
  </r>
  <r>
    <s v="ORD-0615"/>
    <d v="2026-03-23T00:00:00"/>
    <x v="3"/>
    <n v="3"/>
    <s v="Dimas Pratama"/>
    <x v="1"/>
    <x v="2"/>
    <x v="0"/>
    <s v="P-3001"/>
    <s v="Notebook Pack"/>
    <x v="3"/>
    <n v="6"/>
    <n v="0.08"/>
    <n v="358800"/>
    <n v="186000"/>
    <n v="172800"/>
    <s v="Citra"/>
    <b v="0"/>
    <b v="0"/>
    <b v="0"/>
    <b v="0"/>
    <b v="0"/>
    <x v="0"/>
  </r>
  <r>
    <s v="ORD-0616"/>
    <d v="2026-03-06T00:00:00"/>
    <x v="3"/>
    <n v="3"/>
    <s v="Sari Lestari"/>
    <x v="2"/>
    <x v="3"/>
    <x v="0"/>
    <s v="P-1003"/>
    <s v="Laptop Stand"/>
    <x v="2"/>
    <n v="1"/>
    <n v="0.08"/>
    <n v="285200"/>
    <n v="190000"/>
    <n v="95200"/>
    <s v="Dimas"/>
    <b v="0"/>
    <b v="0"/>
    <b v="0"/>
    <b v="0"/>
    <b v="0"/>
    <x v="0"/>
  </r>
  <r>
    <s v="ORD-0617"/>
    <d v="2026-05-26T00:00:00"/>
    <x v="1"/>
    <n v="5"/>
    <s v="Alya Putri"/>
    <x v="3"/>
    <x v="3"/>
    <x v="0"/>
    <s v="P-6001"/>
    <s v="Storage Box"/>
    <x v="4"/>
    <n v="3"/>
    <n v="0.1"/>
    <n v="337500"/>
    <n v="210000"/>
    <n v="127500"/>
    <s v="Bima"/>
    <b v="0"/>
    <b v="0"/>
    <b v="0"/>
    <b v="0"/>
    <b v="0"/>
    <x v="0"/>
  </r>
  <r>
    <s v="ORD-0618"/>
    <d v="2026-05-16T00:00:00"/>
    <x v="1"/>
    <n v="5"/>
    <s v="Sari Lestari"/>
    <x v="4"/>
    <x v="3"/>
    <x v="0"/>
    <s v="P-3002"/>
    <s v="Marker Set"/>
    <x v="3"/>
    <n v="3"/>
    <n v="0.08"/>
    <n v="234600"/>
    <n v="129000"/>
    <n v="105600"/>
    <s v="Alya"/>
    <b v="0"/>
    <b v="0"/>
    <b v="0"/>
    <b v="0"/>
    <b v="0"/>
    <x v="0"/>
  </r>
  <r>
    <s v="ORD-0619"/>
    <d v="2026-06-13T00:00:00"/>
    <x v="0"/>
    <n v="6"/>
    <s v="Bima Santoso"/>
    <x v="1"/>
    <x v="3"/>
    <x v="0"/>
    <s v="P-2001"/>
    <s v="Office Chair"/>
    <x v="1"/>
    <n v="7"/>
    <n v="0.15"/>
    <n v="8627500"/>
    <n v="6860000"/>
    <n v="1767500"/>
    <s v="Sari"/>
    <b v="0"/>
    <b v="0"/>
    <b v="0"/>
    <b v="0"/>
    <b v="0"/>
    <x v="0"/>
  </r>
  <r>
    <s v="ORD-0620"/>
    <d v="2026-01-17T00:00:00"/>
    <x v="4"/>
    <n v="1"/>
    <s v="Citra Dewi"/>
    <x v="3"/>
    <x v="0"/>
    <x v="0"/>
    <s v="P-1001"/>
    <s v="USB-C Hub"/>
    <x v="0"/>
    <n v="7"/>
    <n v="0.03"/>
    <n v="2376500"/>
    <n v="1470000"/>
    <n v="906500"/>
    <s v="Sari"/>
    <b v="0"/>
    <b v="0"/>
    <b v="0"/>
    <b v="0"/>
    <b v="0"/>
    <x v="0"/>
  </r>
  <r>
    <s v="ORD-0621"/>
    <d v="2026-04-15T00:00:00"/>
    <x v="5"/>
    <n v="4"/>
    <s v="Alya Putri"/>
    <x v="1"/>
    <x v="1"/>
    <x v="0"/>
    <s v="P-4001"/>
    <s v="Keyboard"/>
    <x v="0"/>
    <n v="6"/>
    <n v="0"/>
    <n v="2850000"/>
    <n v="1710000"/>
    <n v="1140000"/>
    <s v="Citra"/>
    <b v="0"/>
    <b v="0"/>
    <b v="0"/>
    <b v="0"/>
    <b v="0"/>
    <x v="0"/>
  </r>
  <r>
    <s v="ORD-0622"/>
    <d v="2026-01-09T00:00:00"/>
    <x v="4"/>
    <n v="1"/>
    <s v="Raka Wijaya"/>
    <x v="1"/>
    <x v="1"/>
    <x v="0"/>
    <s v="P-2002"/>
    <s v="Desk Lamp"/>
    <x v="1"/>
    <n v="4"/>
    <n v="0"/>
    <n v="1100000"/>
    <n v="620000"/>
    <n v="480000"/>
    <s v="Fajar"/>
    <b v="0"/>
    <b v="0"/>
    <b v="0"/>
    <b v="0"/>
    <b v="0"/>
    <x v="0"/>
  </r>
  <r>
    <s v="ORD-0623"/>
    <d v="2026-05-15T00:00:00"/>
    <x v="1"/>
    <n v="5"/>
    <s v="PT Sinar Jaya"/>
    <x v="2"/>
    <x v="1"/>
    <x v="0"/>
    <s v="P-1002"/>
    <s v="Wireless Mouse"/>
    <x v="2"/>
    <m/>
    <n v="0"/>
    <n v="1225000"/>
    <n v="725000"/>
    <n v="500000"/>
    <s v="Dimas"/>
    <b v="0"/>
    <b v="1"/>
    <b v="0"/>
    <b v="0"/>
    <b v="0"/>
    <x v="4"/>
  </r>
  <r>
    <s v="ORD-0624"/>
    <d v="2026-06-17T00:00:00"/>
    <x v="0"/>
    <n v="6"/>
    <s v="Raka Wijaya"/>
    <x v="1"/>
    <x v="3"/>
    <x v="0"/>
    <s v="P-5001"/>
    <s v="Monitor 24 inch"/>
    <x v="0"/>
    <n v="8"/>
    <n v="0"/>
    <n v="14800000"/>
    <n v="10560000"/>
    <n v="4240000"/>
    <s v="Sari"/>
    <b v="0"/>
    <b v="0"/>
    <b v="0"/>
    <b v="0"/>
    <b v="0"/>
    <x v="0"/>
  </r>
  <r>
    <s v="ORD-0625"/>
    <d v="2026-01-15T00:00:00"/>
    <x v="4"/>
    <n v="1"/>
    <s v="CV Maju Bersama"/>
    <x v="1"/>
    <x v="3"/>
    <x v="0"/>
    <s v="P-3001"/>
    <s v="Notebook Pack"/>
    <x v="3"/>
    <n v="5"/>
    <n v="0.1"/>
    <n v="292500"/>
    <n v="155000"/>
    <n v="137500"/>
    <s v="Dimas"/>
    <b v="0"/>
    <b v="0"/>
    <b v="0"/>
    <b v="0"/>
    <b v="0"/>
    <x v="0"/>
  </r>
  <r>
    <s v="ORD-0626"/>
    <d v="2026-05-13T00:00:00"/>
    <x v="1"/>
    <n v="5"/>
    <s v="Bima Santoso"/>
    <x v="2"/>
    <x v="2"/>
    <x v="0"/>
    <s v="P-1003"/>
    <s v="Laptop Stand"/>
    <x v="2"/>
    <n v="2"/>
    <n v="0"/>
    <n v="620000"/>
    <n v="380000"/>
    <n v="240000"/>
    <s v="Dimas"/>
    <b v="0"/>
    <b v="0"/>
    <b v="0"/>
    <b v="0"/>
    <b v="0"/>
    <x v="0"/>
  </r>
  <r>
    <s v="ORD-0627"/>
    <d v="2026-05-15T00:00:00"/>
    <x v="1"/>
    <n v="5"/>
    <s v="CV Maju Bersama"/>
    <x v="0"/>
    <x v="2"/>
    <x v="0"/>
    <s v="P-6001"/>
    <s v="Storage Box"/>
    <x v="4"/>
    <n v="4"/>
    <n v="0.1"/>
    <n v="450000"/>
    <n v="280000"/>
    <n v="170000"/>
    <s v="Sari"/>
    <b v="0"/>
    <b v="0"/>
    <b v="0"/>
    <b v="0"/>
    <b v="0"/>
    <x v="0"/>
  </r>
  <r>
    <s v="ORD-0628"/>
    <d v="2026-06-22T00:00:00"/>
    <x v="0"/>
    <n v="6"/>
    <s v="Alya Putri"/>
    <x v="1"/>
    <x v="0"/>
    <x v="0"/>
    <s v="P-3002"/>
    <s v="Marker Set"/>
    <x v="3"/>
    <n v="8"/>
    <n v="0.15"/>
    <n v="578000"/>
    <n v="344000"/>
    <n v="234000"/>
    <s v="Nadia"/>
    <b v="0"/>
    <b v="0"/>
    <b v="0"/>
    <b v="0"/>
    <b v="0"/>
    <x v="0"/>
  </r>
  <r>
    <s v="ORD-0629"/>
    <d v="2026-05-10T00:00:00"/>
    <x v="1"/>
    <n v="5"/>
    <s v="Dimas Pratama"/>
    <x v="2"/>
    <x v="2"/>
    <x v="0"/>
    <s v="P-2001"/>
    <s v="Office Chair"/>
    <x v="1"/>
    <n v="6"/>
    <n v="0.15"/>
    <n v="7395000"/>
    <n v="5880000"/>
    <n v="1515000"/>
    <s v="Sari"/>
    <b v="0"/>
    <b v="0"/>
    <b v="0"/>
    <b v="0"/>
    <b v="0"/>
    <x v="0"/>
  </r>
  <r>
    <s v="ORD-0630"/>
    <d v="2026-05-21T00:00:00"/>
    <x v="1"/>
    <n v="5"/>
    <s v="Bima Santoso"/>
    <x v="3"/>
    <x v="3"/>
    <x v="0"/>
    <s v="P-1001"/>
    <s v="USB-C Hub"/>
    <x v="0"/>
    <n v="6"/>
    <n v="0.05"/>
    <n v="1995000"/>
    <n v="1260000"/>
    <n v="735000"/>
    <s v="Dimas"/>
    <b v="0"/>
    <b v="0"/>
    <b v="0"/>
    <b v="0"/>
    <b v="0"/>
    <x v="0"/>
  </r>
  <r>
    <s v="ORD-0631"/>
    <d v="2026-04-07T00:00:00"/>
    <x v="5"/>
    <n v="4"/>
    <s v="PT Sinar Jaya"/>
    <x v="3"/>
    <x v="1"/>
    <x v="1"/>
    <s v="P-4001"/>
    <s v="Keyboard"/>
    <x v="0"/>
    <n v="5"/>
    <n v="0.05"/>
    <n v="564062"/>
    <n v="1425000"/>
    <n v="-860938"/>
    <s v="Raka"/>
    <b v="0"/>
    <b v="0"/>
    <b v="0"/>
    <b v="0"/>
    <b v="1"/>
    <x v="1"/>
  </r>
  <r>
    <s v="ORD-0632"/>
    <d v="2026-06-02T00:00:00"/>
    <x v="0"/>
    <n v="6"/>
    <s v="Citra Dewi"/>
    <x v="4"/>
    <x v="1"/>
    <x v="0"/>
    <s v="P-2002"/>
    <s v="Desk Lamp"/>
    <x v="1"/>
    <n v="1"/>
    <n v="0.1"/>
    <n v="247500"/>
    <n v="155000"/>
    <n v="92500"/>
    <s v="Dimas"/>
    <b v="0"/>
    <b v="0"/>
    <b v="0"/>
    <b v="0"/>
    <b v="0"/>
    <x v="0"/>
  </r>
  <r>
    <s v="ORD-0633"/>
    <d v="2026-02-24T00:00:00"/>
    <x v="2"/>
    <n v="2"/>
    <s v="CV Maju Bersama"/>
    <x v="4"/>
    <x v="0"/>
    <x v="0"/>
    <s v="P-1002"/>
    <s v="Wireless Mouse"/>
    <x v="2"/>
    <n v="6"/>
    <n v="0"/>
    <n v="1470000"/>
    <n v="870000"/>
    <n v="600000"/>
    <s v="Alya"/>
    <b v="0"/>
    <b v="0"/>
    <b v="0"/>
    <b v="0"/>
    <b v="0"/>
    <x v="0"/>
  </r>
  <r>
    <s v="ORD-0634"/>
    <d v="2026-04-28T00:00:00"/>
    <x v="5"/>
    <n v="4"/>
    <s v="Bima Santoso"/>
    <x v="4"/>
    <x v="0"/>
    <x v="0"/>
    <s v="P-5001"/>
    <s v="Monitor 24 inch"/>
    <x v="0"/>
    <n v="6"/>
    <n v="0.03"/>
    <n v="10767000"/>
    <n v="7920000"/>
    <n v="2847000"/>
    <s v="Raka"/>
    <b v="0"/>
    <b v="0"/>
    <b v="0"/>
    <b v="0"/>
    <b v="0"/>
    <x v="0"/>
  </r>
  <r>
    <s v="ORD-0635"/>
    <d v="2026-03-18T00:00:00"/>
    <x v="3"/>
    <n v="3"/>
    <s v="Dimas Pratama"/>
    <x v="0"/>
    <x v="1"/>
    <x v="0"/>
    <s v="P-3001"/>
    <s v="Notebook Pack"/>
    <x v="3"/>
    <n v="2"/>
    <n v="0.1"/>
    <n v="117000"/>
    <n v="62000"/>
    <n v="55000"/>
    <s v="Fajar"/>
    <b v="0"/>
    <b v="0"/>
    <b v="0"/>
    <b v="0"/>
    <b v="0"/>
    <x v="0"/>
  </r>
  <r>
    <s v="ORD-0636"/>
    <d v="2026-02-14T00:00:00"/>
    <x v="2"/>
    <n v="2"/>
    <s v="PT Sinar Jaya"/>
    <x v="1"/>
    <x v="3"/>
    <x v="0"/>
    <s v="P-1003"/>
    <s v="Laptop Stand"/>
    <x v="2"/>
    <n v="8"/>
    <n v="0.15"/>
    <n v="2108000"/>
    <n v="1520000"/>
    <n v="588000"/>
    <s v="Nadia"/>
    <b v="0"/>
    <b v="0"/>
    <b v="0"/>
    <b v="0"/>
    <b v="0"/>
    <x v="0"/>
  </r>
  <r>
    <s v="ORD-0637"/>
    <d v="2026-01-21T00:00:00"/>
    <x v="4"/>
    <n v="1"/>
    <s v="CV Maju Bersama"/>
    <x v="3"/>
    <x v="2"/>
    <x v="0"/>
    <s v="P-6001"/>
    <s v="Storage Box"/>
    <x v="4"/>
    <n v="1"/>
    <n v="0.05"/>
    <n v="118750"/>
    <n v="70000"/>
    <n v="48750"/>
    <s v="Dimas"/>
    <b v="0"/>
    <b v="0"/>
    <b v="0"/>
    <b v="0"/>
    <b v="0"/>
    <x v="0"/>
  </r>
  <r>
    <s v="ORD-0638"/>
    <d v="2026-06-17T00:00:00"/>
    <x v="0"/>
    <n v="6"/>
    <s v="Citra Dewi"/>
    <x v="3"/>
    <x v="1"/>
    <x v="0"/>
    <s v="P-3002"/>
    <s v="Marker Set"/>
    <x v="3"/>
    <n v="1"/>
    <n v="0.15"/>
    <n v="72250"/>
    <n v="43000"/>
    <n v="29250"/>
    <s v="Alya"/>
    <b v="0"/>
    <b v="0"/>
    <b v="0"/>
    <b v="0"/>
    <b v="0"/>
    <x v="0"/>
  </r>
  <r>
    <s v="ORD-0639"/>
    <d v="2026-03-23T00:00:00"/>
    <x v="3"/>
    <n v="3"/>
    <s v="PT Sinar Jaya"/>
    <x v="0"/>
    <x v="0"/>
    <x v="0"/>
    <s v="P-2001"/>
    <s v="Office Chair"/>
    <x v="1"/>
    <n v="3"/>
    <n v="0.05"/>
    <n v="4132500"/>
    <n v="2940000"/>
    <n v="1192500"/>
    <s v="Nadia"/>
    <b v="0"/>
    <b v="0"/>
    <b v="0"/>
    <b v="0"/>
    <b v="0"/>
    <x v="0"/>
  </r>
  <r>
    <s v="ORD-0640"/>
    <d v="2026-04-25T00:00:00"/>
    <x v="5"/>
    <n v="4"/>
    <s v="Alya Putri"/>
    <x v="3"/>
    <x v="0"/>
    <x v="0"/>
    <s v="P-1001"/>
    <s v="USB-C Hub"/>
    <x v="0"/>
    <n v="2"/>
    <n v="0.03"/>
    <n v="679000"/>
    <n v="420000"/>
    <n v="259000"/>
    <s v="Sari"/>
    <b v="0"/>
    <b v="0"/>
    <b v="0"/>
    <b v="0"/>
    <b v="0"/>
    <x v="0"/>
  </r>
  <r>
    <s v="ORD-0641"/>
    <d v="2026-01-22T00:00:00"/>
    <x v="4"/>
    <n v="1"/>
    <s v="Citra Dewi"/>
    <x v="2"/>
    <x v="2"/>
    <x v="0"/>
    <s v="P-4001"/>
    <s v="Keyboard"/>
    <x v="0"/>
    <n v="8"/>
    <n v="0.1"/>
    <n v="3420000"/>
    <n v="2280000"/>
    <n v="1140000"/>
    <s v="Bima"/>
    <b v="0"/>
    <b v="0"/>
    <b v="0"/>
    <b v="0"/>
    <b v="0"/>
    <x v="0"/>
  </r>
  <r>
    <s v="ORD-0642"/>
    <d v="2026-04-13T00:00:00"/>
    <x v="5"/>
    <n v="4"/>
    <s v="Bima Santoso"/>
    <x v="0"/>
    <x v="2"/>
    <x v="0"/>
    <s v="P-2002"/>
    <s v="Desk Lamp"/>
    <x v="1"/>
    <n v="7"/>
    <n v="0.15"/>
    <n v="1636250"/>
    <n v="1085000"/>
    <n v="551250"/>
    <s v="Fajar"/>
    <b v="0"/>
    <b v="0"/>
    <b v="0"/>
    <b v="0"/>
    <b v="0"/>
    <x v="0"/>
  </r>
  <r>
    <s v="ORD-0643"/>
    <d v="2026-04-12T00:00:00"/>
    <x v="5"/>
    <n v="4"/>
    <s v="Bima Santoso"/>
    <x v="2"/>
    <x v="0"/>
    <x v="0"/>
    <s v="P-1002"/>
    <s v="Wireless Mouse"/>
    <x v="2"/>
    <n v="4"/>
    <n v="0.1"/>
    <n v="882000"/>
    <n v="580000"/>
    <n v="302000"/>
    <s v="Bima"/>
    <b v="0"/>
    <b v="0"/>
    <b v="0"/>
    <b v="0"/>
    <b v="0"/>
    <x v="0"/>
  </r>
  <r>
    <s v="ORD-0644"/>
    <d v="2026-03-10T00:00:00"/>
    <x v="3"/>
    <n v="3"/>
    <s v="CV Maju Bersama"/>
    <x v="2"/>
    <x v="1"/>
    <x v="0"/>
    <s v="P-5001"/>
    <s v="Monitor 24 inch"/>
    <x v="0"/>
    <n v="7"/>
    <n v="0.05"/>
    <n v="12302500"/>
    <n v="9240000"/>
    <n v="3062500"/>
    <s v="Nadia"/>
    <b v="0"/>
    <b v="0"/>
    <b v="0"/>
    <b v="0"/>
    <b v="0"/>
    <x v="0"/>
  </r>
  <r>
    <s v="ORD-0645"/>
    <d v="2026-04-19T00:00:00"/>
    <x v="5"/>
    <n v="4"/>
    <s v="Citra Dewi"/>
    <x v="4"/>
    <x v="1"/>
    <x v="0"/>
    <s v="P-3001"/>
    <s v="Notebook Pack"/>
    <x v="3"/>
    <n v="6"/>
    <n v="0.05"/>
    <n v="370500"/>
    <n v="186000"/>
    <n v="184500"/>
    <s v="Citra"/>
    <b v="0"/>
    <b v="0"/>
    <b v="0"/>
    <b v="0"/>
    <b v="0"/>
    <x v="0"/>
  </r>
  <r>
    <s v="ORD-0646"/>
    <d v="2026-03-31T00:00:00"/>
    <x v="3"/>
    <n v="3"/>
    <s v="Bima Santoso"/>
    <x v="1"/>
    <x v="0"/>
    <x v="0"/>
    <s v="P-1003"/>
    <s v="Laptop Stand"/>
    <x v="2"/>
    <n v="8"/>
    <n v="0.1"/>
    <n v="2232000"/>
    <n v="1520000"/>
    <n v="712000"/>
    <s v="Sari"/>
    <b v="0"/>
    <b v="0"/>
    <b v="0"/>
    <b v="0"/>
    <b v="0"/>
    <x v="0"/>
  </r>
  <r>
    <s v="ORD-0647"/>
    <d v="2026-02-09T00:00:00"/>
    <x v="2"/>
    <n v="2"/>
    <s v="Citra Dewi"/>
    <x v="0"/>
    <x v="0"/>
    <x v="0"/>
    <s v="P-6001"/>
    <s v="Storage Box"/>
    <x v="4"/>
    <n v="2"/>
    <n v="0"/>
    <n v="250000"/>
    <n v="140000"/>
    <n v="110000"/>
    <s v="Alya"/>
    <b v="0"/>
    <b v="0"/>
    <b v="0"/>
    <b v="0"/>
    <b v="0"/>
    <x v="0"/>
  </r>
  <r>
    <s v="ORD-0648"/>
    <d v="2026-03-29T00:00:00"/>
    <x v="3"/>
    <n v="3"/>
    <s v="Bima Santoso"/>
    <x v="1"/>
    <x v="3"/>
    <x v="0"/>
    <s v="P-3002"/>
    <s v="Marker Set"/>
    <x v="3"/>
    <n v="2"/>
    <n v="0.05"/>
    <n v="161500"/>
    <n v="86000"/>
    <n v="75500"/>
    <s v="Dimas"/>
    <b v="0"/>
    <b v="0"/>
    <b v="0"/>
    <b v="0"/>
    <b v="0"/>
    <x v="0"/>
  </r>
  <r>
    <s v="ORD-0649"/>
    <d v="1990-01-01T00:00:00"/>
    <x v="4"/>
    <n v="1"/>
    <s v="Raka Wijaya"/>
    <x v="0"/>
    <x v="1"/>
    <x v="0"/>
    <s v="P-2001"/>
    <s v="Office Chair"/>
    <x v="1"/>
    <n v="5"/>
    <n v="0.1"/>
    <n v="6525000"/>
    <n v="4900000"/>
    <n v="1625000"/>
    <s v="Alya"/>
    <b v="0"/>
    <b v="0"/>
    <b v="0"/>
    <b v="0"/>
    <b v="0"/>
    <x v="0"/>
  </r>
  <r>
    <s v="ORD-0650"/>
    <d v="2026-03-07T00:00:00"/>
    <x v="3"/>
    <n v="3"/>
    <s v="PT Sinar Jaya"/>
    <x v="2"/>
    <x v="3"/>
    <x v="0"/>
    <s v="P-1001"/>
    <s v="USB-C Hub"/>
    <x v="0"/>
    <n v="3"/>
    <n v="0"/>
    <n v="1050000"/>
    <n v="630000"/>
    <n v="420000"/>
    <s v="Fajar"/>
    <b v="0"/>
    <b v="0"/>
    <b v="0"/>
    <b v="0"/>
    <b v="0"/>
    <x v="0"/>
  </r>
  <r>
    <s v="ORD-0651"/>
    <d v="2026-06-17T00:00:00"/>
    <x v="0"/>
    <n v="6"/>
    <s v="CV Maju Bersama"/>
    <x v="4"/>
    <x v="3"/>
    <x v="0"/>
    <s v="P-4001"/>
    <s v="Keyboard"/>
    <x v="0"/>
    <n v="1"/>
    <n v="0"/>
    <n v="475000"/>
    <n v="285000"/>
    <n v="190000"/>
    <s v="Alya"/>
    <b v="0"/>
    <b v="0"/>
    <b v="0"/>
    <b v="0"/>
    <b v="0"/>
    <x v="0"/>
  </r>
  <r>
    <s v="ORD-0652"/>
    <d v="2026-03-16T00:00:00"/>
    <x v="3"/>
    <n v="3"/>
    <s v="Sari Lestari"/>
    <x v="1"/>
    <x v="3"/>
    <x v="1"/>
    <s v="P-2002"/>
    <s v="Desk Lamp"/>
    <x v="1"/>
    <n v="7"/>
    <n v="0.03"/>
    <n v="933625"/>
    <n v="1085000"/>
    <n v="-151375"/>
    <s v="Bima"/>
    <b v="0"/>
    <b v="0"/>
    <b v="0"/>
    <b v="0"/>
    <b v="1"/>
    <x v="1"/>
  </r>
  <r>
    <s v="ORD-0653"/>
    <d v="2026-02-17T00:00:00"/>
    <x v="2"/>
    <n v="2"/>
    <s v="Bima Santoso"/>
    <x v="1"/>
    <x v="1"/>
    <x v="1"/>
    <s v="P-1002"/>
    <s v="Wireless Mouse"/>
    <x v="2"/>
    <n v="4"/>
    <n v="0.1"/>
    <n v="441000"/>
    <n v="580000"/>
    <n v="-139000"/>
    <s v="Raka"/>
    <b v="0"/>
    <b v="0"/>
    <b v="0"/>
    <b v="0"/>
    <b v="1"/>
    <x v="1"/>
  </r>
  <r>
    <s v="ORD-0654"/>
    <d v="2026-03-27T00:00:00"/>
    <x v="3"/>
    <n v="3"/>
    <s v="Dimas Pratama"/>
    <x v="1"/>
    <x v="3"/>
    <x v="0"/>
    <s v="P-5001"/>
    <s v="Monitor 24 inch"/>
    <x v="0"/>
    <n v="8"/>
    <n v="0.08"/>
    <n v="13616000"/>
    <n v="10560000"/>
    <n v="3056000"/>
    <s v="Sari"/>
    <b v="0"/>
    <b v="0"/>
    <b v="0"/>
    <b v="0"/>
    <b v="0"/>
    <x v="0"/>
  </r>
  <r>
    <s v="ORD-0655"/>
    <d v="2026-06-10T00:00:00"/>
    <x v="0"/>
    <n v="6"/>
    <s v="Citra Dewi"/>
    <x v="4"/>
    <x v="1"/>
    <x v="1"/>
    <s v="P-3001"/>
    <s v="Notebook Pack"/>
    <x v="3"/>
    <n v="5"/>
    <n v="0.03"/>
    <n v="157625"/>
    <n v="155000"/>
    <n v="2625"/>
    <s v="Nadia"/>
    <b v="0"/>
    <b v="0"/>
    <b v="0"/>
    <b v="0"/>
    <b v="1"/>
    <x v="1"/>
  </r>
  <r>
    <s v="ORD-0656"/>
    <d v="2026-01-08T00:00:00"/>
    <x v="4"/>
    <n v="1"/>
    <s v="CV Maju Bersama"/>
    <x v="3"/>
    <x v="0"/>
    <x v="0"/>
    <s v="P-1003"/>
    <s v="Laptop Stand"/>
    <x v="2"/>
    <n v="5"/>
    <n v="0.03"/>
    <n v="1503500"/>
    <n v="950000"/>
    <n v="553500"/>
    <s v="Nadia"/>
    <b v="0"/>
    <b v="0"/>
    <b v="0"/>
    <b v="0"/>
    <b v="0"/>
    <x v="0"/>
  </r>
  <r>
    <s v="ORD-0657"/>
    <d v="2026-05-14T00:00:00"/>
    <x v="1"/>
    <n v="5"/>
    <s v="Citra Dewi"/>
    <x v="0"/>
    <x v="2"/>
    <x v="0"/>
    <s v="P-6001"/>
    <s v="Storage Box"/>
    <x v="4"/>
    <n v="4"/>
    <n v="0.08"/>
    <n v="460000"/>
    <n v="280000"/>
    <n v="180000"/>
    <s v="Sari"/>
    <b v="0"/>
    <b v="0"/>
    <b v="0"/>
    <b v="0"/>
    <b v="0"/>
    <x v="0"/>
  </r>
  <r>
    <s v="ORD-0658"/>
    <d v="2026-04-25T00:00:00"/>
    <x v="5"/>
    <n v="4"/>
    <s v="Alya Putri"/>
    <x v="2"/>
    <x v="0"/>
    <x v="0"/>
    <s v="P-3002"/>
    <s v="Marker Set"/>
    <x v="3"/>
    <n v="3"/>
    <n v="0.03"/>
    <n v="247350"/>
    <n v="129000"/>
    <n v="118350"/>
    <s v="Raka"/>
    <b v="0"/>
    <b v="0"/>
    <b v="0"/>
    <b v="0"/>
    <b v="0"/>
    <x v="0"/>
  </r>
  <r>
    <s v="ORD-0659"/>
    <d v="2026-06-26T00:00:00"/>
    <x v="0"/>
    <n v="6"/>
    <s v="Dimas Pratama"/>
    <x v="2"/>
    <x v="0"/>
    <x v="1"/>
    <s v="P-2001"/>
    <s v="Office Chair"/>
    <x v="1"/>
    <n v="3"/>
    <n v="0.08"/>
    <n v="0"/>
    <n v="2940000"/>
    <n v="-2940000"/>
    <s v="Bima"/>
    <b v="0"/>
    <b v="0"/>
    <b v="0"/>
    <b v="0"/>
    <b v="1"/>
    <x v="1"/>
  </r>
  <r>
    <s v="ORD-0660"/>
    <d v="2026-05-23T00:00:00"/>
    <x v="1"/>
    <n v="5"/>
    <s v="Dimas Pratama"/>
    <x v="0"/>
    <x v="1"/>
    <x v="0"/>
    <s v="P-1001"/>
    <s v="USB-C Hub"/>
    <x v="0"/>
    <n v="2"/>
    <n v="0.03"/>
    <n v="679000"/>
    <n v="420000"/>
    <n v="259000"/>
    <s v="Nadia"/>
    <b v="0"/>
    <b v="0"/>
    <b v="0"/>
    <b v="0"/>
    <b v="0"/>
    <x v="0"/>
  </r>
  <r>
    <s v="ORD-0661"/>
    <d v="2026-04-16T00:00:00"/>
    <x v="5"/>
    <n v="4"/>
    <s v="Bima Santoso"/>
    <x v="4"/>
    <x v="0"/>
    <x v="0"/>
    <s v="P-4001"/>
    <s v="Keyboard"/>
    <x v="0"/>
    <n v="5"/>
    <n v="0.08"/>
    <n v="2185000"/>
    <n v="1425000"/>
    <n v="760000"/>
    <s v="Bima"/>
    <b v="0"/>
    <b v="0"/>
    <b v="0"/>
    <b v="0"/>
    <b v="0"/>
    <x v="0"/>
  </r>
  <r>
    <s v="ORD-0662"/>
    <d v="2026-02-03T00:00:00"/>
    <x v="2"/>
    <n v="2"/>
    <s v="Bima Santoso"/>
    <x v="2"/>
    <x v="3"/>
    <x v="0"/>
    <s v="P-2002"/>
    <s v="Desk Lamp"/>
    <x v="1"/>
    <n v="3"/>
    <n v="0"/>
    <n v="825000"/>
    <n v="465000"/>
    <n v="360000"/>
    <s v="Dimas"/>
    <b v="0"/>
    <b v="0"/>
    <b v="0"/>
    <b v="0"/>
    <b v="0"/>
    <x v="0"/>
  </r>
  <r>
    <s v="ORD-0663"/>
    <d v="2026-03-01T00:00:00"/>
    <x v="3"/>
    <n v="3"/>
    <s v="Sari Lestari"/>
    <x v="3"/>
    <x v="0"/>
    <x v="0"/>
    <s v="P-1002"/>
    <s v="Wireless Mouse"/>
    <x v="2"/>
    <n v="1"/>
    <n v="0.05"/>
    <n v="232750"/>
    <n v="145000"/>
    <n v="87750"/>
    <s v="Sari"/>
    <b v="0"/>
    <b v="0"/>
    <b v="0"/>
    <b v="0"/>
    <b v="0"/>
    <x v="0"/>
  </r>
  <r>
    <s v="ORD-0664"/>
    <m/>
    <x v="6"/>
    <m/>
    <s v="Bima Santoso"/>
    <x v="0"/>
    <x v="0"/>
    <x v="0"/>
    <s v="P-5001"/>
    <s v="Monitor 24 inch"/>
    <x v="0"/>
    <n v="7"/>
    <n v="0.08"/>
    <n v="11914000"/>
    <n v="9240000"/>
    <n v="2674000"/>
    <s v="Alya"/>
    <b v="0"/>
    <b v="0"/>
    <b v="1"/>
    <b v="0"/>
    <b v="0"/>
    <x v="3"/>
  </r>
  <r>
    <s v="ORD-0665"/>
    <d v="2026-04-15T00:00:00"/>
    <x v="5"/>
    <n v="4"/>
    <s v="CV Maju Bersama"/>
    <x v="0"/>
    <x v="0"/>
    <x v="3"/>
    <s v="P-3001"/>
    <s v="Notebook Pack"/>
    <x v="3"/>
    <n v="1"/>
    <n v="0.05"/>
    <n v="0"/>
    <n v="31000"/>
    <n v="-31000"/>
    <s v="Citra"/>
    <b v="0"/>
    <b v="0"/>
    <b v="0"/>
    <b v="0"/>
    <b v="1"/>
    <x v="1"/>
  </r>
  <r>
    <s v="ORD-0666"/>
    <d v="2026-04-23T00:00:00"/>
    <x v="5"/>
    <n v="4"/>
    <s v="Raka Wijaya"/>
    <x v="3"/>
    <x v="0"/>
    <x v="0"/>
    <s v="P-1003"/>
    <s v="Laptop Stand"/>
    <x v="2"/>
    <n v="8"/>
    <n v="0.15"/>
    <n v="2108000"/>
    <n v="1520000"/>
    <n v="588000"/>
    <s v="Nadia"/>
    <b v="0"/>
    <b v="0"/>
    <b v="0"/>
    <b v="0"/>
    <b v="0"/>
    <x v="0"/>
  </r>
  <r>
    <s v="ORD-0667"/>
    <d v="2026-01-11T00:00:00"/>
    <x v="4"/>
    <n v="1"/>
    <s v="CV Maju Bersama"/>
    <x v="2"/>
    <x v="1"/>
    <x v="0"/>
    <s v="P-6001"/>
    <s v="Storage Box"/>
    <x v="4"/>
    <n v="7"/>
    <n v="0.15"/>
    <n v="743750"/>
    <n v="490000"/>
    <n v="253750"/>
    <s v="Fajar"/>
    <b v="0"/>
    <b v="0"/>
    <b v="0"/>
    <b v="0"/>
    <b v="0"/>
    <x v="0"/>
  </r>
  <r>
    <s v="ORD-0668"/>
    <d v="2026-04-27T00:00:00"/>
    <x v="5"/>
    <n v="4"/>
    <s v="Raka Wijaya"/>
    <x v="3"/>
    <x v="1"/>
    <x v="0"/>
    <s v="P-3002"/>
    <s v="Marker Set"/>
    <x v="3"/>
    <n v="1"/>
    <n v="0.03"/>
    <n v="82450"/>
    <n v="43000"/>
    <n v="39450"/>
    <s v="Alya"/>
    <b v="0"/>
    <b v="0"/>
    <b v="0"/>
    <b v="0"/>
    <b v="0"/>
    <x v="0"/>
  </r>
  <r>
    <s v="ORD-0669"/>
    <d v="2026-02-18T00:00:00"/>
    <x v="2"/>
    <n v="2"/>
    <s v="Sari Lestari"/>
    <x v="4"/>
    <x v="3"/>
    <x v="0"/>
    <s v="P-2001"/>
    <s v="Office Chair"/>
    <x v="1"/>
    <n v="5"/>
    <n v="0.08"/>
    <n v="6670000"/>
    <n v="4900000"/>
    <n v="1770000"/>
    <s v="Citra"/>
    <b v="0"/>
    <b v="0"/>
    <b v="0"/>
    <b v="0"/>
    <b v="0"/>
    <x v="0"/>
  </r>
  <r>
    <s v="ORD-0670"/>
    <d v="2026-04-19T00:00:00"/>
    <x v="5"/>
    <n v="4"/>
    <s v="Sari Lestari"/>
    <x v="2"/>
    <x v="0"/>
    <x v="3"/>
    <s v="P-1001"/>
    <s v="USB-C Hub"/>
    <x v="0"/>
    <n v="5"/>
    <n v="0.1"/>
    <m/>
    <n v="1050000"/>
    <n v="-262500"/>
    <s v="Fajar"/>
    <b v="0"/>
    <b v="0"/>
    <b v="0"/>
    <b v="1"/>
    <b v="1"/>
    <x v="2"/>
  </r>
  <r>
    <s v="ORD-0671"/>
    <d v="2026-01-24T00:00:00"/>
    <x v="4"/>
    <n v="1"/>
    <s v="Raka Wijaya"/>
    <x v="2"/>
    <x v="0"/>
    <x v="0"/>
    <s v="P-4001"/>
    <s v="Keyboard"/>
    <x v="0"/>
    <n v="2"/>
    <n v="0.03"/>
    <n v="921500"/>
    <n v="570000"/>
    <n v="351500"/>
    <s v="Nadia"/>
    <b v="0"/>
    <b v="0"/>
    <b v="0"/>
    <b v="0"/>
    <b v="0"/>
    <x v="0"/>
  </r>
  <r>
    <s v="ORD-0672"/>
    <d v="2026-03-24T00:00:00"/>
    <x v="3"/>
    <n v="3"/>
    <s v="Sari Lestari"/>
    <x v="2"/>
    <x v="0"/>
    <x v="0"/>
    <s v="P-2002"/>
    <s v="Desk Lamp"/>
    <x v="1"/>
    <n v="8"/>
    <n v="0"/>
    <n v="2200000"/>
    <n v="1240000"/>
    <n v="960000"/>
    <s v="Bima"/>
    <b v="0"/>
    <b v="0"/>
    <b v="0"/>
    <b v="0"/>
    <b v="0"/>
    <x v="0"/>
  </r>
  <r>
    <s v="ORD-0673"/>
    <d v="2026-03-06T00:00:00"/>
    <x v="3"/>
    <n v="3"/>
    <s v="CV Maju Bersama"/>
    <x v="0"/>
    <x v="1"/>
    <x v="0"/>
    <s v="P-1002"/>
    <s v="Wireless Mouse"/>
    <x v="2"/>
    <n v="6"/>
    <n v="0.15"/>
    <n v="1249500"/>
    <n v="870000"/>
    <n v="379500"/>
    <s v="Bima"/>
    <b v="0"/>
    <b v="0"/>
    <b v="0"/>
    <b v="0"/>
    <b v="0"/>
    <x v="0"/>
  </r>
  <r>
    <s v="ORD-0674"/>
    <d v="2026-06-30T00:00:00"/>
    <x v="0"/>
    <n v="6"/>
    <s v="Alya Putri"/>
    <x v="2"/>
    <x v="2"/>
    <x v="0"/>
    <s v="P-5001"/>
    <s v="Monitor 24 inch"/>
    <x v="0"/>
    <n v="8"/>
    <n v="0.15"/>
    <n v="12580000"/>
    <n v="10560000"/>
    <n v="2020000"/>
    <s v="Nadia"/>
    <b v="0"/>
    <b v="0"/>
    <b v="0"/>
    <b v="0"/>
    <b v="0"/>
    <x v="0"/>
  </r>
  <r>
    <s v="ORD-0675"/>
    <d v="2026-05-21T00:00:00"/>
    <x v="1"/>
    <n v="5"/>
    <s v="Alya Putri"/>
    <x v="4"/>
    <x v="0"/>
    <x v="0"/>
    <s v="P-3001"/>
    <s v="Notebook Pack"/>
    <x v="3"/>
    <n v="7"/>
    <n v="0"/>
    <n v="455000"/>
    <n v="217000"/>
    <n v="238000"/>
    <s v="Citra"/>
    <b v="0"/>
    <b v="0"/>
    <b v="0"/>
    <b v="0"/>
    <b v="0"/>
    <x v="0"/>
  </r>
  <r>
    <s v="ORD-0676"/>
    <d v="2026-02-15T00:00:00"/>
    <x v="2"/>
    <n v="2"/>
    <s v="Alya Putri"/>
    <x v="3"/>
    <x v="3"/>
    <x v="0"/>
    <s v="P-1003"/>
    <s v="Laptop Stand"/>
    <x v="2"/>
    <n v="1"/>
    <n v="0.08"/>
    <n v="285200"/>
    <n v="190000"/>
    <n v="95200"/>
    <s v="Bima"/>
    <b v="0"/>
    <b v="0"/>
    <b v="0"/>
    <b v="0"/>
    <b v="0"/>
    <x v="0"/>
  </r>
  <r>
    <s v="ORD-0677"/>
    <d v="2026-02-03T00:00:00"/>
    <x v="2"/>
    <n v="2"/>
    <s v="Sari Lestari"/>
    <x v="4"/>
    <x v="1"/>
    <x v="0"/>
    <s v="P-6001"/>
    <s v="Storage Box"/>
    <x v="4"/>
    <n v="4"/>
    <n v="0"/>
    <n v="500000"/>
    <n v="280000"/>
    <n v="220000"/>
    <s v="Fajar"/>
    <b v="0"/>
    <b v="0"/>
    <b v="0"/>
    <b v="0"/>
    <b v="0"/>
    <x v="0"/>
  </r>
  <r>
    <s v="ORD-0678"/>
    <d v="2026-05-08T00:00:00"/>
    <x v="1"/>
    <n v="5"/>
    <s v="Sari Lestari"/>
    <x v="0"/>
    <x v="0"/>
    <x v="2"/>
    <s v="P-3002"/>
    <s v="Marker Set"/>
    <x v="3"/>
    <n v="1"/>
    <n v="0.1"/>
    <n v="76500"/>
    <n v="43000"/>
    <n v="33500"/>
    <s v="Fajar"/>
    <b v="0"/>
    <b v="0"/>
    <b v="0"/>
    <b v="0"/>
    <b v="0"/>
    <x v="0"/>
  </r>
  <r>
    <s v="ORD-0679"/>
    <d v="2026-04-15T00:00:00"/>
    <x v="5"/>
    <n v="4"/>
    <s v="Citra Dewi"/>
    <x v="1"/>
    <x v="0"/>
    <x v="0"/>
    <s v="P-2001"/>
    <s v="Office Chair"/>
    <x v="1"/>
    <n v="8"/>
    <n v="0"/>
    <n v="11600000"/>
    <n v="7840000"/>
    <n v="3760000"/>
    <s v="Dimas"/>
    <b v="0"/>
    <b v="0"/>
    <b v="0"/>
    <b v="0"/>
    <b v="0"/>
    <x v="0"/>
  </r>
  <r>
    <s v="ORD-0680"/>
    <d v="2026-01-13T00:00:00"/>
    <x v="4"/>
    <n v="1"/>
    <s v="Alya Putri"/>
    <x v="4"/>
    <x v="1"/>
    <x v="0"/>
    <s v="P-1001"/>
    <s v="USB-C Hub"/>
    <x v="0"/>
    <n v="3"/>
    <n v="0.03"/>
    <n v="1018500"/>
    <n v="630000"/>
    <n v="388500"/>
    <s v="Alya"/>
    <b v="0"/>
    <b v="0"/>
    <b v="0"/>
    <b v="0"/>
    <b v="0"/>
    <x v="0"/>
  </r>
  <r>
    <s v="ORD-0681"/>
    <d v="2026-06-20T00:00:00"/>
    <x v="0"/>
    <n v="6"/>
    <s v="Alya Putri"/>
    <x v="1"/>
    <x v="2"/>
    <x v="3"/>
    <s v="P-4001"/>
    <s v="Keyboard"/>
    <x v="0"/>
    <n v="5"/>
    <n v="0.05"/>
    <n v="0"/>
    <n v="1425000"/>
    <n v="-1425000"/>
    <s v="Citra"/>
    <b v="0"/>
    <b v="0"/>
    <b v="0"/>
    <b v="0"/>
    <b v="1"/>
    <x v="1"/>
  </r>
  <r>
    <s v="ORD-0682"/>
    <d v="2026-06-22T00:00:00"/>
    <x v="0"/>
    <n v="6"/>
    <s v="Sari Lestari"/>
    <x v="2"/>
    <x v="0"/>
    <x v="0"/>
    <s v="P-2002"/>
    <s v="Desk Lamp"/>
    <x v="1"/>
    <n v="5"/>
    <n v="0.1"/>
    <n v="1237500"/>
    <n v="775000"/>
    <n v="462500"/>
    <s v="Sari"/>
    <b v="0"/>
    <b v="0"/>
    <b v="0"/>
    <b v="0"/>
    <b v="0"/>
    <x v="0"/>
  </r>
  <r>
    <s v="ORD-0683"/>
    <d v="2026-01-10T00:00:00"/>
    <x v="4"/>
    <n v="1"/>
    <s v="Raka Wijaya"/>
    <x v="3"/>
    <x v="1"/>
    <x v="0"/>
    <s v="P-1002"/>
    <s v="Wireless Mouse"/>
    <x v="2"/>
    <n v="2"/>
    <n v="0.05"/>
    <n v="465500"/>
    <n v="290000"/>
    <n v="175500"/>
    <s v="Bima"/>
    <b v="0"/>
    <b v="0"/>
    <b v="0"/>
    <b v="0"/>
    <b v="0"/>
    <x v="0"/>
  </r>
  <r>
    <s v="ORD-0684"/>
    <d v="2026-03-16T00:00:00"/>
    <x v="3"/>
    <n v="3"/>
    <s v="Raka Wijaya"/>
    <x v="4"/>
    <x v="3"/>
    <x v="0"/>
    <s v="P-5001"/>
    <s v="Monitor 24 inch"/>
    <x v="0"/>
    <n v="8"/>
    <n v="0.03"/>
    <n v="14356000"/>
    <n v="10560000"/>
    <n v="3796000"/>
    <s v="Dimas"/>
    <b v="0"/>
    <b v="0"/>
    <b v="0"/>
    <b v="0"/>
    <b v="0"/>
    <x v="0"/>
  </r>
  <r>
    <s v="ORD-0685"/>
    <d v="2026-06-28T00:00:00"/>
    <x v="0"/>
    <n v="6"/>
    <s v="Sari Lestari"/>
    <x v="2"/>
    <x v="1"/>
    <x v="0"/>
    <s v="P-3001"/>
    <s v="Notebook Pack"/>
    <x v="3"/>
    <n v="4"/>
    <n v="0.1"/>
    <n v="234000"/>
    <n v="124000"/>
    <n v="110000"/>
    <s v="Raka"/>
    <b v="0"/>
    <b v="0"/>
    <b v="0"/>
    <b v="0"/>
    <b v="0"/>
    <x v="0"/>
  </r>
  <r>
    <s v="ORD-0686"/>
    <d v="2026-04-20T00:00:00"/>
    <x v="5"/>
    <n v="4"/>
    <s v="Alya Putri"/>
    <x v="2"/>
    <x v="3"/>
    <x v="0"/>
    <s v="P-1003"/>
    <s v="Laptop Stand"/>
    <x v="2"/>
    <n v="6"/>
    <n v="0.05"/>
    <n v="1767000"/>
    <n v="1140000"/>
    <n v="627000"/>
    <s v="Fajar"/>
    <b v="0"/>
    <b v="0"/>
    <b v="0"/>
    <b v="0"/>
    <b v="0"/>
    <x v="0"/>
  </r>
  <r>
    <s v="ORD-0687"/>
    <d v="2026-05-14T00:00:00"/>
    <x v="1"/>
    <n v="5"/>
    <s v="Citra Dewi"/>
    <x v="2"/>
    <x v="0"/>
    <x v="2"/>
    <s v="P-6001"/>
    <s v="Storage Box"/>
    <x v="4"/>
    <n v="8"/>
    <n v="0.08"/>
    <n v="920000"/>
    <n v="560000"/>
    <n v="360000"/>
    <s v="Dimas"/>
    <b v="0"/>
    <b v="0"/>
    <b v="0"/>
    <b v="0"/>
    <b v="0"/>
    <x v="0"/>
  </r>
  <r>
    <s v="ORD-0688"/>
    <d v="2026-01-01T00:00:00"/>
    <x v="4"/>
    <n v="1"/>
    <s v="Raka Wijaya"/>
    <x v="1"/>
    <x v="0"/>
    <x v="0"/>
    <s v="P-3002"/>
    <s v="Marker Set"/>
    <x v="3"/>
    <n v="2"/>
    <n v="0"/>
    <n v="170000"/>
    <n v="86000"/>
    <n v="84000"/>
    <s v="Nadia"/>
    <b v="0"/>
    <b v="0"/>
    <b v="0"/>
    <b v="0"/>
    <b v="0"/>
    <x v="0"/>
  </r>
  <r>
    <s v="ORD-0689"/>
    <d v="2026-01-12T00:00:00"/>
    <x v="4"/>
    <n v="1"/>
    <s v="Bima Santoso"/>
    <x v="0"/>
    <x v="1"/>
    <x v="0"/>
    <s v="P-2001"/>
    <s v="Office Chair"/>
    <x v="1"/>
    <n v="6"/>
    <n v="0.05"/>
    <n v="8265000"/>
    <n v="5880000"/>
    <n v="2385000"/>
    <s v="Raka"/>
    <b v="0"/>
    <b v="0"/>
    <b v="0"/>
    <b v="0"/>
    <b v="0"/>
    <x v="0"/>
  </r>
  <r>
    <s v="ORD-0690"/>
    <d v="2026-03-07T00:00:00"/>
    <x v="3"/>
    <n v="3"/>
    <s v="PT Sinar Jaya"/>
    <x v="2"/>
    <x v="3"/>
    <x v="0"/>
    <s v="P-1001"/>
    <s v="USB-C Hub"/>
    <x v="0"/>
    <n v="2"/>
    <n v="0.05"/>
    <n v="665000"/>
    <n v="420000"/>
    <n v="245000"/>
    <s v="Bima"/>
    <b v="0"/>
    <b v="0"/>
    <b v="0"/>
    <b v="0"/>
    <b v="0"/>
    <x v="0"/>
  </r>
  <r>
    <s v="ORD-0691"/>
    <d v="2026-06-25T00:00:00"/>
    <x v="0"/>
    <n v="6"/>
    <s v="Alya Putri"/>
    <x v="2"/>
    <x v="1"/>
    <x v="0"/>
    <s v="P-4001"/>
    <s v="Keyboard"/>
    <x v="0"/>
    <n v="6"/>
    <n v="0.05"/>
    <n v="2707500"/>
    <n v="1710000"/>
    <n v="997500"/>
    <s v="Dimas"/>
    <b v="0"/>
    <b v="0"/>
    <b v="0"/>
    <b v="0"/>
    <b v="0"/>
    <x v="0"/>
  </r>
  <r>
    <s v="ORD-0692"/>
    <d v="2026-03-26T00:00:00"/>
    <x v="3"/>
    <n v="3"/>
    <s v="Alya Putri"/>
    <x v="3"/>
    <x v="1"/>
    <x v="0"/>
    <s v="P-2002"/>
    <s v="Desk Lamp"/>
    <x v="1"/>
    <n v="6"/>
    <n v="0.15"/>
    <n v="1402500"/>
    <n v="930000"/>
    <n v="472500"/>
    <s v="Fajar"/>
    <b v="0"/>
    <b v="0"/>
    <b v="0"/>
    <b v="0"/>
    <b v="0"/>
    <x v="0"/>
  </r>
  <r>
    <s v="ORD-0693"/>
    <d v="2026-02-09T00:00:00"/>
    <x v="2"/>
    <n v="2"/>
    <s v="Citra Dewi"/>
    <x v="3"/>
    <x v="1"/>
    <x v="3"/>
    <s v="P-1002"/>
    <s v="Wireless Mouse"/>
    <x v="2"/>
    <n v="8"/>
    <n v="0.1"/>
    <n v="441000"/>
    <n v="1160000"/>
    <n v="-719000"/>
    <s v="Sari"/>
    <b v="0"/>
    <b v="0"/>
    <b v="0"/>
    <b v="0"/>
    <b v="1"/>
    <x v="1"/>
  </r>
  <r>
    <s v="ORD-0694"/>
    <d v="2026-05-23T00:00:00"/>
    <x v="1"/>
    <n v="5"/>
    <s v="CV Maju Bersama"/>
    <x v="4"/>
    <x v="3"/>
    <x v="0"/>
    <s v="P-5001"/>
    <s v="Monitor 24 inch"/>
    <x v="0"/>
    <n v="1"/>
    <n v="0.03"/>
    <n v="1794500"/>
    <n v="1320000"/>
    <n v="474500"/>
    <s v="Citra"/>
    <b v="0"/>
    <b v="0"/>
    <b v="0"/>
    <b v="0"/>
    <b v="0"/>
    <x v="0"/>
  </r>
  <r>
    <s v="ORD-0695"/>
    <d v="2026-03-13T00:00:00"/>
    <x v="3"/>
    <n v="3"/>
    <s v="Raka Wijaya"/>
    <x v="2"/>
    <x v="0"/>
    <x v="1"/>
    <s v="P-3001"/>
    <s v="Notebook Pack"/>
    <x v="3"/>
    <n v="1"/>
    <n v="0.05"/>
    <n v="30875"/>
    <n v="31000"/>
    <n v="-125"/>
    <s v="Citra"/>
    <b v="0"/>
    <b v="0"/>
    <b v="0"/>
    <b v="0"/>
    <b v="1"/>
    <x v="1"/>
  </r>
  <r>
    <s v="ORD-0696"/>
    <d v="2026-06-02T00:00:00"/>
    <x v="0"/>
    <n v="6"/>
    <s v="Citra Dewi"/>
    <x v="4"/>
    <x v="1"/>
    <x v="0"/>
    <s v="P-1003"/>
    <s v="Laptop Stand"/>
    <x v="2"/>
    <n v="2"/>
    <n v="0.05"/>
    <n v="589000"/>
    <n v="380000"/>
    <n v="209000"/>
    <s v="Nadia"/>
    <b v="0"/>
    <b v="0"/>
    <b v="0"/>
    <b v="0"/>
    <b v="0"/>
    <x v="0"/>
  </r>
  <r>
    <s v="ORD-0697"/>
    <d v="2026-01-23T00:00:00"/>
    <x v="4"/>
    <n v="1"/>
    <s v="Citra Dewi"/>
    <x v="4"/>
    <x v="0"/>
    <x v="0"/>
    <s v="P-6001"/>
    <s v="Storage Box"/>
    <x v="4"/>
    <n v="8"/>
    <n v="0.03"/>
    <n v="970000"/>
    <n v="560000"/>
    <n v="410000"/>
    <s v="Citra"/>
    <b v="0"/>
    <b v="0"/>
    <b v="0"/>
    <b v="0"/>
    <b v="0"/>
    <x v="0"/>
  </r>
  <r>
    <s v="ORD-0698"/>
    <d v="2026-01-29T00:00:00"/>
    <x v="4"/>
    <n v="1"/>
    <s v="PT Sinar Jaya"/>
    <x v="1"/>
    <x v="2"/>
    <x v="0"/>
    <s v="P-3002"/>
    <s v="Marker Set"/>
    <x v="3"/>
    <n v="6"/>
    <n v="0"/>
    <n v="510000"/>
    <n v="258000"/>
    <n v="252000"/>
    <s v="Fajar"/>
    <b v="0"/>
    <b v="0"/>
    <b v="0"/>
    <b v="0"/>
    <b v="0"/>
    <x v="0"/>
  </r>
  <r>
    <s v="ORD-0699"/>
    <d v="2026-05-09T00:00:00"/>
    <x v="1"/>
    <n v="5"/>
    <s v="Dimas Pratama"/>
    <x v="3"/>
    <x v="3"/>
    <x v="0"/>
    <s v="P-2001"/>
    <s v="Office Chair"/>
    <x v="1"/>
    <n v="3"/>
    <n v="0.03"/>
    <n v="4219500"/>
    <n v="2940000"/>
    <n v="1279500"/>
    <s v="Citra"/>
    <b v="0"/>
    <b v="0"/>
    <b v="0"/>
    <b v="0"/>
    <b v="0"/>
    <x v="0"/>
  </r>
  <r>
    <s v="ORD-0700"/>
    <d v="2026-01-26T00:00:00"/>
    <x v="4"/>
    <n v="1"/>
    <s v="CV Maju Bersama"/>
    <x v="3"/>
    <x v="2"/>
    <x v="0"/>
    <s v="P-1001"/>
    <s v="USB-C Hub"/>
    <x v="0"/>
    <n v="3"/>
    <n v="0.03"/>
    <n v="1018500"/>
    <n v="630000"/>
    <n v="388500"/>
    <s v="Alya"/>
    <b v="0"/>
    <b v="0"/>
    <b v="0"/>
    <b v="0"/>
    <b v="0"/>
    <x v="0"/>
  </r>
  <r>
    <s v="ORD-0701"/>
    <d v="2026-03-21T00:00:00"/>
    <x v="3"/>
    <n v="3"/>
    <s v="Sari Lestari"/>
    <x v="1"/>
    <x v="3"/>
    <x v="2"/>
    <s v="P-4001"/>
    <s v="Keyboard"/>
    <x v="0"/>
    <n v="1"/>
    <n v="0.15"/>
    <n v="403750"/>
    <n v="285000"/>
    <n v="118750"/>
    <s v="Alya"/>
    <b v="0"/>
    <b v="0"/>
    <b v="0"/>
    <b v="0"/>
    <b v="0"/>
    <x v="0"/>
  </r>
  <r>
    <s v="ORD-0702"/>
    <d v="2026-01-27T00:00:00"/>
    <x v="4"/>
    <n v="1"/>
    <s v="Dimas Pratama"/>
    <x v="4"/>
    <x v="0"/>
    <x v="0"/>
    <s v="P-2002"/>
    <s v="Desk Lamp"/>
    <x v="1"/>
    <n v="5"/>
    <n v="0"/>
    <n v="1375000"/>
    <n v="775000"/>
    <n v="600000"/>
    <s v="Dimas"/>
    <b v="0"/>
    <b v="0"/>
    <b v="0"/>
    <b v="0"/>
    <b v="0"/>
    <x v="0"/>
  </r>
  <r>
    <s v="ORD-0703"/>
    <d v="2026-02-19T00:00:00"/>
    <x v="2"/>
    <n v="2"/>
    <s v="Citra Dewi"/>
    <x v="3"/>
    <x v="1"/>
    <x v="0"/>
    <s v="P-1002"/>
    <s v="Wireless Mouse"/>
    <x v="2"/>
    <n v="5"/>
    <n v="0.05"/>
    <n v="1163750"/>
    <n v="725000"/>
    <n v="438750"/>
    <s v="Citra"/>
    <b v="0"/>
    <b v="0"/>
    <b v="0"/>
    <b v="0"/>
    <b v="0"/>
    <x v="0"/>
  </r>
  <r>
    <s v="ORD-0704"/>
    <d v="2026-02-10T00:00:00"/>
    <x v="2"/>
    <n v="2"/>
    <s v="Bima Santoso"/>
    <x v="2"/>
    <x v="1"/>
    <x v="0"/>
    <s v="P-5001"/>
    <s v="Monitor 24 inch"/>
    <x v="0"/>
    <n v="5"/>
    <n v="0"/>
    <n v="9250000"/>
    <n v="6600000"/>
    <n v="2650000"/>
    <s v="Sari"/>
    <b v="0"/>
    <b v="0"/>
    <b v="0"/>
    <b v="0"/>
    <b v="0"/>
    <x v="0"/>
  </r>
  <r>
    <s v="ORD-0705"/>
    <d v="2026-05-21T00:00:00"/>
    <x v="1"/>
    <n v="5"/>
    <s v="Alya Putri"/>
    <x v="4"/>
    <x v="0"/>
    <x v="0"/>
    <s v="P-3001"/>
    <s v="Notebook Pack"/>
    <x v="3"/>
    <n v="6"/>
    <n v="0.05"/>
    <n v="370500"/>
    <n v="186000"/>
    <n v="184500"/>
    <s v="Bima"/>
    <b v="0"/>
    <b v="0"/>
    <b v="0"/>
    <b v="0"/>
    <b v="0"/>
    <x v="0"/>
  </r>
  <r>
    <s v="ORD-0706"/>
    <d v="2026-03-21T00:00:00"/>
    <x v="3"/>
    <n v="3"/>
    <s v="Sari Lestari"/>
    <x v="0"/>
    <x v="1"/>
    <x v="0"/>
    <s v="P-1003"/>
    <s v="Laptop Stand"/>
    <x v="2"/>
    <n v="6"/>
    <n v="0.1"/>
    <n v="1674000"/>
    <n v="1140000"/>
    <n v="534000"/>
    <s v="Alya"/>
    <b v="0"/>
    <b v="0"/>
    <b v="0"/>
    <b v="0"/>
    <b v="0"/>
    <x v="0"/>
  </r>
  <r>
    <s v="ORD-0707"/>
    <d v="2026-01-28T00:00:00"/>
    <x v="4"/>
    <n v="1"/>
    <s v="Sari Lestari"/>
    <x v="3"/>
    <x v="0"/>
    <x v="0"/>
    <s v="P-6001"/>
    <s v="Storage Box"/>
    <x v="4"/>
    <n v="7"/>
    <n v="0"/>
    <n v="875000"/>
    <n v="490000"/>
    <n v="385000"/>
    <s v="Sari"/>
    <b v="0"/>
    <b v="0"/>
    <b v="0"/>
    <b v="0"/>
    <b v="0"/>
    <x v="0"/>
  </r>
  <r>
    <s v="ORD-0708"/>
    <d v="1990-01-01T00:00:00"/>
    <x v="4"/>
    <n v="1"/>
    <s v="Sari Lestari"/>
    <x v="2"/>
    <x v="1"/>
    <x v="0"/>
    <s v="P-3002"/>
    <s v="Marker Set"/>
    <x v="3"/>
    <n v="6"/>
    <n v="0.03"/>
    <n v="494700"/>
    <n v="258000"/>
    <n v="236700"/>
    <s v="Citra"/>
    <b v="0"/>
    <b v="0"/>
    <b v="0"/>
    <b v="0"/>
    <b v="0"/>
    <x v="0"/>
  </r>
  <r>
    <s v="ORD-0709"/>
    <d v="2026-01-24T00:00:00"/>
    <x v="4"/>
    <n v="1"/>
    <s v="Bima Santoso"/>
    <x v="3"/>
    <x v="2"/>
    <x v="0"/>
    <s v="P-2001"/>
    <s v="Office Chair"/>
    <x v="1"/>
    <n v="8"/>
    <n v="0"/>
    <n v="11600000"/>
    <n v="7840000"/>
    <n v="3760000"/>
    <s v="Dimas"/>
    <b v="0"/>
    <b v="0"/>
    <b v="0"/>
    <b v="0"/>
    <b v="0"/>
    <x v="0"/>
  </r>
  <r>
    <s v="ORD-0710"/>
    <d v="2026-02-06T00:00:00"/>
    <x v="2"/>
    <n v="2"/>
    <s v="Sari Lestari"/>
    <x v="4"/>
    <x v="3"/>
    <x v="0"/>
    <s v="P-1001"/>
    <s v="USB-C Hub"/>
    <x v="0"/>
    <n v="5"/>
    <n v="0.05"/>
    <n v="1662500"/>
    <n v="1050000"/>
    <n v="612500"/>
    <s v="Fajar"/>
    <b v="0"/>
    <b v="0"/>
    <b v="0"/>
    <b v="0"/>
    <b v="0"/>
    <x v="0"/>
  </r>
  <r>
    <s v="ORD-0711"/>
    <d v="2026-01-08T00:00:00"/>
    <x v="4"/>
    <n v="1"/>
    <s v="Alya Putri"/>
    <x v="3"/>
    <x v="2"/>
    <x v="0"/>
    <s v="P-4001"/>
    <s v="Keyboard"/>
    <x v="0"/>
    <n v="2"/>
    <n v="0.08"/>
    <n v="874000"/>
    <n v="570000"/>
    <n v="304000"/>
    <s v="Raka"/>
    <b v="0"/>
    <b v="0"/>
    <b v="0"/>
    <b v="0"/>
    <b v="0"/>
    <x v="0"/>
  </r>
  <r>
    <s v="ORD-0712"/>
    <d v="2026-03-31T00:00:00"/>
    <x v="3"/>
    <n v="3"/>
    <s v="CV Maju Bersama"/>
    <x v="1"/>
    <x v="3"/>
    <x v="0"/>
    <s v="P-2002"/>
    <s v="Desk Lamp"/>
    <x v="1"/>
    <m/>
    <n v="0.1"/>
    <n v="742500"/>
    <n v="465000"/>
    <n v="277500"/>
    <s v="Raka"/>
    <b v="0"/>
    <b v="1"/>
    <b v="0"/>
    <b v="0"/>
    <b v="0"/>
    <x v="4"/>
  </r>
  <r>
    <s v="ORD-0713"/>
    <d v="2026-05-17T00:00:00"/>
    <x v="1"/>
    <n v="5"/>
    <s v="Alya Putri"/>
    <x v="0"/>
    <x v="0"/>
    <x v="0"/>
    <s v="P-1002"/>
    <s v="Wireless Mouse"/>
    <x v="2"/>
    <n v="8"/>
    <n v="0.08"/>
    <n v="1803200"/>
    <n v="1160000"/>
    <n v="643200"/>
    <s v="Fajar"/>
    <b v="0"/>
    <b v="0"/>
    <b v="0"/>
    <b v="0"/>
    <b v="0"/>
    <x v="0"/>
  </r>
  <r>
    <s v="ORD-0714"/>
    <d v="2026-04-09T00:00:00"/>
    <x v="5"/>
    <n v="4"/>
    <s v="Raka Wijaya"/>
    <x v="2"/>
    <x v="2"/>
    <x v="0"/>
    <s v="P-5001"/>
    <s v="Monitor 24 inch"/>
    <x v="0"/>
    <n v="2"/>
    <n v="0.05"/>
    <n v="3515000"/>
    <n v="2640000"/>
    <n v="875000"/>
    <s v="Sari"/>
    <b v="0"/>
    <b v="0"/>
    <b v="0"/>
    <b v="0"/>
    <b v="0"/>
    <x v="0"/>
  </r>
  <r>
    <s v="ORD-0715"/>
    <d v="2026-05-20T00:00:00"/>
    <x v="1"/>
    <n v="5"/>
    <s v="CV Maju Bersama"/>
    <x v="1"/>
    <x v="2"/>
    <x v="0"/>
    <s v="P-3001"/>
    <s v="Notebook Pack"/>
    <x v="3"/>
    <n v="4"/>
    <n v="0.03"/>
    <n v="252200"/>
    <n v="124000"/>
    <n v="128200"/>
    <s v="Fajar"/>
    <b v="0"/>
    <b v="0"/>
    <b v="0"/>
    <b v="0"/>
    <b v="0"/>
    <x v="0"/>
  </r>
  <r>
    <s v="ORD-0716"/>
    <d v="2026-03-25T00:00:00"/>
    <x v="3"/>
    <n v="3"/>
    <s v="CV Maju Bersama"/>
    <x v="3"/>
    <x v="1"/>
    <x v="0"/>
    <s v="P-1003"/>
    <s v="Laptop Stand"/>
    <x v="2"/>
    <n v="2"/>
    <n v="0.08"/>
    <n v="570400"/>
    <n v="380000"/>
    <n v="190400"/>
    <s v="Nadia"/>
    <b v="0"/>
    <b v="0"/>
    <b v="0"/>
    <b v="0"/>
    <b v="0"/>
    <x v="0"/>
  </r>
  <r>
    <s v="ORD-0717"/>
    <d v="2026-03-25T00:00:00"/>
    <x v="3"/>
    <n v="3"/>
    <s v="Alya Putri"/>
    <x v="1"/>
    <x v="0"/>
    <x v="0"/>
    <s v="P-6001"/>
    <s v="Storage Box"/>
    <x v="4"/>
    <n v="8"/>
    <n v="0.15"/>
    <n v="850000"/>
    <n v="560000"/>
    <n v="290000"/>
    <s v="Alya"/>
    <b v="0"/>
    <b v="0"/>
    <b v="0"/>
    <b v="0"/>
    <b v="0"/>
    <x v="0"/>
  </r>
  <r>
    <s v="ORD-0718"/>
    <d v="2026-02-07T00:00:00"/>
    <x v="2"/>
    <n v="2"/>
    <s v="Bima Santoso"/>
    <x v="3"/>
    <x v="2"/>
    <x v="0"/>
    <s v="P-3002"/>
    <s v="Marker Set"/>
    <x v="3"/>
    <n v="3"/>
    <n v="0.08"/>
    <n v="234600"/>
    <n v="129000"/>
    <n v="105600"/>
    <s v="Dimas"/>
    <b v="0"/>
    <b v="0"/>
    <b v="0"/>
    <b v="0"/>
    <b v="0"/>
    <x v="0"/>
  </r>
  <r>
    <s v="ORD-0719"/>
    <d v="2026-06-24T00:00:00"/>
    <x v="0"/>
    <n v="6"/>
    <s v="Dimas Pratama"/>
    <x v="4"/>
    <x v="2"/>
    <x v="0"/>
    <s v="P-2001"/>
    <s v="Office Chair"/>
    <x v="1"/>
    <n v="6"/>
    <n v="0.05"/>
    <n v="8265000"/>
    <n v="5880000"/>
    <n v="2385000"/>
    <s v="Bima"/>
    <b v="0"/>
    <b v="0"/>
    <b v="0"/>
    <b v="0"/>
    <b v="0"/>
    <x v="0"/>
  </r>
  <r>
    <s v="ORD-0720"/>
    <d v="2026-05-30T00:00:00"/>
    <x v="1"/>
    <n v="5"/>
    <s v="PT Sinar Jaya"/>
    <x v="0"/>
    <x v="3"/>
    <x v="1"/>
    <s v="P-1001"/>
    <s v="USB-C Hub"/>
    <x v="0"/>
    <n v="1"/>
    <n v="0.1"/>
    <n v="78750"/>
    <n v="210000"/>
    <n v="-131250"/>
    <s v="Sari"/>
    <b v="0"/>
    <b v="0"/>
    <b v="0"/>
    <b v="0"/>
    <b v="1"/>
    <x v="1"/>
  </r>
  <r>
    <s v="ORD-0025"/>
    <d v="2026-03-13T00:00:00"/>
    <x v="3"/>
    <n v="3"/>
    <s v="Bima Santoso"/>
    <x v="2"/>
    <x v="2"/>
    <x v="0"/>
    <s v="P-3001"/>
    <s v="Notebook Pack"/>
    <x v="3"/>
    <n v="8"/>
    <n v="0.03"/>
    <n v="504400"/>
    <n v="248000"/>
    <n v="256400"/>
    <s v="Fajar"/>
    <b v="1"/>
    <b v="0"/>
    <b v="0"/>
    <b v="0"/>
    <b v="0"/>
    <x v="5"/>
  </r>
  <r>
    <s v="ORD-0144"/>
    <d v="2026-02-03T00:00:00"/>
    <x v="2"/>
    <n v="2"/>
    <s v="PT Sinar Jaya"/>
    <x v="1"/>
    <x v="0"/>
    <x v="0"/>
    <s v="P-5001"/>
    <s v="Monitor 24 inch"/>
    <x v="0"/>
    <n v="5"/>
    <n v="0.03"/>
    <n v="8972500"/>
    <n v="6600000"/>
    <n v="2372500"/>
    <s v="Sari"/>
    <b v="1"/>
    <b v="0"/>
    <b v="0"/>
    <b v="0"/>
    <b v="0"/>
    <x v="5"/>
  </r>
  <r>
    <s v="ORD-0288"/>
    <d v="2026-05-08T00:00:00"/>
    <x v="1"/>
    <n v="5"/>
    <s v="Sari Lestari"/>
    <x v="3"/>
    <x v="2"/>
    <x v="0"/>
    <s v="P-3002"/>
    <s v="Marker Set"/>
    <x v="3"/>
    <n v="6"/>
    <n v="0.05"/>
    <n v="484500"/>
    <n v="258000"/>
    <n v="226500"/>
    <s v="Citra"/>
    <b v="1"/>
    <b v="0"/>
    <b v="0"/>
    <b v="0"/>
    <b v="0"/>
    <x v="5"/>
  </r>
  <r>
    <s v="ORD-0455"/>
    <d v="2026-02-05T00:00:00"/>
    <x v="2"/>
    <n v="2"/>
    <s v="Alya Putri"/>
    <x v="2"/>
    <x v="2"/>
    <x v="0"/>
    <s v="P-3001"/>
    <s v="Notebook Pack"/>
    <x v="3"/>
    <n v="4"/>
    <n v="0.05"/>
    <n v="247000"/>
    <n v="124000"/>
    <n v="123000"/>
    <s v="Sari"/>
    <b v="1"/>
    <b v="0"/>
    <b v="0"/>
    <b v="0"/>
    <b v="0"/>
    <x v="5"/>
  </r>
  <r>
    <s v="ORD-0612"/>
    <d v="2026-03-12T00:00:00"/>
    <x v="3"/>
    <n v="3"/>
    <s v="Sari Lestari"/>
    <x v="1"/>
    <x v="1"/>
    <x v="2"/>
    <s v="P-2002"/>
    <s v="Desk Lamp"/>
    <x v="1"/>
    <n v="2"/>
    <n v="0.08"/>
    <n v="506000"/>
    <n v="310000"/>
    <n v="196000"/>
    <s v="Citra"/>
    <b v="1"/>
    <b v="0"/>
    <b v="0"/>
    <b v="0"/>
    <b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0EE79-3747-4C6D-B52D-20D63D77DE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5:B11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showAll="0"/>
    <pivotField showAll="0">
      <items count="9">
        <item m="1" x="7"/>
        <item m="1" x="6"/>
        <item m="1" x="5"/>
        <item m="1" x="4"/>
        <item x="2"/>
        <item x="3"/>
        <item x="1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numFmtId="9" showAll="0"/>
    <pivotField dataField="1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h="1" x="4"/>
        <item h="1" x="2"/>
        <item x="0"/>
        <item h="1" x="5"/>
        <item h="1"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2" hier="-1"/>
  </pageFields>
  <dataFields count="1">
    <dataField name="Sum of Revenue" fld="13" baseField="0" baseItem="0"/>
  </dataFields>
  <formats count="3">
    <format dxfId="22">
      <pivotArea collapsedLevelsAreSubtotals="1" fieldPosition="0">
        <references count="1">
          <reference field="10" count="1">
            <x v="0"/>
          </reference>
        </references>
      </pivotArea>
    </format>
    <format dxfId="21">
      <pivotArea collapsedLevelsAreSubtotals="1" fieldPosition="0">
        <references count="1">
          <reference field="10" count="4">
            <x v="1"/>
            <x v="2"/>
            <x v="3"/>
            <x v="4"/>
          </reference>
        </references>
      </pivotArea>
    </format>
    <format dxfId="20">
      <pivotArea grandRow="1" outline="0" collapsedLevelsAreSubtotals="1" fieldPosition="0"/>
    </format>
  </formats>
  <chartFormats count="8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C7D4E-A0E3-4751-8B91-6A18ED6234C7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2:B47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showAll="0"/>
    <pivotField axis="axisRow" showAll="0">
      <items count="9">
        <item m="1" x="7"/>
        <item m="1" x="6"/>
        <item m="1" x="5"/>
        <item m="1" x="4"/>
        <item x="2"/>
        <item x="3"/>
        <item x="1"/>
        <item x="0"/>
        <item t="default"/>
      </items>
    </pivotField>
    <pivotField axis="axisPage" multipleItemSelectionAllowed="1" showAll="0">
      <items count="5">
        <item h="1" x="3"/>
        <item x="0"/>
        <item h="1" x="2"/>
        <item h="1" x="1"/>
        <item t="default"/>
      </items>
    </pivotField>
    <pivotField showAll="0"/>
    <pivotField showAll="0"/>
    <pivotField showAll="0"/>
    <pivotField showAll="0"/>
    <pivotField numFmtId="9" showAll="0"/>
    <pivotField dataField="1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7" hier="-1"/>
  </pageFields>
  <dataFields count="1">
    <dataField name="Sum of Revenue" fld="13" baseField="0" baseItem="0" numFmtId="3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C72F0-BA85-4B3B-9A5D-76A05841219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3:C61" firstHeaderRow="0" firstDataRow="1" firstDataCol="1" rowPageCount="1" colPageCount="1"/>
  <pivotFields count="23">
    <pivotField showAll="0"/>
    <pivotField showAll="0"/>
    <pivotField axis="axisRow" showAll="0">
      <items count="9">
        <item x="4"/>
        <item x="2"/>
        <item x="3"/>
        <item x="5"/>
        <item x="1"/>
        <item x="0"/>
        <item x="7"/>
        <item x="6"/>
        <item t="default"/>
      </items>
    </pivotField>
    <pivotField showAll="0"/>
    <pivotField showAll="0"/>
    <pivotField showAll="0"/>
    <pivotField showAll="0">
      <items count="9">
        <item m="1" x="7"/>
        <item m="1" x="6"/>
        <item m="1" x="5"/>
        <item m="1"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9" showAll="0"/>
    <pivotField dataField="1" showAll="0"/>
    <pivotField numFmtId="3" showAll="0"/>
    <pivotField dataField="1" numFmtId="3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h="1" x="4"/>
        <item h="1" x="2"/>
        <item x="0"/>
        <item h="1" x="5"/>
        <item h="1" x="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Sum of Revenue" fld="13" baseField="0" baseItem="0" numFmtId="3"/>
    <dataField name="Sum of Profit" fld="15" baseField="0" baseItem="0" numFmtId="3"/>
  </dataFields>
  <formats count="1"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BB756-C30C-490A-928D-47AD601D5E3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70:B75" firstHeaderRow="1" firstDataRow="1" firstDataCol="1" rowPageCount="1" colPageCount="1"/>
  <pivotFields count="23">
    <pivotField dataField="1" showAll="0"/>
    <pivotField showAll="0"/>
    <pivotField showAll="0"/>
    <pivotField showAll="0"/>
    <pivotField showAll="0"/>
    <pivotField showAll="0"/>
    <pivotField axis="axisRow" showAll="0">
      <items count="9">
        <item m="1" x="7"/>
        <item m="1" x="6"/>
        <item m="1" x="5"/>
        <item m="1"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h="1" x="4"/>
        <item h="1" x="2"/>
        <item x="0"/>
        <item h="1" x="5"/>
        <item h="1" x="1"/>
        <item t="default"/>
      </items>
    </pivotField>
  </pivotFields>
  <rowFields count="1">
    <field x="6"/>
  </rowFields>
  <rowItems count="5"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2" hier="-1"/>
  </pageFields>
  <dataFields count="1">
    <dataField name="Count of Order ID" fld="0" subtotal="count" baseField="0" baseItem="0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60CBF-DC5D-4C39-B3EB-D0C56BBA995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0:C36" firstHeaderRow="0" firstDataRow="1" firstDataCol="1" rowPageCount="1" colPageCount="1"/>
  <pivotFields count="23"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9">
        <item m="1" x="7"/>
        <item m="1" x="6"/>
        <item m="1" x="5"/>
        <item m="1"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9" showAll="0"/>
    <pivotField dataField="1" showAll="0"/>
    <pivotField numFmtId="3" showAll="0"/>
    <pivotField dataField="1" numFmtId="3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h="1" x="4"/>
        <item h="1" x="2"/>
        <item x="0"/>
        <item h="1" x="5"/>
        <item h="1"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Sum of Revenue" fld="13" baseField="0" baseItem="0" numFmtId="3"/>
    <dataField name="Sum of Profit" fld="15" baseField="0" baseItem="0" numFmtId="3"/>
  </dataFields>
  <formats count="1"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049FD-F667-4C5C-9D2B-B4D9E3A48A2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24" firstHeaderRow="0" firstDataRow="1" firstDataCol="1" rowPageCount="1" colPageCount="1"/>
  <pivotFields count="23">
    <pivotField showAll="0"/>
    <pivotField showAll="0"/>
    <pivotField showAll="0"/>
    <pivotField showAll="0"/>
    <pivotField showAll="0"/>
    <pivotField showAll="0"/>
    <pivotField showAll="0">
      <items count="9">
        <item m="1" x="7"/>
        <item m="1" x="6"/>
        <item m="1" x="5"/>
        <item m="1" x="4"/>
        <item x="2"/>
        <item x="3"/>
        <item x="1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numFmtId="9" showAll="0"/>
    <pivotField dataField="1" showAll="0"/>
    <pivotField numFmtId="3" showAll="0"/>
    <pivotField dataField="1" numFmtId="3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h="1" x="4"/>
        <item h="1" x="2"/>
        <item x="0"/>
        <item h="1" x="5"/>
        <item h="1"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Sum of Profit" fld="15" baseField="0" baseItem="0" numFmtId="3"/>
    <dataField name="Sum of Revenue" fld="13" baseField="0" baseItem="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FBE8CC-7B8B-4371-BDFD-033B4771C5A9}" autoFormatId="16" applyNumberFormats="0" applyBorderFormats="0" applyFontFormats="0" applyPatternFormats="0" applyAlignmentFormats="0" applyWidthHeightFormats="0">
  <queryTableRefresh nextId="25" unboundColumnsRight="6">
    <queryTableFields count="23">
      <queryTableField id="1" name="Order ID" tableColumnId="1"/>
      <queryTableField id="2" name="Order Date" tableColumnId="2"/>
      <queryTableField id="3" name="Month Name" tableColumnId="3"/>
      <queryTableField id="4" name="Month" tableColumnId="4"/>
      <queryTableField id="5" name="Customer Name" tableColumnId="5"/>
      <queryTableField id="6" name="Region" tableColumnId="6"/>
      <queryTableField id="7" dataBound="0" tableColumnId="7"/>
      <queryTableField id="8" name="Order Status" tableColumnId="8"/>
      <queryTableField id="9" name="Product ID" tableColumnId="9"/>
      <queryTableField id="10" name="Product Name" tableColumnId="10"/>
      <queryTableField id="11" name="Category" tableColumnId="11"/>
      <queryTableField id="12" name="Quantity" tableColumnId="12"/>
      <queryTableField id="13" name="Discount Rate" tableColumnId="13"/>
      <queryTableField id="14" name="Revenue" tableColumnId="14"/>
      <queryTableField id="15" name="Cost" tableColumnId="15"/>
      <queryTableField id="16" name="Profit" tableColumnId="16"/>
      <queryTableField id="17" name="Sales Rep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  <queryTableDeletedFields count="1">
      <deletedField name="Channe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C6C94B-9CD3-4741-8AA6-1E7E613E4036}" name="CleanedSalesData" displayName="CleanedSalesData" ref="A5:W730" tableType="queryTable" totalsRowShown="0">
  <autoFilter ref="A5:W730" xr:uid="{0DC6C94B-9CD3-4741-8AA6-1E7E613E4036}"/>
  <tableColumns count="23">
    <tableColumn id="1" xr3:uid="{1FCE7CC4-A72A-4C74-B4D2-34759F1C7446}" uniqueName="1" name="Order ID" queryTableFieldId="1" dataDxfId="19"/>
    <tableColumn id="2" xr3:uid="{BCEAAA4C-0B93-4EB6-A757-E381C8A25149}" uniqueName="2" name="Order Date" queryTableFieldId="2" dataDxfId="18"/>
    <tableColumn id="3" xr3:uid="{DEAFC77E-CDE7-418F-962F-7048C9ABB81D}" uniqueName="3" name="Month Name" queryTableFieldId="3" dataDxfId="17"/>
    <tableColumn id="4" xr3:uid="{3533A543-90E7-4527-92A7-90F8A00D5418}" uniqueName="4" name="Month" queryTableFieldId="4"/>
    <tableColumn id="5" xr3:uid="{EFE06FCB-6862-4339-9DAA-F12F8324B807}" uniqueName="5" name="Customer Name" queryTableFieldId="5" dataDxfId="16"/>
    <tableColumn id="6" xr3:uid="{34947FCB-9013-48DB-8C44-32E69093D8AA}" uniqueName="6" name="Region" queryTableFieldId="6"/>
    <tableColumn id="7" xr3:uid="{6F8F93A7-AEC5-4098-A4E8-043FB47D0308}" uniqueName="7" name="Channel" queryTableFieldId="7" dataDxfId="15"/>
    <tableColumn id="8" xr3:uid="{25FBC594-7952-430F-ADBE-86F955B295E0}" uniqueName="8" name="Order Status" queryTableFieldId="8" dataDxfId="14"/>
    <tableColumn id="9" xr3:uid="{92ADA702-0FE5-49C7-9138-BB1C35A660F0}" uniqueName="9" name="Product ID" queryTableFieldId="9" dataDxfId="13"/>
    <tableColumn id="10" xr3:uid="{5EB698FF-C775-4EB5-8EF0-50265628E1EE}" uniqueName="10" name="Product Name" queryTableFieldId="10" dataDxfId="12"/>
    <tableColumn id="11" xr3:uid="{7EFAA660-4BEC-4D31-937A-0AEB7EFF6BB1}" uniqueName="11" name="Category" queryTableFieldId="11" dataDxfId="11"/>
    <tableColumn id="12" xr3:uid="{5794D3D2-73C0-438F-8B0F-5E3837895181}" uniqueName="12" name="Quantity" queryTableFieldId="12"/>
    <tableColumn id="13" xr3:uid="{B1AF37FC-FDA8-4C94-8EDC-0210A39EA7EE}" uniqueName="13" name="Discount Rate" queryTableFieldId="13" dataDxfId="10" dataCellStyle="Percent"/>
    <tableColumn id="14" xr3:uid="{C34F8EA1-4AC5-414A-B278-C462913115FC}" uniqueName="14" name="Revenue" queryTableFieldId="14" dataDxfId="9"/>
    <tableColumn id="15" xr3:uid="{D5F80868-9EE9-4261-8AA4-C9554743903F}" uniqueName="15" name="Cost" queryTableFieldId="15" dataDxfId="8"/>
    <tableColumn id="16" xr3:uid="{194E5AA0-4138-4BE8-8390-317D0F2DCD84}" uniqueName="16" name="Profit" queryTableFieldId="16" dataDxfId="7"/>
    <tableColumn id="17" xr3:uid="{8137FA35-E2D6-453F-974B-FBB749735D98}" uniqueName="17" name="Sales Rep" queryTableFieldId="17" dataDxfId="6"/>
    <tableColumn id="18" xr3:uid="{4DC7F065-28E5-47A3-A760-13878B16629E}" uniqueName="18" name="Cek Duplikat" queryTableFieldId="18" dataDxfId="5">
      <calculatedColumnFormula>COUNTIF($A$6     : CleanedSalesData[[#This Row],[Order ID]], CleanedSalesData[[#This Row],[Order ID]])&gt;1</calculatedColumnFormula>
    </tableColumn>
    <tableColumn id="19" xr3:uid="{C0320716-C76E-497D-880E-41648A9B39A6}" uniqueName="19" name="Cek Qty" queryTableFieldId="19" dataDxfId="4">
      <calculatedColumnFormula>IF(ISBLANK(CleanedSalesData[[#This Row],[Quantity]]), TRUE, FALSE)</calculatedColumnFormula>
    </tableColumn>
    <tableColumn id="20" xr3:uid="{87439BA0-D5AB-4A02-B5C0-12DABE8E6927}" uniqueName="20" name="Cek Tanggal" queryTableFieldId="20" dataDxfId="3">
      <calculatedColumnFormula>IF(ISBLANK(CleanedSalesData[[#This Row],[Order Date]]), TRUE, FALSE)</calculatedColumnFormula>
    </tableColumn>
    <tableColumn id="21" xr3:uid="{3F45B34A-A150-4D9C-8944-46EF39F2D4A2}" uniqueName="21" name="Cek Revenue" queryTableFieldId="21" dataDxfId="2">
      <calculatedColumnFormula>IF(ISBLANK(CleanedSalesData[[#This Row],[Revenue]]), TRUE, FALSE)</calculatedColumnFormula>
    </tableColumn>
    <tableColumn id="22" xr3:uid="{F6EBA875-6AD8-46CE-AAC4-8C1F722AFB3E}" uniqueName="22" name="Cek Status" queryTableFieldId="22" dataDxfId="1">
      <calculatedColumnFormula>IF(OR(CleanedSalesData[[#This Row],[Order Status]]="Cancelled", CleanedSalesData[[#This Row],[Order Status]]="Returned"), TRUE, FALSE)</calculatedColumnFormula>
    </tableColumn>
    <tableColumn id="23" xr3:uid="{9203F953-D2BD-4377-9527-DF83AC2C0485}" uniqueName="23" name="Quality Flag" queryTableFieldId="23" dataDxfId="0">
      <calculatedColumnFormula array="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OrdersRaw" displayName="SalesOrdersRaw" ref="A5:O730">
  <autoFilter ref="A5:O730" xr:uid="{00000000-0009-0000-0100-000001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4" xr3:uid="{00000000-0010-0000-0000-000004000000}" name="Region"/>
    <tableColumn id="5" xr3:uid="{00000000-0010-0000-0000-000005000000}" name="Channel"/>
    <tableColumn id="6" xr3:uid="{00000000-0010-0000-0000-000006000000}" name="Order Status"/>
    <tableColumn id="7" xr3:uid="{00000000-0010-0000-0000-000007000000}" name="Product ID"/>
    <tableColumn id="8" xr3:uid="{00000000-0010-0000-0000-000008000000}" name="Product Name"/>
    <tableColumn id="9" xr3:uid="{00000000-0010-0000-0000-000009000000}" name="Category"/>
    <tableColumn id="10" xr3:uid="{00000000-0010-0000-0000-00000A000000}" name="Quantity"/>
    <tableColumn id="11" xr3:uid="{00000000-0010-0000-0000-00000B000000}" name="Discount Rate"/>
    <tableColumn id="12" xr3:uid="{00000000-0010-0000-0000-00000C000000}" name="Revenue"/>
    <tableColumn id="13" xr3:uid="{00000000-0010-0000-0000-00000D000000}" name="Cost"/>
    <tableColumn id="14" xr3:uid="{00000000-0010-0000-0000-00000E000000}" name="Profit"/>
    <tableColumn id="15" xr3:uid="{00000000-0010-0000-0000-00000F000000}" name="Sales 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.5" x14ac:dyDescent="0.35"/>
  <cols>
    <col min="1" max="1" width="24" customWidth="1"/>
    <col min="2" max="2" width="96" customWidth="1"/>
  </cols>
  <sheetData>
    <row r="1" spans="1:8" ht="30" customHeight="1" x14ac:dyDescent="0.35">
      <c r="A1" s="60" t="s">
        <v>0</v>
      </c>
      <c r="B1" s="59"/>
      <c r="C1" s="59"/>
      <c r="D1" s="59"/>
      <c r="E1" s="59"/>
      <c r="F1" s="59"/>
      <c r="G1" s="59"/>
      <c r="H1" s="59"/>
    </row>
    <row r="2" spans="1:8" x14ac:dyDescent="0.35">
      <c r="A2" s="58" t="s">
        <v>1</v>
      </c>
      <c r="B2" s="59"/>
      <c r="C2" s="59"/>
      <c r="D2" s="59"/>
      <c r="E2" s="59"/>
      <c r="F2" s="59"/>
      <c r="G2" s="59"/>
      <c r="H2" s="59"/>
    </row>
    <row r="5" spans="1:8" x14ac:dyDescent="0.35">
      <c r="A5" s="1" t="s">
        <v>2</v>
      </c>
      <c r="B5" s="1" t="s">
        <v>3</v>
      </c>
    </row>
    <row r="6" spans="1:8" x14ac:dyDescent="0.35">
      <c r="A6" s="2" t="s">
        <v>4</v>
      </c>
      <c r="B6" s="2" t="s">
        <v>5</v>
      </c>
    </row>
    <row r="7" spans="1:8" x14ac:dyDescent="0.35">
      <c r="A7" s="2" t="s">
        <v>6</v>
      </c>
      <c r="B7" s="3" t="s">
        <v>7</v>
      </c>
    </row>
    <row r="8" spans="1:8" x14ac:dyDescent="0.35">
      <c r="A8" s="2" t="s">
        <v>8</v>
      </c>
      <c r="B8" s="3" t="s">
        <v>9</v>
      </c>
    </row>
    <row r="9" spans="1:8" x14ac:dyDescent="0.35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D063-E9AA-4AE6-91AA-B4D66DA68D46}">
  <dimension ref="A1:H13"/>
  <sheetViews>
    <sheetView topLeftCell="A2" zoomScaleNormal="100" workbookViewId="0">
      <selection activeCell="H12" sqref="H12"/>
    </sheetView>
  </sheetViews>
  <sheetFormatPr defaultRowHeight="14.5" x14ac:dyDescent="0.35"/>
  <cols>
    <col min="1" max="1" width="28.7265625" customWidth="1"/>
    <col min="2" max="2" width="29" customWidth="1"/>
    <col min="3" max="3" width="28" customWidth="1"/>
    <col min="4" max="4" width="27.90625" customWidth="1"/>
    <col min="5" max="5" width="19.453125" customWidth="1"/>
    <col min="6" max="6" width="7.1796875" customWidth="1"/>
    <col min="7" max="7" width="9.7265625" customWidth="1"/>
    <col min="8" max="8" width="7.453125" customWidth="1"/>
  </cols>
  <sheetData>
    <row r="1" spans="1:8" ht="31" x14ac:dyDescent="0.7">
      <c r="A1" s="42" t="s">
        <v>975</v>
      </c>
      <c r="B1" s="42"/>
      <c r="C1" s="42"/>
      <c r="D1" s="42"/>
      <c r="E1" s="42"/>
      <c r="F1" s="42"/>
      <c r="G1" s="24"/>
      <c r="H1" s="24"/>
    </row>
    <row r="2" spans="1:8" x14ac:dyDescent="0.35">
      <c r="A2" s="43" t="s">
        <v>984</v>
      </c>
      <c r="B2" s="43"/>
      <c r="C2" s="43"/>
      <c r="D2" s="43"/>
      <c r="E2" s="44"/>
      <c r="F2" s="44"/>
      <c r="G2" s="25"/>
      <c r="H2" s="25"/>
    </row>
    <row r="3" spans="1:8" x14ac:dyDescent="0.35">
      <c r="A3" s="27" t="s">
        <v>970</v>
      </c>
      <c r="B3" s="27" t="s">
        <v>971</v>
      </c>
      <c r="C3" s="27" t="s">
        <v>972</v>
      </c>
      <c r="D3" s="31" t="s">
        <v>973</v>
      </c>
      <c r="E3" s="47" t="s">
        <v>966</v>
      </c>
      <c r="F3" s="48"/>
      <c r="G3" s="32"/>
    </row>
    <row r="4" spans="1:8" ht="41.5" customHeight="1" x14ac:dyDescent="0.35">
      <c r="A4" s="35">
        <f>SUMIF('Cleaned Data'!W:W,"Clean",'Cleaned Data'!N:N)</f>
        <v>1430336900</v>
      </c>
      <c r="B4" s="35">
        <f>SUMIF('Cleaned Data'!W:W,"Clean",'Cleaned Data'!P:P)</f>
        <v>423861900</v>
      </c>
      <c r="C4" s="36">
        <f>COUNTIF('Cleaned Data'!W:W,"Clean")</f>
        <v>620</v>
      </c>
      <c r="D4" s="35">
        <f>A4/C4</f>
        <v>2306995</v>
      </c>
      <c r="E4" s="49">
        <f>B4/A4</f>
        <v>0.29633710771217608</v>
      </c>
      <c r="F4" s="50"/>
      <c r="G4" s="32"/>
    </row>
    <row r="5" spans="1:8" x14ac:dyDescent="0.35">
      <c r="A5" s="22" t="s">
        <v>974</v>
      </c>
      <c r="B5" s="33" t="s">
        <v>976</v>
      </c>
      <c r="C5" s="33" t="s">
        <v>977</v>
      </c>
      <c r="D5" s="34" t="s">
        <v>978</v>
      </c>
      <c r="E5" s="45" t="s">
        <v>979</v>
      </c>
      <c r="F5" s="46"/>
    </row>
    <row r="6" spans="1:8" ht="17" x14ac:dyDescent="0.35">
      <c r="A6" s="37">
        <f>COUNTA('Cleaned Data'!W:W)-COUNTIF('Cleaned Data'!W:W,"Clean")-1</f>
        <v>105</v>
      </c>
      <c r="B6" s="51" t="s">
        <v>981</v>
      </c>
      <c r="C6" s="51"/>
      <c r="D6" s="51"/>
      <c r="E6" s="51"/>
      <c r="F6" s="51"/>
      <c r="G6" s="28"/>
    </row>
    <row r="7" spans="1:8" ht="40" customHeight="1" x14ac:dyDescent="0.35">
      <c r="A7" s="41" t="s">
        <v>980</v>
      </c>
      <c r="B7" s="52" t="s">
        <v>985</v>
      </c>
      <c r="C7" s="53"/>
      <c r="D7" s="53"/>
      <c r="E7" s="53"/>
      <c r="F7" s="54"/>
      <c r="G7" s="26"/>
      <c r="H7" s="26"/>
    </row>
    <row r="8" spans="1:8" ht="14.5" customHeight="1" x14ac:dyDescent="0.35">
      <c r="A8" s="41"/>
      <c r="B8" s="55"/>
      <c r="C8" s="56"/>
      <c r="D8" s="56"/>
      <c r="E8" s="56"/>
      <c r="F8" s="57"/>
      <c r="G8" s="30"/>
    </row>
    <row r="9" spans="1:8" x14ac:dyDescent="0.35">
      <c r="B9" s="20"/>
      <c r="C9" s="20"/>
      <c r="D9" s="29"/>
      <c r="E9" s="29"/>
      <c r="F9" s="29"/>
      <c r="G9" s="20"/>
    </row>
    <row r="10" spans="1:8" x14ac:dyDescent="0.35">
      <c r="G10" s="19"/>
    </row>
    <row r="12" spans="1:8" ht="15" thickBot="1" x14ac:dyDescent="0.4">
      <c r="C12" s="21"/>
    </row>
    <row r="13" spans="1:8" ht="15" thickTop="1" x14ac:dyDescent="0.35">
      <c r="B13" s="23"/>
    </row>
  </sheetData>
  <mergeCells count="8">
    <mergeCell ref="A7:A8"/>
    <mergeCell ref="A1:F1"/>
    <mergeCell ref="A2:F2"/>
    <mergeCell ref="E5:F5"/>
    <mergeCell ref="E3:F3"/>
    <mergeCell ref="E4:F4"/>
    <mergeCell ref="B6:F6"/>
    <mergeCell ref="B7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8005-D1A9-40AB-A0A4-51F7F07E4B50}">
  <dimension ref="A1:G75"/>
  <sheetViews>
    <sheetView topLeftCell="A52" zoomScaleNormal="100"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3.81640625" customWidth="1"/>
    <col min="4" max="4" width="13.54296875" customWidth="1"/>
    <col min="5" max="5" width="10.54296875" customWidth="1"/>
    <col min="6" max="6" width="15.36328125" customWidth="1"/>
    <col min="7" max="7" width="15.54296875" customWidth="1"/>
    <col min="10" max="10" width="17.1796875" customWidth="1"/>
  </cols>
  <sheetData>
    <row r="1" spans="1:2" x14ac:dyDescent="0.35">
      <c r="A1" s="14" t="s">
        <v>963</v>
      </c>
    </row>
    <row r="3" spans="1:2" x14ac:dyDescent="0.35">
      <c r="A3" s="12" t="s">
        <v>951</v>
      </c>
      <c r="B3" t="s">
        <v>962</v>
      </c>
    </row>
    <row r="5" spans="1:2" x14ac:dyDescent="0.35">
      <c r="A5" s="12" t="s">
        <v>959</v>
      </c>
      <c r="B5" t="s">
        <v>961</v>
      </c>
    </row>
    <row r="6" spans="1:2" x14ac:dyDescent="0.35">
      <c r="A6" s="13" t="s">
        <v>51</v>
      </c>
      <c r="B6" s="11">
        <v>141661000</v>
      </c>
    </row>
    <row r="7" spans="1:2" x14ac:dyDescent="0.35">
      <c r="A7" s="13" t="s">
        <v>36</v>
      </c>
      <c r="B7" s="11">
        <v>745989000</v>
      </c>
    </row>
    <row r="8" spans="1:2" x14ac:dyDescent="0.35">
      <c r="A8" s="13" t="s">
        <v>44</v>
      </c>
      <c r="B8" s="11">
        <v>467981250</v>
      </c>
    </row>
    <row r="9" spans="1:2" x14ac:dyDescent="0.35">
      <c r="A9" s="13" t="s">
        <v>73</v>
      </c>
      <c r="B9" s="11">
        <v>35866250</v>
      </c>
    </row>
    <row r="10" spans="1:2" x14ac:dyDescent="0.35">
      <c r="A10" s="13" t="s">
        <v>62</v>
      </c>
      <c r="B10" s="11">
        <v>38839400</v>
      </c>
    </row>
    <row r="11" spans="1:2" x14ac:dyDescent="0.35">
      <c r="A11" s="13" t="s">
        <v>960</v>
      </c>
      <c r="B11" s="11">
        <v>1430336900</v>
      </c>
    </row>
    <row r="14" spans="1:2" x14ac:dyDescent="0.35">
      <c r="A14" s="14" t="s">
        <v>964</v>
      </c>
    </row>
    <row r="16" spans="1:2" x14ac:dyDescent="0.35">
      <c r="A16" s="12" t="s">
        <v>951</v>
      </c>
      <c r="B16" t="s">
        <v>962</v>
      </c>
    </row>
    <row r="18" spans="1:7" x14ac:dyDescent="0.35">
      <c r="A18" s="12" t="s">
        <v>959</v>
      </c>
      <c r="B18" t="s">
        <v>965</v>
      </c>
      <c r="C18" t="s">
        <v>961</v>
      </c>
      <c r="D18" s="16" t="s">
        <v>966</v>
      </c>
    </row>
    <row r="19" spans="1:7" x14ac:dyDescent="0.35">
      <c r="A19" s="13" t="s">
        <v>51</v>
      </c>
      <c r="B19" s="11">
        <v>49226000</v>
      </c>
      <c r="C19" s="11">
        <v>141661000</v>
      </c>
      <c r="D19" s="15">
        <f>B19/C19</f>
        <v>0.34749154672069238</v>
      </c>
    </row>
    <row r="20" spans="1:7" x14ac:dyDescent="0.35">
      <c r="A20" s="13" t="s">
        <v>36</v>
      </c>
      <c r="B20" s="11">
        <v>204924000</v>
      </c>
      <c r="C20" s="11">
        <v>745989000</v>
      </c>
      <c r="D20" s="15">
        <f t="shared" ref="D20:D24" si="0">B20/C20</f>
        <v>0.27470110149077265</v>
      </c>
    </row>
    <row r="21" spans="1:7" x14ac:dyDescent="0.35">
      <c r="A21" s="13" t="s">
        <v>44</v>
      </c>
      <c r="B21" s="11">
        <v>137126250</v>
      </c>
      <c r="C21" s="11">
        <v>467981250</v>
      </c>
      <c r="D21" s="15">
        <f t="shared" si="0"/>
        <v>0.29301654713730518</v>
      </c>
    </row>
    <row r="22" spans="1:7" x14ac:dyDescent="0.35">
      <c r="A22" s="13" t="s">
        <v>73</v>
      </c>
      <c r="B22" s="11">
        <v>14376250</v>
      </c>
      <c r="C22" s="11">
        <v>35866250</v>
      </c>
      <c r="D22" s="15">
        <f t="shared" si="0"/>
        <v>0.400829470602586</v>
      </c>
    </row>
    <row r="23" spans="1:7" x14ac:dyDescent="0.35">
      <c r="A23" s="13" t="s">
        <v>62</v>
      </c>
      <c r="B23" s="11">
        <v>18209400</v>
      </c>
      <c r="C23" s="11">
        <v>38839400</v>
      </c>
      <c r="D23" s="15">
        <f t="shared" si="0"/>
        <v>0.46883834456762979</v>
      </c>
    </row>
    <row r="24" spans="1:7" x14ac:dyDescent="0.35">
      <c r="A24" s="13" t="s">
        <v>960</v>
      </c>
      <c r="B24" s="11">
        <v>423861900</v>
      </c>
      <c r="C24" s="11">
        <v>1430336900</v>
      </c>
      <c r="D24" s="17">
        <f t="shared" si="0"/>
        <v>0.29633710771217608</v>
      </c>
    </row>
    <row r="27" spans="1:7" x14ac:dyDescent="0.35">
      <c r="A27" s="14" t="s">
        <v>967</v>
      </c>
    </row>
    <row r="28" spans="1:7" x14ac:dyDescent="0.35">
      <c r="A28" s="12" t="s">
        <v>951</v>
      </c>
      <c r="B28" t="s">
        <v>962</v>
      </c>
    </row>
    <row r="30" spans="1:7" x14ac:dyDescent="0.35">
      <c r="A30" s="12" t="s">
        <v>959</v>
      </c>
      <c r="B30" t="s">
        <v>961</v>
      </c>
      <c r="C30" t="s">
        <v>965</v>
      </c>
      <c r="E30" s="18" t="s">
        <v>959</v>
      </c>
      <c r="F30" s="18" t="s">
        <v>961</v>
      </c>
      <c r="G30" s="40"/>
    </row>
    <row r="31" spans="1:7" x14ac:dyDescent="0.35">
      <c r="A31" s="13" t="s">
        <v>31</v>
      </c>
      <c r="B31" s="11">
        <v>263815150</v>
      </c>
      <c r="C31" s="11">
        <v>80304150</v>
      </c>
      <c r="E31" s="13" t="s">
        <v>31</v>
      </c>
      <c r="F31" s="11">
        <v>263815150</v>
      </c>
      <c r="G31" s="11"/>
    </row>
    <row r="32" spans="1:7" x14ac:dyDescent="0.35">
      <c r="A32" s="13" t="s">
        <v>40</v>
      </c>
      <c r="B32" s="11">
        <v>295257050</v>
      </c>
      <c r="C32" s="11">
        <v>86501050</v>
      </c>
      <c r="E32" s="13" t="s">
        <v>40</v>
      </c>
      <c r="F32" s="11">
        <v>295257050</v>
      </c>
      <c r="G32" s="11"/>
    </row>
    <row r="33" spans="1:7" x14ac:dyDescent="0.35">
      <c r="A33" s="13" t="s">
        <v>47</v>
      </c>
      <c r="B33" s="11">
        <v>327737100</v>
      </c>
      <c r="C33" s="11">
        <v>95278100</v>
      </c>
      <c r="E33" s="13" t="s">
        <v>47</v>
      </c>
      <c r="F33" s="11">
        <v>327737100</v>
      </c>
      <c r="G33" s="11"/>
    </row>
    <row r="34" spans="1:7" x14ac:dyDescent="0.35">
      <c r="A34" s="13" t="s">
        <v>59</v>
      </c>
      <c r="B34" s="11">
        <v>265208100</v>
      </c>
      <c r="C34" s="11">
        <v>81236100</v>
      </c>
      <c r="E34" s="13" t="s">
        <v>59</v>
      </c>
      <c r="F34" s="11">
        <v>265208100</v>
      </c>
      <c r="G34" s="11"/>
    </row>
    <row r="35" spans="1:7" x14ac:dyDescent="0.35">
      <c r="A35" s="13" t="s">
        <v>70</v>
      </c>
      <c r="B35" s="11">
        <v>278319500</v>
      </c>
      <c r="C35" s="11">
        <v>80542500</v>
      </c>
      <c r="E35" s="13" t="s">
        <v>70</v>
      </c>
      <c r="F35" s="11">
        <v>278319500</v>
      </c>
      <c r="G35" s="11"/>
    </row>
    <row r="36" spans="1:7" x14ac:dyDescent="0.35">
      <c r="A36" s="13" t="s">
        <v>960</v>
      </c>
      <c r="B36" s="11">
        <v>1430336900</v>
      </c>
      <c r="C36" s="11">
        <v>423861900</v>
      </c>
      <c r="F36" s="38"/>
      <c r="G36" s="39"/>
    </row>
    <row r="39" spans="1:7" x14ac:dyDescent="0.35">
      <c r="A39" s="14" t="s">
        <v>968</v>
      </c>
    </row>
    <row r="40" spans="1:7" x14ac:dyDescent="0.35">
      <c r="A40" s="12" t="s">
        <v>19</v>
      </c>
      <c r="B40" t="s">
        <v>33</v>
      </c>
    </row>
    <row r="42" spans="1:7" x14ac:dyDescent="0.35">
      <c r="A42" s="12" t="s">
        <v>959</v>
      </c>
      <c r="B42" t="s">
        <v>961</v>
      </c>
    </row>
    <row r="43" spans="1:7" x14ac:dyDescent="0.35">
      <c r="A43" s="13" t="s">
        <v>48</v>
      </c>
      <c r="B43" s="11">
        <v>362710950</v>
      </c>
    </row>
    <row r="44" spans="1:7" x14ac:dyDescent="0.35">
      <c r="A44" s="13" t="s">
        <v>81</v>
      </c>
      <c r="B44" s="11">
        <v>333829250</v>
      </c>
    </row>
    <row r="45" spans="1:7" x14ac:dyDescent="0.35">
      <c r="A45" s="13" t="s">
        <v>41</v>
      </c>
      <c r="B45" s="11">
        <v>296336900</v>
      </c>
    </row>
    <row r="46" spans="1:7" x14ac:dyDescent="0.35">
      <c r="A46" s="13" t="s">
        <v>32</v>
      </c>
      <c r="B46" s="11">
        <v>369464700</v>
      </c>
    </row>
    <row r="47" spans="1:7" x14ac:dyDescent="0.35">
      <c r="A47" s="13" t="s">
        <v>960</v>
      </c>
      <c r="B47" s="11">
        <v>1362341800</v>
      </c>
    </row>
    <row r="50" spans="1:3" x14ac:dyDescent="0.35">
      <c r="A50" s="14" t="s">
        <v>969</v>
      </c>
    </row>
    <row r="51" spans="1:3" x14ac:dyDescent="0.35">
      <c r="A51" s="12" t="s">
        <v>951</v>
      </c>
      <c r="B51" t="s">
        <v>962</v>
      </c>
    </row>
    <row r="53" spans="1:3" x14ac:dyDescent="0.35">
      <c r="A53" s="12" t="s">
        <v>959</v>
      </c>
      <c r="B53" t="s">
        <v>961</v>
      </c>
      <c r="C53" t="s">
        <v>965</v>
      </c>
    </row>
    <row r="54" spans="1:3" x14ac:dyDescent="0.35">
      <c r="A54" s="13" t="s">
        <v>948</v>
      </c>
      <c r="B54" s="11">
        <v>286005350</v>
      </c>
      <c r="C54" s="11">
        <v>83727350</v>
      </c>
    </row>
    <row r="55" spans="1:3" x14ac:dyDescent="0.35">
      <c r="A55" s="13" t="s">
        <v>944</v>
      </c>
      <c r="B55" s="11">
        <v>172326400</v>
      </c>
      <c r="C55" s="11">
        <v>50640400</v>
      </c>
    </row>
    <row r="56" spans="1:3" x14ac:dyDescent="0.35">
      <c r="A56" s="13" t="s">
        <v>947</v>
      </c>
      <c r="B56" s="11">
        <v>297174300</v>
      </c>
      <c r="C56" s="11">
        <v>89208300</v>
      </c>
    </row>
    <row r="57" spans="1:3" x14ac:dyDescent="0.35">
      <c r="A57" s="13" t="s">
        <v>949</v>
      </c>
      <c r="B57" s="11">
        <v>235103300</v>
      </c>
      <c r="C57" s="11">
        <v>69448300</v>
      </c>
    </row>
    <row r="58" spans="1:3" x14ac:dyDescent="0.35">
      <c r="A58" s="13" t="s">
        <v>946</v>
      </c>
      <c r="B58" s="11">
        <v>203396100</v>
      </c>
      <c r="C58" s="11">
        <v>61886100</v>
      </c>
    </row>
    <row r="59" spans="1:3" x14ac:dyDescent="0.35">
      <c r="A59" s="13" t="s">
        <v>945</v>
      </c>
      <c r="B59" s="11">
        <v>235836450</v>
      </c>
      <c r="C59" s="11">
        <v>68766450</v>
      </c>
    </row>
    <row r="60" spans="1:3" x14ac:dyDescent="0.35">
      <c r="A60" s="13" t="s">
        <v>950</v>
      </c>
      <c r="B60" s="11">
        <v>495000</v>
      </c>
      <c r="C60" s="11">
        <v>185000</v>
      </c>
    </row>
    <row r="61" spans="1:3" x14ac:dyDescent="0.35">
      <c r="A61" s="13" t="s">
        <v>960</v>
      </c>
      <c r="B61" s="11">
        <v>1430336900</v>
      </c>
      <c r="C61" s="11">
        <v>423861900</v>
      </c>
    </row>
    <row r="67" spans="1:2" x14ac:dyDescent="0.35">
      <c r="A67" s="14" t="s">
        <v>983</v>
      </c>
    </row>
    <row r="68" spans="1:2" x14ac:dyDescent="0.35">
      <c r="A68" s="12" t="s">
        <v>951</v>
      </c>
      <c r="B68" t="s">
        <v>962</v>
      </c>
    </row>
    <row r="70" spans="1:2" x14ac:dyDescent="0.35">
      <c r="A70" s="12" t="s">
        <v>959</v>
      </c>
      <c r="B70" t="s">
        <v>982</v>
      </c>
    </row>
    <row r="71" spans="1:2" x14ac:dyDescent="0.35">
      <c r="A71" s="13" t="s">
        <v>48</v>
      </c>
      <c r="B71">
        <v>146</v>
      </c>
    </row>
    <row r="72" spans="1:2" x14ac:dyDescent="0.35">
      <c r="A72" s="13" t="s">
        <v>81</v>
      </c>
      <c r="B72">
        <v>147</v>
      </c>
    </row>
    <row r="73" spans="1:2" x14ac:dyDescent="0.35">
      <c r="A73" s="13" t="s">
        <v>41</v>
      </c>
      <c r="B73">
        <v>159</v>
      </c>
    </row>
    <row r="74" spans="1:2" x14ac:dyDescent="0.35">
      <c r="A74" s="13" t="s">
        <v>32</v>
      </c>
      <c r="B74">
        <v>168</v>
      </c>
    </row>
    <row r="75" spans="1:2" x14ac:dyDescent="0.35">
      <c r="A75" s="13" t="s">
        <v>960</v>
      </c>
      <c r="B75">
        <v>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1F54-182E-4A86-8B56-6E1965F4C218}">
  <dimension ref="A1:W730"/>
  <sheetViews>
    <sheetView topLeftCell="F1" zoomScaleNormal="100" workbookViewId="0">
      <selection activeCell="G5" sqref="G5"/>
    </sheetView>
  </sheetViews>
  <sheetFormatPr defaultRowHeight="14.5" x14ac:dyDescent="0.35"/>
  <cols>
    <col min="1" max="1" width="10.26953125" bestFit="1" customWidth="1"/>
    <col min="2" max="2" width="12.453125" style="7" bestFit="1" customWidth="1"/>
    <col min="3" max="3" width="14.1796875" bestFit="1" customWidth="1"/>
    <col min="4" max="4" width="8.81640625" bestFit="1" customWidth="1"/>
    <col min="5" max="5" width="16.7265625" bestFit="1" customWidth="1"/>
    <col min="6" max="6" width="8.81640625" bestFit="1" customWidth="1"/>
    <col min="7" max="7" width="11.1796875" bestFit="1" customWidth="1"/>
    <col min="8" max="8" width="13.7265625" bestFit="1" customWidth="1"/>
    <col min="9" max="9" width="12" bestFit="1" customWidth="1"/>
    <col min="10" max="10" width="15.1796875" bestFit="1" customWidth="1"/>
    <col min="11" max="11" width="13.1796875" bestFit="1" customWidth="1"/>
    <col min="12" max="12" width="10.453125" bestFit="1" customWidth="1"/>
    <col min="13" max="13" width="14.7265625" style="10" bestFit="1" customWidth="1"/>
    <col min="14" max="14" width="10.26953125" style="11" bestFit="1" customWidth="1"/>
    <col min="15" max="15" width="9.90625" style="11" bestFit="1" customWidth="1"/>
    <col min="16" max="16" width="9.54296875" style="11" bestFit="1" customWidth="1"/>
    <col min="17" max="17" width="10.90625" bestFit="1" customWidth="1"/>
    <col min="18" max="18" width="15.1796875" hidden="1" customWidth="1"/>
    <col min="19" max="19" width="0" hidden="1" customWidth="1"/>
    <col min="20" max="20" width="13.7265625" hidden="1" customWidth="1"/>
    <col min="21" max="21" width="14.26953125" hidden="1" customWidth="1"/>
    <col min="22" max="22" width="12.81640625" hidden="1" customWidth="1"/>
    <col min="23" max="23" width="14.08984375" bestFit="1" customWidth="1"/>
    <col min="24" max="24" width="14.08984375" customWidth="1"/>
  </cols>
  <sheetData>
    <row r="1" spans="1:23" ht="27.5" customHeight="1" x14ac:dyDescent="0.35">
      <c r="A1" s="9" t="s">
        <v>957</v>
      </c>
    </row>
    <row r="2" spans="1:23" x14ac:dyDescent="0.35">
      <c r="A2" s="8" t="s">
        <v>958</v>
      </c>
    </row>
    <row r="5" spans="1:23" x14ac:dyDescent="0.35">
      <c r="A5" t="s">
        <v>14</v>
      </c>
      <c r="B5" s="7" t="s">
        <v>15</v>
      </c>
      <c r="C5" t="s">
        <v>942</v>
      </c>
      <c r="D5" t="s">
        <v>943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s="10" t="s">
        <v>24</v>
      </c>
      <c r="N5" s="11" t="s">
        <v>25</v>
      </c>
      <c r="O5" s="11" t="s">
        <v>26</v>
      </c>
      <c r="P5" s="11" t="s">
        <v>27</v>
      </c>
      <c r="Q5" t="s">
        <v>28</v>
      </c>
      <c r="R5" t="s">
        <v>952</v>
      </c>
      <c r="S5" t="s">
        <v>953</v>
      </c>
      <c r="T5" t="s">
        <v>954</v>
      </c>
      <c r="U5" t="s">
        <v>955</v>
      </c>
      <c r="V5" t="s">
        <v>956</v>
      </c>
      <c r="W5" t="s">
        <v>951</v>
      </c>
    </row>
    <row r="6" spans="1:23" x14ac:dyDescent="0.35">
      <c r="A6" t="s">
        <v>29</v>
      </c>
      <c r="B6" s="7">
        <v>46186</v>
      </c>
      <c r="C6" t="s">
        <v>945</v>
      </c>
      <c r="D6">
        <v>6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>
        <v>2</v>
      </c>
      <c r="M6" s="10">
        <v>0</v>
      </c>
      <c r="N6" s="11">
        <v>950000</v>
      </c>
      <c r="O6" s="11">
        <v>570000</v>
      </c>
      <c r="P6" s="11">
        <v>380000</v>
      </c>
      <c r="Q6" t="s">
        <v>37</v>
      </c>
      <c r="R6" t="b">
        <f>COUNTIF($A$6     : CleanedSalesData[[#This Row],[Order ID]], CleanedSalesData[[#This Row],[Order ID]])&gt;1</f>
        <v>0</v>
      </c>
      <c r="S6" t="b">
        <f>IF(ISBLANK(CleanedSalesData[[#This Row],[Quantity]]), TRUE, FALSE)</f>
        <v>0</v>
      </c>
      <c r="T6" t="b">
        <f>IF(ISBLANK(CleanedSalesData[[#This Row],[Order Date]]), TRUE, FALSE)</f>
        <v>0</v>
      </c>
      <c r="U6" t="b">
        <f>IF(ISBLANK(CleanedSalesData[[#This Row],[Revenue]]), TRUE, FALSE)</f>
        <v>0</v>
      </c>
      <c r="V6" t="b">
        <f>IF(OR(CleanedSalesData[[#This Row],[Order Status]]="Cancelled", CleanedSalesData[[#This Row],[Order Status]]="Returned"), TRUE, FALSE)</f>
        <v>0</v>
      </c>
      <c r="W6" t="str" cm="1">
        <f t="array" ref="W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" spans="1:23" x14ac:dyDescent="0.35">
      <c r="A7" t="s">
        <v>38</v>
      </c>
      <c r="B7" s="7">
        <v>46196</v>
      </c>
      <c r="C7" t="s">
        <v>945</v>
      </c>
      <c r="D7">
        <v>6</v>
      </c>
      <c r="E7" t="s">
        <v>39</v>
      </c>
      <c r="F7" t="s">
        <v>40</v>
      </c>
      <c r="G7" t="s">
        <v>41</v>
      </c>
      <c r="H7" t="s">
        <v>33</v>
      </c>
      <c r="I7" t="s">
        <v>42</v>
      </c>
      <c r="J7" t="s">
        <v>43</v>
      </c>
      <c r="K7" t="s">
        <v>44</v>
      </c>
      <c r="L7">
        <v>2</v>
      </c>
      <c r="M7" s="10">
        <v>0.1</v>
      </c>
      <c r="N7" s="11">
        <v>495000</v>
      </c>
      <c r="O7" s="11">
        <v>310000</v>
      </c>
      <c r="P7" s="11">
        <v>185000</v>
      </c>
      <c r="Q7" t="s">
        <v>45</v>
      </c>
      <c r="R7" t="b">
        <f>COUNTIF($A$6     : CleanedSalesData[[#This Row],[Order ID]], CleanedSalesData[[#This Row],[Order ID]])&gt;1</f>
        <v>0</v>
      </c>
      <c r="S7" t="b">
        <f>IF(ISBLANK(CleanedSalesData[[#This Row],[Quantity]]), TRUE, FALSE)</f>
        <v>0</v>
      </c>
      <c r="T7" t="b">
        <f>IF(ISBLANK(CleanedSalesData[[#This Row],[Order Date]]), TRUE, FALSE)</f>
        <v>0</v>
      </c>
      <c r="U7" t="b">
        <f>IF(ISBLANK(CleanedSalesData[[#This Row],[Revenue]]), TRUE, FALSE)</f>
        <v>0</v>
      </c>
      <c r="V7" t="b">
        <f>IF(OR(CleanedSalesData[[#This Row],[Order Status]]="Cancelled", CleanedSalesData[[#This Row],[Order Status]]="Returned"), TRUE, FALSE)</f>
        <v>0</v>
      </c>
      <c r="W7" t="str" cm="1">
        <f t="array" ref="W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" spans="1:23" x14ac:dyDescent="0.35">
      <c r="A8" t="s">
        <v>46</v>
      </c>
      <c r="B8" s="7">
        <v>46152</v>
      </c>
      <c r="C8" t="s">
        <v>946</v>
      </c>
      <c r="D8">
        <v>5</v>
      </c>
      <c r="E8" t="s">
        <v>39</v>
      </c>
      <c r="F8" t="s">
        <v>47</v>
      </c>
      <c r="G8" t="s">
        <v>48</v>
      </c>
      <c r="H8" t="s">
        <v>33</v>
      </c>
      <c r="I8" t="s">
        <v>49</v>
      </c>
      <c r="J8" t="s">
        <v>50</v>
      </c>
      <c r="K8" t="s">
        <v>51</v>
      </c>
      <c r="L8">
        <v>1</v>
      </c>
      <c r="M8" s="10">
        <v>0.1</v>
      </c>
      <c r="N8" s="11">
        <v>220500</v>
      </c>
      <c r="O8" s="11">
        <v>145000</v>
      </c>
      <c r="P8" s="11">
        <v>75500</v>
      </c>
      <c r="Q8" t="s">
        <v>52</v>
      </c>
      <c r="R8" t="b">
        <f>COUNTIF($A$6     : CleanedSalesData[[#This Row],[Order ID]], CleanedSalesData[[#This Row],[Order ID]])&gt;1</f>
        <v>0</v>
      </c>
      <c r="S8" t="b">
        <f>IF(ISBLANK(CleanedSalesData[[#This Row],[Quantity]]), TRUE, FALSE)</f>
        <v>0</v>
      </c>
      <c r="T8" t="b">
        <f>IF(ISBLANK(CleanedSalesData[[#This Row],[Order Date]]), TRUE, FALSE)</f>
        <v>0</v>
      </c>
      <c r="U8" t="b">
        <f>IF(ISBLANK(CleanedSalesData[[#This Row],[Revenue]]), TRUE, FALSE)</f>
        <v>0</v>
      </c>
      <c r="V8" t="b">
        <f>IF(OR(CleanedSalesData[[#This Row],[Order Status]]="Cancelled", CleanedSalesData[[#This Row],[Order Status]]="Returned"), TRUE, FALSE)</f>
        <v>0</v>
      </c>
      <c r="W8" t="str" cm="1">
        <f t="array" ref="W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9" spans="1:23" x14ac:dyDescent="0.35">
      <c r="A9" t="s">
        <v>53</v>
      </c>
      <c r="B9" s="7">
        <v>46173</v>
      </c>
      <c r="C9" t="s">
        <v>946</v>
      </c>
      <c r="D9">
        <v>5</v>
      </c>
      <c r="E9" t="s">
        <v>54</v>
      </c>
      <c r="F9" t="s">
        <v>31</v>
      </c>
      <c r="G9" t="s">
        <v>48</v>
      </c>
      <c r="H9" t="s">
        <v>33</v>
      </c>
      <c r="I9" t="s">
        <v>55</v>
      </c>
      <c r="J9" t="s">
        <v>56</v>
      </c>
      <c r="K9" t="s">
        <v>36</v>
      </c>
      <c r="L9">
        <v>5</v>
      </c>
      <c r="M9" s="10">
        <v>0</v>
      </c>
      <c r="N9" s="11">
        <v>9250000</v>
      </c>
      <c r="O9" s="11">
        <v>6600000</v>
      </c>
      <c r="P9" s="11">
        <v>2650000</v>
      </c>
      <c r="Q9" t="s">
        <v>57</v>
      </c>
      <c r="R9" t="b">
        <f>COUNTIF($A$6     : CleanedSalesData[[#This Row],[Order ID]], CleanedSalesData[[#This Row],[Order ID]])&gt;1</f>
        <v>0</v>
      </c>
      <c r="S9" t="b">
        <f>IF(ISBLANK(CleanedSalesData[[#This Row],[Quantity]]), TRUE, FALSE)</f>
        <v>0</v>
      </c>
      <c r="T9" t="b">
        <f>IF(ISBLANK(CleanedSalesData[[#This Row],[Order Date]]), TRUE, FALSE)</f>
        <v>0</v>
      </c>
      <c r="U9" t="b">
        <f>IF(ISBLANK(CleanedSalesData[[#This Row],[Revenue]]), TRUE, FALSE)</f>
        <v>0</v>
      </c>
      <c r="V9" t="b">
        <f>IF(OR(CleanedSalesData[[#This Row],[Order Status]]="Cancelled", CleanedSalesData[[#This Row],[Order Status]]="Returned"), TRUE, FALSE)</f>
        <v>0</v>
      </c>
      <c r="W9" t="str" cm="1">
        <f t="array" ref="W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" spans="1:23" x14ac:dyDescent="0.35">
      <c r="A10" t="s">
        <v>58</v>
      </c>
      <c r="B10" s="7">
        <v>46062</v>
      </c>
      <c r="C10" t="s">
        <v>944</v>
      </c>
      <c r="D10">
        <v>2</v>
      </c>
      <c r="E10" t="s">
        <v>54</v>
      </c>
      <c r="F10" t="s">
        <v>59</v>
      </c>
      <c r="G10" t="s">
        <v>41</v>
      </c>
      <c r="H10" t="s">
        <v>33</v>
      </c>
      <c r="I10" t="s">
        <v>60</v>
      </c>
      <c r="J10" t="s">
        <v>61</v>
      </c>
      <c r="K10" t="s">
        <v>62</v>
      </c>
      <c r="L10">
        <v>4</v>
      </c>
      <c r="M10" s="10">
        <v>0.05</v>
      </c>
      <c r="N10" s="11">
        <v>247000</v>
      </c>
      <c r="O10" s="11">
        <v>124000</v>
      </c>
      <c r="P10" s="11">
        <v>123000</v>
      </c>
      <c r="Q10" t="s">
        <v>63</v>
      </c>
      <c r="R10" t="b">
        <f>COUNTIF($A$6     : CleanedSalesData[[#This Row],[Order ID]], CleanedSalesData[[#This Row],[Order ID]])&gt;1</f>
        <v>0</v>
      </c>
      <c r="S10" t="b">
        <f>IF(ISBLANK(CleanedSalesData[[#This Row],[Quantity]]), TRUE, FALSE)</f>
        <v>0</v>
      </c>
      <c r="T10" t="b">
        <f>IF(ISBLANK(CleanedSalesData[[#This Row],[Order Date]]), TRUE, FALSE)</f>
        <v>0</v>
      </c>
      <c r="U10" t="b">
        <f>IF(ISBLANK(CleanedSalesData[[#This Row],[Revenue]]), TRUE, FALSE)</f>
        <v>0</v>
      </c>
      <c r="V10" t="b">
        <f>IF(OR(CleanedSalesData[[#This Row],[Order Status]]="Cancelled", CleanedSalesData[[#This Row],[Order Status]]="Returned"), TRUE, FALSE)</f>
        <v>0</v>
      </c>
      <c r="W10" t="str" cm="1">
        <f t="array" ref="W1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" spans="1:23" x14ac:dyDescent="0.35">
      <c r="A11" t="s">
        <v>64</v>
      </c>
      <c r="B11" s="7">
        <v>46177</v>
      </c>
      <c r="C11" t="s">
        <v>945</v>
      </c>
      <c r="D11">
        <v>6</v>
      </c>
      <c r="E11" t="s">
        <v>65</v>
      </c>
      <c r="F11" t="s">
        <v>47</v>
      </c>
      <c r="G11" t="s">
        <v>41</v>
      </c>
      <c r="H11" t="s">
        <v>33</v>
      </c>
      <c r="I11" t="s">
        <v>66</v>
      </c>
      <c r="J11" t="s">
        <v>67</v>
      </c>
      <c r="K11" t="s">
        <v>51</v>
      </c>
      <c r="L11">
        <v>5</v>
      </c>
      <c r="M11" s="10">
        <v>0</v>
      </c>
      <c r="N11" s="11">
        <v>1550000</v>
      </c>
      <c r="O11" s="11">
        <v>950000</v>
      </c>
      <c r="P11" s="11">
        <v>600000</v>
      </c>
      <c r="Q11" t="s">
        <v>37</v>
      </c>
      <c r="R11" t="b">
        <f>COUNTIF($A$6     : CleanedSalesData[[#This Row],[Order ID]], CleanedSalesData[[#This Row],[Order ID]])&gt;1</f>
        <v>0</v>
      </c>
      <c r="S11" t="b">
        <f>IF(ISBLANK(CleanedSalesData[[#This Row],[Quantity]]), TRUE, FALSE)</f>
        <v>0</v>
      </c>
      <c r="T11" t="b">
        <f>IF(ISBLANK(CleanedSalesData[[#This Row],[Order Date]]), TRUE, FALSE)</f>
        <v>0</v>
      </c>
      <c r="U11" t="b">
        <f>IF(ISBLANK(CleanedSalesData[[#This Row],[Revenue]]), TRUE, FALSE)</f>
        <v>0</v>
      </c>
      <c r="V11" t="b">
        <f>IF(OR(CleanedSalesData[[#This Row],[Order Status]]="Cancelled", CleanedSalesData[[#This Row],[Order Status]]="Returned"), TRUE, FALSE)</f>
        <v>0</v>
      </c>
      <c r="W11" t="str" cm="1">
        <f t="array" ref="W1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" spans="1:23" x14ac:dyDescent="0.35">
      <c r="A12" t="s">
        <v>68</v>
      </c>
      <c r="B12" s="7">
        <v>46164</v>
      </c>
      <c r="C12" t="s">
        <v>946</v>
      </c>
      <c r="D12">
        <v>5</v>
      </c>
      <c r="E12" t="s">
        <v>69</v>
      </c>
      <c r="F12" t="s">
        <v>70</v>
      </c>
      <c r="G12" t="s">
        <v>32</v>
      </c>
      <c r="H12" t="s">
        <v>33</v>
      </c>
      <c r="I12" t="s">
        <v>71</v>
      </c>
      <c r="J12" t="s">
        <v>72</v>
      </c>
      <c r="K12" t="s">
        <v>73</v>
      </c>
      <c r="L12">
        <v>5</v>
      </c>
      <c r="M12" s="10">
        <v>0.15</v>
      </c>
      <c r="N12" s="11">
        <v>531250</v>
      </c>
      <c r="O12" s="11">
        <v>350000</v>
      </c>
      <c r="P12" s="11">
        <v>181250</v>
      </c>
      <c r="Q12" t="s">
        <v>74</v>
      </c>
      <c r="R12" t="b">
        <f>COUNTIF($A$6     : CleanedSalesData[[#This Row],[Order ID]], CleanedSalesData[[#This Row],[Order ID]])&gt;1</f>
        <v>0</v>
      </c>
      <c r="S12" t="b">
        <f>IF(ISBLANK(CleanedSalesData[[#This Row],[Quantity]]), TRUE, FALSE)</f>
        <v>0</v>
      </c>
      <c r="T12" t="b">
        <f>IF(ISBLANK(CleanedSalesData[[#This Row],[Order Date]]), TRUE, FALSE)</f>
        <v>0</v>
      </c>
      <c r="U12" t="b">
        <f>IF(ISBLANK(CleanedSalesData[[#This Row],[Revenue]]), TRUE, FALSE)</f>
        <v>0</v>
      </c>
      <c r="V12" t="b">
        <f>IF(OR(CleanedSalesData[[#This Row],[Order Status]]="Cancelled", CleanedSalesData[[#This Row],[Order Status]]="Returned"), TRUE, FALSE)</f>
        <v>0</v>
      </c>
      <c r="W12" t="str" cm="1">
        <f t="array" ref="W1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" spans="1:23" x14ac:dyDescent="0.35">
      <c r="A13" t="s">
        <v>75</v>
      </c>
      <c r="B13" s="7">
        <v>46192</v>
      </c>
      <c r="C13" t="s">
        <v>945</v>
      </c>
      <c r="D13">
        <v>6</v>
      </c>
      <c r="E13" t="s">
        <v>76</v>
      </c>
      <c r="F13" t="s">
        <v>40</v>
      </c>
      <c r="G13" t="s">
        <v>48</v>
      </c>
      <c r="H13" t="s">
        <v>77</v>
      </c>
      <c r="I13" t="s">
        <v>78</v>
      </c>
      <c r="J13" t="s">
        <v>79</v>
      </c>
      <c r="K13" t="s">
        <v>62</v>
      </c>
      <c r="L13">
        <v>4</v>
      </c>
      <c r="M13" s="10">
        <v>0.05</v>
      </c>
      <c r="N13" s="11">
        <v>0</v>
      </c>
      <c r="O13" s="11">
        <v>172000</v>
      </c>
      <c r="P13" s="11">
        <v>-172000</v>
      </c>
      <c r="Q13" t="s">
        <v>52</v>
      </c>
      <c r="R13" t="b">
        <f>COUNTIF($A$6     : CleanedSalesData[[#This Row],[Order ID]], CleanedSalesData[[#This Row],[Order ID]])&gt;1</f>
        <v>0</v>
      </c>
      <c r="S13" t="b">
        <f>IF(ISBLANK(CleanedSalesData[[#This Row],[Quantity]]), TRUE, FALSE)</f>
        <v>0</v>
      </c>
      <c r="T13" t="b">
        <f>IF(ISBLANK(CleanedSalesData[[#This Row],[Order Date]]), TRUE, FALSE)</f>
        <v>0</v>
      </c>
      <c r="U13" t="b">
        <f>IF(ISBLANK(CleanedSalesData[[#This Row],[Revenue]]), TRUE, FALSE)</f>
        <v>0</v>
      </c>
      <c r="V13" t="b">
        <f>IF(OR(CleanedSalesData[[#This Row],[Order Status]]="Cancelled", CleanedSalesData[[#This Row],[Order Status]]="Returned"), TRUE, FALSE)</f>
        <v>1</v>
      </c>
      <c r="W13" t="str" cm="1">
        <f t="array" ref="W1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4" spans="1:23" x14ac:dyDescent="0.35">
      <c r="A14" t="s">
        <v>80</v>
      </c>
      <c r="B14" s="7">
        <v>46185</v>
      </c>
      <c r="C14" t="s">
        <v>945</v>
      </c>
      <c r="D14">
        <v>6</v>
      </c>
      <c r="E14" t="s">
        <v>69</v>
      </c>
      <c r="F14" t="s">
        <v>31</v>
      </c>
      <c r="G14" t="s">
        <v>81</v>
      </c>
      <c r="H14" t="s">
        <v>33</v>
      </c>
      <c r="I14" t="s">
        <v>82</v>
      </c>
      <c r="J14" t="s">
        <v>83</v>
      </c>
      <c r="K14" t="s">
        <v>44</v>
      </c>
      <c r="L14">
        <v>6</v>
      </c>
      <c r="M14" s="10">
        <v>0.03</v>
      </c>
      <c r="N14" s="11">
        <v>8439000</v>
      </c>
      <c r="O14" s="11">
        <v>5880000</v>
      </c>
      <c r="P14" s="11">
        <v>2559000</v>
      </c>
      <c r="Q14" t="s">
        <v>84</v>
      </c>
      <c r="R14" t="b">
        <f>COUNTIF($A$6     : CleanedSalesData[[#This Row],[Order ID]], CleanedSalesData[[#This Row],[Order ID]])&gt;1</f>
        <v>0</v>
      </c>
      <c r="S14" t="b">
        <f>IF(ISBLANK(CleanedSalesData[[#This Row],[Quantity]]), TRUE, FALSE)</f>
        <v>0</v>
      </c>
      <c r="T14" t="b">
        <f>IF(ISBLANK(CleanedSalesData[[#This Row],[Order Date]]), TRUE, FALSE)</f>
        <v>0</v>
      </c>
      <c r="U14" t="b">
        <f>IF(ISBLANK(CleanedSalesData[[#This Row],[Revenue]]), TRUE, FALSE)</f>
        <v>0</v>
      </c>
      <c r="V14" t="b">
        <f>IF(OR(CleanedSalesData[[#This Row],[Order Status]]="Cancelled", CleanedSalesData[[#This Row],[Order Status]]="Returned"), TRUE, FALSE)</f>
        <v>0</v>
      </c>
      <c r="W14" t="str" cm="1">
        <f t="array" ref="W1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" spans="1:23" x14ac:dyDescent="0.35">
      <c r="A15" t="s">
        <v>85</v>
      </c>
      <c r="B15" s="7">
        <v>46159</v>
      </c>
      <c r="C15" t="s">
        <v>946</v>
      </c>
      <c r="D15">
        <v>5</v>
      </c>
      <c r="E15" t="s">
        <v>54</v>
      </c>
      <c r="F15" t="s">
        <v>70</v>
      </c>
      <c r="G15" t="s">
        <v>32</v>
      </c>
      <c r="H15" t="s">
        <v>33</v>
      </c>
      <c r="I15" t="s">
        <v>86</v>
      </c>
      <c r="J15" t="s">
        <v>87</v>
      </c>
      <c r="K15" t="s">
        <v>36</v>
      </c>
      <c r="L15">
        <v>4</v>
      </c>
      <c r="M15" s="10">
        <v>0.03</v>
      </c>
      <c r="N15" s="11">
        <v>1358000</v>
      </c>
      <c r="O15" s="11">
        <v>840000</v>
      </c>
      <c r="P15" s="11">
        <v>518000</v>
      </c>
      <c r="Q15" t="s">
        <v>74</v>
      </c>
      <c r="R15" t="b">
        <f>COUNTIF($A$6     : CleanedSalesData[[#This Row],[Order ID]], CleanedSalesData[[#This Row],[Order ID]])&gt;1</f>
        <v>0</v>
      </c>
      <c r="S15" t="b">
        <f>IF(ISBLANK(CleanedSalesData[[#This Row],[Quantity]]), TRUE, FALSE)</f>
        <v>0</v>
      </c>
      <c r="T15" t="b">
        <f>IF(ISBLANK(CleanedSalesData[[#This Row],[Order Date]]), TRUE, FALSE)</f>
        <v>0</v>
      </c>
      <c r="U15" t="b">
        <f>IF(ISBLANK(CleanedSalesData[[#This Row],[Revenue]]), TRUE, FALSE)</f>
        <v>0</v>
      </c>
      <c r="V15" t="b">
        <f>IF(OR(CleanedSalesData[[#This Row],[Order Status]]="Cancelled", CleanedSalesData[[#This Row],[Order Status]]="Returned"), TRUE, FALSE)</f>
        <v>0</v>
      </c>
      <c r="W15" t="str" cm="1">
        <f t="array" ref="W1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" spans="1:23" x14ac:dyDescent="0.35">
      <c r="A16" t="s">
        <v>88</v>
      </c>
      <c r="B16" s="7">
        <v>46081</v>
      </c>
      <c r="C16" t="s">
        <v>944</v>
      </c>
      <c r="D16">
        <v>2</v>
      </c>
      <c r="E16" t="s">
        <v>54</v>
      </c>
      <c r="F16" t="s">
        <v>40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>
        <v>1</v>
      </c>
      <c r="M16" s="10">
        <v>0.05</v>
      </c>
      <c r="N16" s="11">
        <v>451250</v>
      </c>
      <c r="O16" s="11">
        <v>285000</v>
      </c>
      <c r="P16" s="11">
        <v>166250</v>
      </c>
      <c r="Q16" t="s">
        <v>45</v>
      </c>
      <c r="R16" t="b">
        <f>COUNTIF($A$6     : CleanedSalesData[[#This Row],[Order ID]], CleanedSalesData[[#This Row],[Order ID]])&gt;1</f>
        <v>0</v>
      </c>
      <c r="S16" t="b">
        <f>IF(ISBLANK(CleanedSalesData[[#This Row],[Quantity]]), TRUE, FALSE)</f>
        <v>0</v>
      </c>
      <c r="T16" t="b">
        <f>IF(ISBLANK(CleanedSalesData[[#This Row],[Order Date]]), TRUE, FALSE)</f>
        <v>0</v>
      </c>
      <c r="U16" t="b">
        <f>IF(ISBLANK(CleanedSalesData[[#This Row],[Revenue]]), TRUE, FALSE)</f>
        <v>0</v>
      </c>
      <c r="V16" t="b">
        <f>IF(OR(CleanedSalesData[[#This Row],[Order Status]]="Cancelled", CleanedSalesData[[#This Row],[Order Status]]="Returned"), TRUE, FALSE)</f>
        <v>0</v>
      </c>
      <c r="W16" t="str" cm="1">
        <f t="array" ref="W1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7" spans="1:23" x14ac:dyDescent="0.35">
      <c r="A17" t="s">
        <v>89</v>
      </c>
      <c r="B17" s="7">
        <v>46190</v>
      </c>
      <c r="C17" t="s">
        <v>945</v>
      </c>
      <c r="D17">
        <v>6</v>
      </c>
      <c r="E17" t="s">
        <v>76</v>
      </c>
      <c r="F17" t="s">
        <v>59</v>
      </c>
      <c r="G17" t="s">
        <v>32</v>
      </c>
      <c r="H17" t="s">
        <v>90</v>
      </c>
      <c r="I17" t="s">
        <v>42</v>
      </c>
      <c r="J17" t="s">
        <v>43</v>
      </c>
      <c r="K17" t="s">
        <v>44</v>
      </c>
      <c r="L17">
        <v>8</v>
      </c>
      <c r="M17" s="10">
        <v>0.08</v>
      </c>
      <c r="N17" s="11">
        <v>2024000</v>
      </c>
      <c r="O17" s="11">
        <v>1240000</v>
      </c>
      <c r="P17" s="11">
        <v>784000</v>
      </c>
      <c r="Q17" t="s">
        <v>84</v>
      </c>
      <c r="R17" t="b">
        <f>COUNTIF($A$6     : CleanedSalesData[[#This Row],[Order ID]], CleanedSalesData[[#This Row],[Order ID]])&gt;1</f>
        <v>0</v>
      </c>
      <c r="S17" t="b">
        <f>IF(ISBLANK(CleanedSalesData[[#This Row],[Quantity]]), TRUE, FALSE)</f>
        <v>0</v>
      </c>
      <c r="T17" t="b">
        <f>IF(ISBLANK(CleanedSalesData[[#This Row],[Order Date]]), TRUE, FALSE)</f>
        <v>0</v>
      </c>
      <c r="U17" t="b">
        <f>IF(ISBLANK(CleanedSalesData[[#This Row],[Revenue]]), TRUE, FALSE)</f>
        <v>0</v>
      </c>
      <c r="V17" t="b">
        <f>IF(OR(CleanedSalesData[[#This Row],[Order Status]]="Cancelled", CleanedSalesData[[#This Row],[Order Status]]="Returned"), TRUE, FALSE)</f>
        <v>0</v>
      </c>
      <c r="W17" t="str" cm="1">
        <f t="array" ref="W1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" spans="1:23" x14ac:dyDescent="0.35">
      <c r="A18" t="s">
        <v>91</v>
      </c>
      <c r="B18" s="7">
        <v>46086</v>
      </c>
      <c r="C18" t="s">
        <v>947</v>
      </c>
      <c r="D18">
        <v>3</v>
      </c>
      <c r="E18" t="s">
        <v>54</v>
      </c>
      <c r="F18" t="s">
        <v>47</v>
      </c>
      <c r="G18" t="s">
        <v>48</v>
      </c>
      <c r="H18" t="s">
        <v>33</v>
      </c>
      <c r="I18" t="s">
        <v>49</v>
      </c>
      <c r="J18" t="s">
        <v>50</v>
      </c>
      <c r="K18" t="s">
        <v>51</v>
      </c>
      <c r="L18">
        <v>5</v>
      </c>
      <c r="M18" s="10">
        <v>0.15</v>
      </c>
      <c r="N18" s="11">
        <v>1041250</v>
      </c>
      <c r="O18" s="11">
        <v>725000</v>
      </c>
      <c r="P18" s="11">
        <v>316250</v>
      </c>
      <c r="Q18" t="s">
        <v>45</v>
      </c>
      <c r="R18" t="b">
        <f>COUNTIF($A$6     : CleanedSalesData[[#This Row],[Order ID]], CleanedSalesData[[#This Row],[Order ID]])&gt;1</f>
        <v>0</v>
      </c>
      <c r="S18" t="b">
        <f>IF(ISBLANK(CleanedSalesData[[#This Row],[Quantity]]), TRUE, FALSE)</f>
        <v>0</v>
      </c>
      <c r="T18" t="b">
        <f>IF(ISBLANK(CleanedSalesData[[#This Row],[Order Date]]), TRUE, FALSE)</f>
        <v>0</v>
      </c>
      <c r="U18" t="b">
        <f>IF(ISBLANK(CleanedSalesData[[#This Row],[Revenue]]), TRUE, FALSE)</f>
        <v>0</v>
      </c>
      <c r="V18" t="b">
        <f>IF(OR(CleanedSalesData[[#This Row],[Order Status]]="Cancelled", CleanedSalesData[[#This Row],[Order Status]]="Returned"), TRUE, FALSE)</f>
        <v>0</v>
      </c>
      <c r="W18" t="str" cm="1">
        <f t="array" ref="W1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" spans="1:23" x14ac:dyDescent="0.35">
      <c r="A19" t="s">
        <v>92</v>
      </c>
      <c r="B19" s="7">
        <v>46058</v>
      </c>
      <c r="C19" t="s">
        <v>944</v>
      </c>
      <c r="D19">
        <v>2</v>
      </c>
      <c r="E19" t="s">
        <v>30</v>
      </c>
      <c r="F19" t="s">
        <v>40</v>
      </c>
      <c r="G19" t="s">
        <v>32</v>
      </c>
      <c r="H19" t="s">
        <v>33</v>
      </c>
      <c r="I19" t="s">
        <v>55</v>
      </c>
      <c r="J19" t="s">
        <v>56</v>
      </c>
      <c r="K19" t="s">
        <v>36</v>
      </c>
      <c r="L19">
        <v>8</v>
      </c>
      <c r="M19" s="10">
        <v>0</v>
      </c>
      <c r="N19" s="11">
        <v>14800000</v>
      </c>
      <c r="O19" s="11">
        <v>10560000</v>
      </c>
      <c r="P19" s="11">
        <v>4240000</v>
      </c>
      <c r="Q19" t="s">
        <v>93</v>
      </c>
      <c r="R19" t="b">
        <f>COUNTIF($A$6     : CleanedSalesData[[#This Row],[Order ID]], CleanedSalesData[[#This Row],[Order ID]])&gt;1</f>
        <v>0</v>
      </c>
      <c r="S19" t="b">
        <f>IF(ISBLANK(CleanedSalesData[[#This Row],[Quantity]]), TRUE, FALSE)</f>
        <v>0</v>
      </c>
      <c r="T19" t="b">
        <f>IF(ISBLANK(CleanedSalesData[[#This Row],[Order Date]]), TRUE, FALSE)</f>
        <v>0</v>
      </c>
      <c r="U19" t="b">
        <f>IF(ISBLANK(CleanedSalesData[[#This Row],[Revenue]]), TRUE, FALSE)</f>
        <v>0</v>
      </c>
      <c r="V19" t="b">
        <f>IF(OR(CleanedSalesData[[#This Row],[Order Status]]="Cancelled", CleanedSalesData[[#This Row],[Order Status]]="Returned"), TRUE, FALSE)</f>
        <v>0</v>
      </c>
      <c r="W19" t="str" cm="1">
        <f t="array" ref="W1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" spans="1:23" x14ac:dyDescent="0.35">
      <c r="A20" t="s">
        <v>94</v>
      </c>
      <c r="B20" s="7">
        <v>46175</v>
      </c>
      <c r="C20" t="s">
        <v>945</v>
      </c>
      <c r="D20">
        <v>6</v>
      </c>
      <c r="E20" t="s">
        <v>95</v>
      </c>
      <c r="F20" t="s">
        <v>59</v>
      </c>
      <c r="G20" t="s">
        <v>81</v>
      </c>
      <c r="H20" t="s">
        <v>33</v>
      </c>
      <c r="I20" t="s">
        <v>60</v>
      </c>
      <c r="J20" t="s">
        <v>61</v>
      </c>
      <c r="K20" t="s">
        <v>62</v>
      </c>
      <c r="L20">
        <v>2</v>
      </c>
      <c r="M20" s="10">
        <v>0.08</v>
      </c>
      <c r="N20" s="11">
        <v>119600</v>
      </c>
      <c r="O20" s="11">
        <v>62000</v>
      </c>
      <c r="P20" s="11">
        <v>57600</v>
      </c>
      <c r="Q20" t="s">
        <v>37</v>
      </c>
      <c r="R20" t="b">
        <f>COUNTIF($A$6     : CleanedSalesData[[#This Row],[Order ID]], CleanedSalesData[[#This Row],[Order ID]])&gt;1</f>
        <v>0</v>
      </c>
      <c r="S20" t="b">
        <f>IF(ISBLANK(CleanedSalesData[[#This Row],[Quantity]]), TRUE, FALSE)</f>
        <v>0</v>
      </c>
      <c r="T20" t="b">
        <f>IF(ISBLANK(CleanedSalesData[[#This Row],[Order Date]]), TRUE, FALSE)</f>
        <v>0</v>
      </c>
      <c r="U20" t="b">
        <f>IF(ISBLANK(CleanedSalesData[[#This Row],[Revenue]]), TRUE, FALSE)</f>
        <v>0</v>
      </c>
      <c r="V20" t="b">
        <f>IF(OR(CleanedSalesData[[#This Row],[Order Status]]="Cancelled", CleanedSalesData[[#This Row],[Order Status]]="Returned"), TRUE, FALSE)</f>
        <v>0</v>
      </c>
      <c r="W20" t="str" cm="1">
        <f t="array" ref="W2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" spans="1:23" x14ac:dyDescent="0.35">
      <c r="A21" t="s">
        <v>96</v>
      </c>
      <c r="B21" s="7">
        <v>46197</v>
      </c>
      <c r="C21" t="s">
        <v>945</v>
      </c>
      <c r="D21">
        <v>6</v>
      </c>
      <c r="E21" t="s">
        <v>30</v>
      </c>
      <c r="F21" t="s">
        <v>70</v>
      </c>
      <c r="G21" t="s">
        <v>48</v>
      </c>
      <c r="H21" t="s">
        <v>33</v>
      </c>
      <c r="I21" t="s">
        <v>66</v>
      </c>
      <c r="J21" t="s">
        <v>67</v>
      </c>
      <c r="K21" t="s">
        <v>51</v>
      </c>
      <c r="L21">
        <v>5</v>
      </c>
      <c r="M21" s="10">
        <v>0.15</v>
      </c>
      <c r="N21" s="11">
        <v>1317500</v>
      </c>
      <c r="O21" s="11">
        <v>950000</v>
      </c>
      <c r="P21" s="11">
        <v>367500</v>
      </c>
      <c r="Q21" t="s">
        <v>52</v>
      </c>
      <c r="R21" t="b">
        <f>COUNTIF($A$6     : CleanedSalesData[[#This Row],[Order ID]], CleanedSalesData[[#This Row],[Order ID]])&gt;1</f>
        <v>0</v>
      </c>
      <c r="S21" t="b">
        <f>IF(ISBLANK(CleanedSalesData[[#This Row],[Quantity]]), TRUE, FALSE)</f>
        <v>0</v>
      </c>
      <c r="T21" t="b">
        <f>IF(ISBLANK(CleanedSalesData[[#This Row],[Order Date]]), TRUE, FALSE)</f>
        <v>0</v>
      </c>
      <c r="U21" t="b">
        <f>IF(ISBLANK(CleanedSalesData[[#This Row],[Revenue]]), TRUE, FALSE)</f>
        <v>0</v>
      </c>
      <c r="V21" t="b">
        <f>IF(OR(CleanedSalesData[[#This Row],[Order Status]]="Cancelled", CleanedSalesData[[#This Row],[Order Status]]="Returned"), TRUE, FALSE)</f>
        <v>0</v>
      </c>
      <c r="W21" t="str" cm="1">
        <f t="array" ref="W2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" spans="1:23" x14ac:dyDescent="0.35">
      <c r="A22" t="s">
        <v>97</v>
      </c>
      <c r="B22" s="7">
        <v>46023</v>
      </c>
      <c r="C22" t="s">
        <v>948</v>
      </c>
      <c r="D22">
        <v>1</v>
      </c>
      <c r="E22" t="s">
        <v>76</v>
      </c>
      <c r="F22" t="s">
        <v>47</v>
      </c>
      <c r="G22" t="s">
        <v>41</v>
      </c>
      <c r="H22" t="s">
        <v>33</v>
      </c>
      <c r="I22" t="s">
        <v>71</v>
      </c>
      <c r="J22" t="s">
        <v>72</v>
      </c>
      <c r="K22" t="s">
        <v>73</v>
      </c>
      <c r="L22">
        <v>5</v>
      </c>
      <c r="M22" s="10">
        <v>0.1</v>
      </c>
      <c r="N22" s="11">
        <v>562500</v>
      </c>
      <c r="O22" s="11">
        <v>350000</v>
      </c>
      <c r="P22" s="11">
        <v>212500</v>
      </c>
      <c r="Q22" t="s">
        <v>45</v>
      </c>
      <c r="R22" t="b">
        <f>COUNTIF($A$6     : CleanedSalesData[[#This Row],[Order ID]], CleanedSalesData[[#This Row],[Order ID]])&gt;1</f>
        <v>0</v>
      </c>
      <c r="S22" t="b">
        <f>IF(ISBLANK(CleanedSalesData[[#This Row],[Quantity]]), TRUE, FALSE)</f>
        <v>0</v>
      </c>
      <c r="T22" t="b">
        <f>IF(ISBLANK(CleanedSalesData[[#This Row],[Order Date]]), TRUE, FALSE)</f>
        <v>0</v>
      </c>
      <c r="U22" t="b">
        <f>IF(ISBLANK(CleanedSalesData[[#This Row],[Revenue]]), TRUE, FALSE)</f>
        <v>0</v>
      </c>
      <c r="V22" t="b">
        <f>IF(OR(CleanedSalesData[[#This Row],[Order Status]]="Cancelled", CleanedSalesData[[#This Row],[Order Status]]="Returned"), TRUE, FALSE)</f>
        <v>0</v>
      </c>
      <c r="W22" t="str" cm="1">
        <f t="array" ref="W2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" spans="1:23" x14ac:dyDescent="0.35">
      <c r="A23" t="s">
        <v>98</v>
      </c>
      <c r="B23" s="7">
        <v>46062</v>
      </c>
      <c r="C23" t="s">
        <v>944</v>
      </c>
      <c r="D23">
        <v>2</v>
      </c>
      <c r="E23" t="s">
        <v>54</v>
      </c>
      <c r="F23" t="s">
        <v>47</v>
      </c>
      <c r="G23" t="s">
        <v>41</v>
      </c>
      <c r="H23" t="s">
        <v>33</v>
      </c>
      <c r="I23" t="s">
        <v>78</v>
      </c>
      <c r="J23" t="s">
        <v>79</v>
      </c>
      <c r="K23" t="s">
        <v>62</v>
      </c>
      <c r="L23">
        <v>6</v>
      </c>
      <c r="M23" s="10">
        <v>0.03</v>
      </c>
      <c r="N23" s="11">
        <v>494700</v>
      </c>
      <c r="O23" s="11">
        <v>258000</v>
      </c>
      <c r="P23" s="11">
        <v>236700</v>
      </c>
      <c r="Q23" t="s">
        <v>52</v>
      </c>
      <c r="R23" t="b">
        <f>COUNTIF($A$6     : CleanedSalesData[[#This Row],[Order ID]], CleanedSalesData[[#This Row],[Order ID]])&gt;1</f>
        <v>0</v>
      </c>
      <c r="S23" t="b">
        <f>IF(ISBLANK(CleanedSalesData[[#This Row],[Quantity]]), TRUE, FALSE)</f>
        <v>0</v>
      </c>
      <c r="T23" t="b">
        <f>IF(ISBLANK(CleanedSalesData[[#This Row],[Order Date]]), TRUE, FALSE)</f>
        <v>0</v>
      </c>
      <c r="U23" t="b">
        <f>IF(ISBLANK(CleanedSalesData[[#This Row],[Revenue]]), TRUE, FALSE)</f>
        <v>0</v>
      </c>
      <c r="V23" t="b">
        <f>IF(OR(CleanedSalesData[[#This Row],[Order Status]]="Cancelled", CleanedSalesData[[#This Row],[Order Status]]="Returned"), TRUE, FALSE)</f>
        <v>0</v>
      </c>
      <c r="W23" t="str" cm="1">
        <f t="array" ref="W2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" spans="1:23" x14ac:dyDescent="0.35">
      <c r="A24" t="s">
        <v>99</v>
      </c>
      <c r="B24" s="7">
        <v>46027</v>
      </c>
      <c r="C24" t="s">
        <v>948</v>
      </c>
      <c r="D24">
        <v>1</v>
      </c>
      <c r="E24" t="s">
        <v>95</v>
      </c>
      <c r="F24" t="s">
        <v>70</v>
      </c>
      <c r="G24" t="s">
        <v>32</v>
      </c>
      <c r="H24" t="s">
        <v>90</v>
      </c>
      <c r="I24" t="s">
        <v>82</v>
      </c>
      <c r="J24" t="s">
        <v>83</v>
      </c>
      <c r="K24" t="s">
        <v>44</v>
      </c>
      <c r="L24">
        <v>2</v>
      </c>
      <c r="M24" s="10">
        <v>0.05</v>
      </c>
      <c r="N24" s="11">
        <v>2755000</v>
      </c>
      <c r="O24" s="11">
        <v>1960000</v>
      </c>
      <c r="P24" s="11">
        <v>795000</v>
      </c>
      <c r="Q24" t="s">
        <v>45</v>
      </c>
      <c r="R24" t="b">
        <f>COUNTIF($A$6     : CleanedSalesData[[#This Row],[Order ID]], CleanedSalesData[[#This Row],[Order ID]])&gt;1</f>
        <v>0</v>
      </c>
      <c r="S24" t="b">
        <f>IF(ISBLANK(CleanedSalesData[[#This Row],[Quantity]]), TRUE, FALSE)</f>
        <v>0</v>
      </c>
      <c r="T24" t="b">
        <f>IF(ISBLANK(CleanedSalesData[[#This Row],[Order Date]]), TRUE, FALSE)</f>
        <v>0</v>
      </c>
      <c r="U24" t="b">
        <f>IF(ISBLANK(CleanedSalesData[[#This Row],[Revenue]]), TRUE, FALSE)</f>
        <v>0</v>
      </c>
      <c r="V24" t="b">
        <f>IF(OR(CleanedSalesData[[#This Row],[Order Status]]="Cancelled", CleanedSalesData[[#This Row],[Order Status]]="Returned"), TRUE, FALSE)</f>
        <v>0</v>
      </c>
      <c r="W24" t="str" cm="1">
        <f t="array" ref="W2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" spans="1:23" x14ac:dyDescent="0.35">
      <c r="A25" t="s">
        <v>100</v>
      </c>
      <c r="B25" s="7">
        <v>46168</v>
      </c>
      <c r="C25" t="s">
        <v>946</v>
      </c>
      <c r="D25">
        <v>5</v>
      </c>
      <c r="E25" t="s">
        <v>30</v>
      </c>
      <c r="F25" t="s">
        <v>40</v>
      </c>
      <c r="G25" t="s">
        <v>32</v>
      </c>
      <c r="H25" t="s">
        <v>33</v>
      </c>
      <c r="I25" t="s">
        <v>86</v>
      </c>
      <c r="J25" t="s">
        <v>87</v>
      </c>
      <c r="K25" t="s">
        <v>36</v>
      </c>
      <c r="L25">
        <v>2</v>
      </c>
      <c r="M25" s="10">
        <v>0</v>
      </c>
      <c r="N25" s="11">
        <v>700000</v>
      </c>
      <c r="O25" s="11">
        <v>420000</v>
      </c>
      <c r="P25" s="11">
        <v>280000</v>
      </c>
      <c r="Q25" t="s">
        <v>52</v>
      </c>
      <c r="R25" t="b">
        <f>COUNTIF($A$6     : CleanedSalesData[[#This Row],[Order ID]], CleanedSalesData[[#This Row],[Order ID]])&gt;1</f>
        <v>0</v>
      </c>
      <c r="S25" t="b">
        <f>IF(ISBLANK(CleanedSalesData[[#This Row],[Quantity]]), TRUE, FALSE)</f>
        <v>0</v>
      </c>
      <c r="T25" t="b">
        <f>IF(ISBLANK(CleanedSalesData[[#This Row],[Order Date]]), TRUE, FALSE)</f>
        <v>0</v>
      </c>
      <c r="U25" t="b">
        <f>IF(ISBLANK(CleanedSalesData[[#This Row],[Revenue]]), TRUE, FALSE)</f>
        <v>0</v>
      </c>
      <c r="V25" t="b">
        <f>IF(OR(CleanedSalesData[[#This Row],[Order Status]]="Cancelled", CleanedSalesData[[#This Row],[Order Status]]="Returned"), TRUE, FALSE)</f>
        <v>0</v>
      </c>
      <c r="W25" t="str" cm="1">
        <f t="array" ref="W2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" spans="1:23" x14ac:dyDescent="0.35">
      <c r="A26" t="s">
        <v>101</v>
      </c>
      <c r="B26" s="7">
        <v>46163</v>
      </c>
      <c r="C26" t="s">
        <v>946</v>
      </c>
      <c r="D26">
        <v>5</v>
      </c>
      <c r="E26" t="s">
        <v>39</v>
      </c>
      <c r="F26" t="s">
        <v>47</v>
      </c>
      <c r="G26" t="s">
        <v>48</v>
      </c>
      <c r="H26" t="s">
        <v>33</v>
      </c>
      <c r="I26" t="s">
        <v>34</v>
      </c>
      <c r="J26" t="s">
        <v>35</v>
      </c>
      <c r="K26" t="s">
        <v>36</v>
      </c>
      <c r="L26">
        <v>3</v>
      </c>
      <c r="M26" s="10">
        <v>0.05</v>
      </c>
      <c r="N26" s="11">
        <v>1353750</v>
      </c>
      <c r="O26" s="11">
        <v>855000</v>
      </c>
      <c r="P26" s="11">
        <v>498750</v>
      </c>
      <c r="Q26" t="s">
        <v>45</v>
      </c>
      <c r="R26" t="b">
        <f>COUNTIF($A$6     : CleanedSalesData[[#This Row],[Order ID]], CleanedSalesData[[#This Row],[Order ID]])&gt;1</f>
        <v>0</v>
      </c>
      <c r="S26" t="b">
        <f>IF(ISBLANK(CleanedSalesData[[#This Row],[Quantity]]), TRUE, FALSE)</f>
        <v>0</v>
      </c>
      <c r="T26" t="b">
        <f>IF(ISBLANK(CleanedSalesData[[#This Row],[Order Date]]), TRUE, FALSE)</f>
        <v>0</v>
      </c>
      <c r="U26" t="b">
        <f>IF(ISBLANK(CleanedSalesData[[#This Row],[Revenue]]), TRUE, FALSE)</f>
        <v>0</v>
      </c>
      <c r="V26" t="b">
        <f>IF(OR(CleanedSalesData[[#This Row],[Order Status]]="Cancelled", CleanedSalesData[[#This Row],[Order Status]]="Returned"), TRUE, FALSE)</f>
        <v>0</v>
      </c>
      <c r="W26" t="str" cm="1">
        <f t="array" ref="W2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7" spans="1:23" x14ac:dyDescent="0.35">
      <c r="A27" t="s">
        <v>102</v>
      </c>
      <c r="B27" s="7">
        <v>46102</v>
      </c>
      <c r="C27" t="s">
        <v>947</v>
      </c>
      <c r="D27">
        <v>3</v>
      </c>
      <c r="E27" t="s">
        <v>69</v>
      </c>
      <c r="F27" t="s">
        <v>59</v>
      </c>
      <c r="G27" t="s">
        <v>48</v>
      </c>
      <c r="H27" t="s">
        <v>33</v>
      </c>
      <c r="I27" t="s">
        <v>42</v>
      </c>
      <c r="J27" t="s">
        <v>43</v>
      </c>
      <c r="K27" t="s">
        <v>44</v>
      </c>
      <c r="L27">
        <v>7</v>
      </c>
      <c r="M27" s="10">
        <v>0.15</v>
      </c>
      <c r="N27" s="11">
        <v>1636250</v>
      </c>
      <c r="O27" s="11">
        <v>1085000</v>
      </c>
      <c r="P27" s="11">
        <v>551250</v>
      </c>
      <c r="Q27" t="s">
        <v>45</v>
      </c>
      <c r="R27" t="b">
        <f>COUNTIF($A$6     : CleanedSalesData[[#This Row],[Order ID]], CleanedSalesData[[#This Row],[Order ID]])&gt;1</f>
        <v>0</v>
      </c>
      <c r="S27" t="b">
        <f>IF(ISBLANK(CleanedSalesData[[#This Row],[Quantity]]), TRUE, FALSE)</f>
        <v>0</v>
      </c>
      <c r="T27" t="b">
        <f>IF(ISBLANK(CleanedSalesData[[#This Row],[Order Date]]), TRUE, FALSE)</f>
        <v>0</v>
      </c>
      <c r="U27" t="b">
        <f>IF(ISBLANK(CleanedSalesData[[#This Row],[Revenue]]), TRUE, FALSE)</f>
        <v>0</v>
      </c>
      <c r="V27" t="b">
        <f>IF(OR(CleanedSalesData[[#This Row],[Order Status]]="Cancelled", CleanedSalesData[[#This Row],[Order Status]]="Returned"), TRUE, FALSE)</f>
        <v>0</v>
      </c>
      <c r="W27" t="str" cm="1">
        <f t="array" ref="W2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" spans="1:23" x14ac:dyDescent="0.35">
      <c r="A28" t="s">
        <v>103</v>
      </c>
      <c r="B28" s="7">
        <v>46080</v>
      </c>
      <c r="C28" t="s">
        <v>944</v>
      </c>
      <c r="D28">
        <v>2</v>
      </c>
      <c r="E28" t="s">
        <v>39</v>
      </c>
      <c r="F28" t="s">
        <v>47</v>
      </c>
      <c r="G28" t="s">
        <v>32</v>
      </c>
      <c r="H28" t="s">
        <v>33</v>
      </c>
      <c r="I28" t="s">
        <v>49</v>
      </c>
      <c r="J28" t="s">
        <v>50</v>
      </c>
      <c r="K28" t="s">
        <v>51</v>
      </c>
      <c r="L28">
        <v>2</v>
      </c>
      <c r="M28" s="10">
        <v>0.05</v>
      </c>
      <c r="N28" s="11">
        <v>465500</v>
      </c>
      <c r="O28" s="11">
        <v>290000</v>
      </c>
      <c r="P28" s="11">
        <v>175500</v>
      </c>
      <c r="Q28" t="s">
        <v>74</v>
      </c>
      <c r="R28" t="b">
        <f>COUNTIF($A$6     : CleanedSalesData[[#This Row],[Order ID]], CleanedSalesData[[#This Row],[Order ID]])&gt;1</f>
        <v>0</v>
      </c>
      <c r="S28" t="b">
        <f>IF(ISBLANK(CleanedSalesData[[#This Row],[Quantity]]), TRUE, FALSE)</f>
        <v>0</v>
      </c>
      <c r="T28" t="b">
        <f>IF(ISBLANK(CleanedSalesData[[#This Row],[Order Date]]), TRUE, FALSE)</f>
        <v>0</v>
      </c>
      <c r="U28" t="b">
        <f>IF(ISBLANK(CleanedSalesData[[#This Row],[Revenue]]), TRUE, FALSE)</f>
        <v>0</v>
      </c>
      <c r="V28" t="b">
        <f>IF(OR(CleanedSalesData[[#This Row],[Order Status]]="Cancelled", CleanedSalesData[[#This Row],[Order Status]]="Returned"), TRUE, FALSE)</f>
        <v>0</v>
      </c>
      <c r="W28" t="str" cm="1">
        <f t="array" ref="W2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" spans="1:23" x14ac:dyDescent="0.35">
      <c r="A29" t="s">
        <v>104</v>
      </c>
      <c r="B29" s="7">
        <v>46041</v>
      </c>
      <c r="C29" t="s">
        <v>948</v>
      </c>
      <c r="D29">
        <v>1</v>
      </c>
      <c r="E29" t="s">
        <v>69</v>
      </c>
      <c r="F29" t="s">
        <v>40</v>
      </c>
      <c r="G29" t="s">
        <v>81</v>
      </c>
      <c r="H29" t="s">
        <v>33</v>
      </c>
      <c r="I29" t="s">
        <v>55</v>
      </c>
      <c r="J29" t="s">
        <v>56</v>
      </c>
      <c r="K29" t="s">
        <v>36</v>
      </c>
      <c r="L29">
        <v>1</v>
      </c>
      <c r="M29" s="10">
        <v>0.03</v>
      </c>
      <c r="N29" s="11">
        <v>1794500</v>
      </c>
      <c r="O29" s="11">
        <v>1320000</v>
      </c>
      <c r="P29" s="11">
        <v>474500</v>
      </c>
      <c r="Q29" t="s">
        <v>45</v>
      </c>
      <c r="R29" t="b">
        <f>COUNTIF($A$6     : CleanedSalesData[[#This Row],[Order ID]], CleanedSalesData[[#This Row],[Order ID]])&gt;1</f>
        <v>0</v>
      </c>
      <c r="S29" t="b">
        <f>IF(ISBLANK(CleanedSalesData[[#This Row],[Quantity]]), TRUE, FALSE)</f>
        <v>0</v>
      </c>
      <c r="T29" t="b">
        <f>IF(ISBLANK(CleanedSalesData[[#This Row],[Order Date]]), TRUE, FALSE)</f>
        <v>0</v>
      </c>
      <c r="U29" t="b">
        <f>IF(ISBLANK(CleanedSalesData[[#This Row],[Revenue]]), TRUE, FALSE)</f>
        <v>0</v>
      </c>
      <c r="V29" t="b">
        <f>IF(OR(CleanedSalesData[[#This Row],[Order Status]]="Cancelled", CleanedSalesData[[#This Row],[Order Status]]="Returned"), TRUE, FALSE)</f>
        <v>0</v>
      </c>
      <c r="W29" t="str" cm="1">
        <f t="array" ref="W2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" spans="1:23" x14ac:dyDescent="0.35">
      <c r="A30" t="s">
        <v>105</v>
      </c>
      <c r="B30" s="7">
        <v>46094</v>
      </c>
      <c r="C30" t="s">
        <v>947</v>
      </c>
      <c r="D30">
        <v>3</v>
      </c>
      <c r="E30" t="s">
        <v>39</v>
      </c>
      <c r="F30" t="s">
        <v>47</v>
      </c>
      <c r="G30" t="s">
        <v>48</v>
      </c>
      <c r="H30" t="s">
        <v>33</v>
      </c>
      <c r="I30" t="s">
        <v>60</v>
      </c>
      <c r="J30" t="s">
        <v>61</v>
      </c>
      <c r="K30" t="s">
        <v>62</v>
      </c>
      <c r="L30">
        <v>8</v>
      </c>
      <c r="M30" s="10">
        <v>0.03</v>
      </c>
      <c r="N30" s="11">
        <v>504400</v>
      </c>
      <c r="O30" s="11">
        <v>248000</v>
      </c>
      <c r="P30" s="11">
        <v>256400</v>
      </c>
      <c r="Q30" t="s">
        <v>52</v>
      </c>
      <c r="R30" t="b">
        <f>COUNTIF($A$6     : CleanedSalesData[[#This Row],[Order ID]], CleanedSalesData[[#This Row],[Order ID]])&gt;1</f>
        <v>0</v>
      </c>
      <c r="S30" t="b">
        <f>IF(ISBLANK(CleanedSalesData[[#This Row],[Quantity]]), TRUE, FALSE)</f>
        <v>0</v>
      </c>
      <c r="T30" t="b">
        <f>IF(ISBLANK(CleanedSalesData[[#This Row],[Order Date]]), TRUE, FALSE)</f>
        <v>0</v>
      </c>
      <c r="U30" t="b">
        <f>IF(ISBLANK(CleanedSalesData[[#This Row],[Revenue]]), TRUE, FALSE)</f>
        <v>0</v>
      </c>
      <c r="V30" t="b">
        <f>IF(OR(CleanedSalesData[[#This Row],[Order Status]]="Cancelled", CleanedSalesData[[#This Row],[Order Status]]="Returned"), TRUE, FALSE)</f>
        <v>0</v>
      </c>
      <c r="W30" t="str" cm="1">
        <f t="array" ref="W3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" spans="1:23" x14ac:dyDescent="0.35">
      <c r="A31" t="s">
        <v>106</v>
      </c>
      <c r="B31" s="7">
        <v>46127</v>
      </c>
      <c r="C31" t="s">
        <v>949</v>
      </c>
      <c r="D31">
        <v>4</v>
      </c>
      <c r="E31" t="s">
        <v>65</v>
      </c>
      <c r="F31" t="s">
        <v>59</v>
      </c>
      <c r="G31" t="s">
        <v>81</v>
      </c>
      <c r="H31" t="s">
        <v>33</v>
      </c>
      <c r="I31" t="s">
        <v>66</v>
      </c>
      <c r="J31" t="s">
        <v>67</v>
      </c>
      <c r="K31" t="s">
        <v>51</v>
      </c>
      <c r="L31">
        <v>4</v>
      </c>
      <c r="M31" s="10">
        <v>0</v>
      </c>
      <c r="N31" s="11">
        <v>1240000</v>
      </c>
      <c r="O31" s="11">
        <v>760000</v>
      </c>
      <c r="P31" s="11">
        <v>480000</v>
      </c>
      <c r="Q31" t="s">
        <v>93</v>
      </c>
      <c r="R31" t="b">
        <f>COUNTIF($A$6     : CleanedSalesData[[#This Row],[Order ID]], CleanedSalesData[[#This Row],[Order ID]])&gt;1</f>
        <v>0</v>
      </c>
      <c r="S31" t="b">
        <f>IF(ISBLANK(CleanedSalesData[[#This Row],[Quantity]]), TRUE, FALSE)</f>
        <v>0</v>
      </c>
      <c r="T31" t="b">
        <f>IF(ISBLANK(CleanedSalesData[[#This Row],[Order Date]]), TRUE, FALSE)</f>
        <v>0</v>
      </c>
      <c r="U31" t="b">
        <f>IF(ISBLANK(CleanedSalesData[[#This Row],[Revenue]]), TRUE, FALSE)</f>
        <v>0</v>
      </c>
      <c r="V31" t="b">
        <f>IF(OR(CleanedSalesData[[#This Row],[Order Status]]="Cancelled", CleanedSalesData[[#This Row],[Order Status]]="Returned"), TRUE, FALSE)</f>
        <v>0</v>
      </c>
      <c r="W31" t="str" cm="1">
        <f t="array" ref="W3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" spans="1:23" x14ac:dyDescent="0.35">
      <c r="A32" t="s">
        <v>107</v>
      </c>
      <c r="B32" s="7">
        <v>46142</v>
      </c>
      <c r="C32" t="s">
        <v>949</v>
      </c>
      <c r="D32">
        <v>4</v>
      </c>
      <c r="E32" t="s">
        <v>65</v>
      </c>
      <c r="F32" t="s">
        <v>40</v>
      </c>
      <c r="G32" t="s">
        <v>41</v>
      </c>
      <c r="H32" t="s">
        <v>33</v>
      </c>
      <c r="I32" t="s">
        <v>71</v>
      </c>
      <c r="J32" t="s">
        <v>72</v>
      </c>
      <c r="K32" t="s">
        <v>73</v>
      </c>
      <c r="L32">
        <v>1</v>
      </c>
      <c r="M32" s="10">
        <v>0.15</v>
      </c>
      <c r="N32" s="11">
        <v>106250</v>
      </c>
      <c r="O32" s="11">
        <v>70000</v>
      </c>
      <c r="P32" s="11">
        <v>36250</v>
      </c>
      <c r="Q32" t="s">
        <v>63</v>
      </c>
      <c r="R32" t="b">
        <f>COUNTIF($A$6     : CleanedSalesData[[#This Row],[Order ID]], CleanedSalesData[[#This Row],[Order ID]])&gt;1</f>
        <v>0</v>
      </c>
      <c r="S32" t="b">
        <f>IF(ISBLANK(CleanedSalesData[[#This Row],[Quantity]]), TRUE, FALSE)</f>
        <v>0</v>
      </c>
      <c r="T32" t="b">
        <f>IF(ISBLANK(CleanedSalesData[[#This Row],[Order Date]]), TRUE, FALSE)</f>
        <v>0</v>
      </c>
      <c r="U32" t="b">
        <f>IF(ISBLANK(CleanedSalesData[[#This Row],[Revenue]]), TRUE, FALSE)</f>
        <v>0</v>
      </c>
      <c r="V32" t="b">
        <f>IF(OR(CleanedSalesData[[#This Row],[Order Status]]="Cancelled", CleanedSalesData[[#This Row],[Order Status]]="Returned"), TRUE, FALSE)</f>
        <v>0</v>
      </c>
      <c r="W32" t="str" cm="1">
        <f t="array" ref="W3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" spans="1:23" x14ac:dyDescent="0.35">
      <c r="A33" t="s">
        <v>108</v>
      </c>
      <c r="B33" s="7">
        <v>46050</v>
      </c>
      <c r="C33" t="s">
        <v>948</v>
      </c>
      <c r="D33">
        <v>1</v>
      </c>
      <c r="E33" t="s">
        <v>65</v>
      </c>
      <c r="F33" t="s">
        <v>59</v>
      </c>
      <c r="G33" t="s">
        <v>32</v>
      </c>
      <c r="H33" t="s">
        <v>33</v>
      </c>
      <c r="I33" t="s">
        <v>78</v>
      </c>
      <c r="J33" t="s">
        <v>79</v>
      </c>
      <c r="K33" t="s">
        <v>62</v>
      </c>
      <c r="L33">
        <v>4</v>
      </c>
      <c r="M33" s="10">
        <v>0.03</v>
      </c>
      <c r="N33" s="11">
        <v>329800</v>
      </c>
      <c r="O33" s="11">
        <v>172000</v>
      </c>
      <c r="P33" s="11">
        <v>157800</v>
      </c>
      <c r="Q33" t="s">
        <v>84</v>
      </c>
      <c r="R33" t="b">
        <f>COUNTIF($A$6     : CleanedSalesData[[#This Row],[Order ID]], CleanedSalesData[[#This Row],[Order ID]])&gt;1</f>
        <v>0</v>
      </c>
      <c r="S33" t="b">
        <f>IF(ISBLANK(CleanedSalesData[[#This Row],[Quantity]]), TRUE, FALSE)</f>
        <v>0</v>
      </c>
      <c r="T33" t="b">
        <f>IF(ISBLANK(CleanedSalesData[[#This Row],[Order Date]]), TRUE, FALSE)</f>
        <v>0</v>
      </c>
      <c r="U33" t="b">
        <f>IF(ISBLANK(CleanedSalesData[[#This Row],[Revenue]]), TRUE, FALSE)</f>
        <v>0</v>
      </c>
      <c r="V33" t="b">
        <f>IF(OR(CleanedSalesData[[#This Row],[Order Status]]="Cancelled", CleanedSalesData[[#This Row],[Order Status]]="Returned"), TRUE, FALSE)</f>
        <v>0</v>
      </c>
      <c r="W33" t="str" cm="1">
        <f t="array" ref="W3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" spans="1:23" x14ac:dyDescent="0.35">
      <c r="A34" t="s">
        <v>109</v>
      </c>
      <c r="B34" s="7">
        <v>46094</v>
      </c>
      <c r="C34" t="s">
        <v>947</v>
      </c>
      <c r="D34">
        <v>3</v>
      </c>
      <c r="E34" t="s">
        <v>69</v>
      </c>
      <c r="F34" t="s">
        <v>40</v>
      </c>
      <c r="G34" t="s">
        <v>48</v>
      </c>
      <c r="H34" t="s">
        <v>90</v>
      </c>
      <c r="I34" t="s">
        <v>82</v>
      </c>
      <c r="J34" t="s">
        <v>83</v>
      </c>
      <c r="K34" t="s">
        <v>44</v>
      </c>
      <c r="L34">
        <v>8</v>
      </c>
      <c r="M34" s="10">
        <v>0.03</v>
      </c>
      <c r="N34" s="11">
        <v>11252000</v>
      </c>
      <c r="O34" s="11">
        <v>7840000</v>
      </c>
      <c r="P34" s="11">
        <v>3412000</v>
      </c>
      <c r="Q34" t="s">
        <v>74</v>
      </c>
      <c r="R34" t="b">
        <f>COUNTIF($A$6     : CleanedSalesData[[#This Row],[Order ID]], CleanedSalesData[[#This Row],[Order ID]])&gt;1</f>
        <v>0</v>
      </c>
      <c r="S34" t="b">
        <f>IF(ISBLANK(CleanedSalesData[[#This Row],[Quantity]]), TRUE, FALSE)</f>
        <v>0</v>
      </c>
      <c r="T34" t="b">
        <f>IF(ISBLANK(CleanedSalesData[[#This Row],[Order Date]]), TRUE, FALSE)</f>
        <v>0</v>
      </c>
      <c r="U34" t="b">
        <f>IF(ISBLANK(CleanedSalesData[[#This Row],[Revenue]]), TRUE, FALSE)</f>
        <v>0</v>
      </c>
      <c r="V34" t="b">
        <f>IF(OR(CleanedSalesData[[#This Row],[Order Status]]="Cancelled", CleanedSalesData[[#This Row],[Order Status]]="Returned"), TRUE, FALSE)</f>
        <v>0</v>
      </c>
      <c r="W34" t="str" cm="1">
        <f t="array" ref="W3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5" spans="1:23" x14ac:dyDescent="0.35">
      <c r="A35" t="s">
        <v>110</v>
      </c>
      <c r="B35" s="7">
        <v>46189</v>
      </c>
      <c r="C35" t="s">
        <v>945</v>
      </c>
      <c r="D35">
        <v>6</v>
      </c>
      <c r="E35" t="s">
        <v>111</v>
      </c>
      <c r="F35" t="s">
        <v>31</v>
      </c>
      <c r="G35" t="s">
        <v>48</v>
      </c>
      <c r="H35" t="s">
        <v>112</v>
      </c>
      <c r="I35" t="s">
        <v>86</v>
      </c>
      <c r="J35" t="s">
        <v>87</v>
      </c>
      <c r="K35" t="s">
        <v>36</v>
      </c>
      <c r="L35">
        <v>1</v>
      </c>
      <c r="M35" s="10">
        <v>0</v>
      </c>
      <c r="N35" s="11">
        <v>0</v>
      </c>
      <c r="O35" s="11">
        <v>210000</v>
      </c>
      <c r="P35" s="11">
        <v>-210000</v>
      </c>
      <c r="Q35" t="s">
        <v>52</v>
      </c>
      <c r="R35" t="b">
        <f>COUNTIF($A$6     : CleanedSalesData[[#This Row],[Order ID]], CleanedSalesData[[#This Row],[Order ID]])&gt;1</f>
        <v>0</v>
      </c>
      <c r="S35" t="b">
        <f>IF(ISBLANK(CleanedSalesData[[#This Row],[Quantity]]), TRUE, FALSE)</f>
        <v>0</v>
      </c>
      <c r="T35" t="b">
        <f>IF(ISBLANK(CleanedSalesData[[#This Row],[Order Date]]), TRUE, FALSE)</f>
        <v>0</v>
      </c>
      <c r="U35" t="b">
        <f>IF(ISBLANK(CleanedSalesData[[#This Row],[Revenue]]), TRUE, FALSE)</f>
        <v>0</v>
      </c>
      <c r="V35" t="b">
        <f>IF(OR(CleanedSalesData[[#This Row],[Order Status]]="Cancelled", CleanedSalesData[[#This Row],[Order Status]]="Returned"), TRUE, FALSE)</f>
        <v>1</v>
      </c>
      <c r="W35" t="str" cm="1">
        <f t="array" ref="W3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6" spans="1:23" x14ac:dyDescent="0.35">
      <c r="A36" t="s">
        <v>113</v>
      </c>
      <c r="B36" s="7">
        <v>46077</v>
      </c>
      <c r="C36" t="s">
        <v>944</v>
      </c>
      <c r="D36">
        <v>2</v>
      </c>
      <c r="E36" t="s">
        <v>76</v>
      </c>
      <c r="F36" t="s">
        <v>40</v>
      </c>
      <c r="G36" t="s">
        <v>48</v>
      </c>
      <c r="H36" t="s">
        <v>33</v>
      </c>
      <c r="I36" t="s">
        <v>34</v>
      </c>
      <c r="J36" t="s">
        <v>35</v>
      </c>
      <c r="K36" t="s">
        <v>36</v>
      </c>
      <c r="L36">
        <v>7</v>
      </c>
      <c r="M36" s="10">
        <v>0</v>
      </c>
      <c r="N36" s="11">
        <v>3325000</v>
      </c>
      <c r="O36" s="11">
        <v>1995000</v>
      </c>
      <c r="P36" s="11">
        <v>1330000</v>
      </c>
      <c r="Q36" t="s">
        <v>52</v>
      </c>
      <c r="R36" t="b">
        <f>COUNTIF($A$6     : CleanedSalesData[[#This Row],[Order ID]], CleanedSalesData[[#This Row],[Order ID]])&gt;1</f>
        <v>0</v>
      </c>
      <c r="S36" t="b">
        <f>IF(ISBLANK(CleanedSalesData[[#This Row],[Quantity]]), TRUE, FALSE)</f>
        <v>0</v>
      </c>
      <c r="T36" t="b">
        <f>IF(ISBLANK(CleanedSalesData[[#This Row],[Order Date]]), TRUE, FALSE)</f>
        <v>0</v>
      </c>
      <c r="U36" t="b">
        <f>IF(ISBLANK(CleanedSalesData[[#This Row],[Revenue]]), TRUE, FALSE)</f>
        <v>0</v>
      </c>
      <c r="V36" t="b">
        <f>IF(OR(CleanedSalesData[[#This Row],[Order Status]]="Cancelled", CleanedSalesData[[#This Row],[Order Status]]="Returned"), TRUE, FALSE)</f>
        <v>0</v>
      </c>
      <c r="W36" t="str" cm="1">
        <f t="array" ref="W3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" spans="1:23" x14ac:dyDescent="0.35">
      <c r="A37" t="s">
        <v>114</v>
      </c>
      <c r="B37" s="7">
        <v>46096</v>
      </c>
      <c r="C37" t="s">
        <v>947</v>
      </c>
      <c r="D37">
        <v>3</v>
      </c>
      <c r="E37" t="s">
        <v>39</v>
      </c>
      <c r="F37" t="s">
        <v>59</v>
      </c>
      <c r="G37" t="s">
        <v>32</v>
      </c>
      <c r="H37" t="s">
        <v>112</v>
      </c>
      <c r="I37" t="s">
        <v>42</v>
      </c>
      <c r="J37" t="s">
        <v>43</v>
      </c>
      <c r="K37" t="s">
        <v>44</v>
      </c>
      <c r="L37">
        <v>7</v>
      </c>
      <c r="M37" s="10">
        <v>0.15</v>
      </c>
      <c r="N37" s="11">
        <v>818125</v>
      </c>
      <c r="O37" s="11">
        <v>1085000</v>
      </c>
      <c r="P37" s="11">
        <v>-266875</v>
      </c>
      <c r="Q37" t="s">
        <v>57</v>
      </c>
      <c r="R37" t="b">
        <f>COUNTIF($A$6     : CleanedSalesData[[#This Row],[Order ID]], CleanedSalesData[[#This Row],[Order ID]])&gt;1</f>
        <v>0</v>
      </c>
      <c r="S37" t="b">
        <f>IF(ISBLANK(CleanedSalesData[[#This Row],[Quantity]]), TRUE, FALSE)</f>
        <v>0</v>
      </c>
      <c r="T37" t="b">
        <f>IF(ISBLANK(CleanedSalesData[[#This Row],[Order Date]]), TRUE, FALSE)</f>
        <v>0</v>
      </c>
      <c r="U37" t="b">
        <f>IF(ISBLANK(CleanedSalesData[[#This Row],[Revenue]]), TRUE, FALSE)</f>
        <v>0</v>
      </c>
      <c r="V37" t="b">
        <f>IF(OR(CleanedSalesData[[#This Row],[Order Status]]="Cancelled", CleanedSalesData[[#This Row],[Order Status]]="Returned"), TRUE, FALSE)</f>
        <v>1</v>
      </c>
      <c r="W37" t="str" cm="1">
        <f t="array" ref="W3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8" spans="1:23" x14ac:dyDescent="0.35">
      <c r="A38" t="s">
        <v>115</v>
      </c>
      <c r="B38" s="7">
        <v>46078</v>
      </c>
      <c r="C38" t="s">
        <v>944</v>
      </c>
      <c r="D38">
        <v>2</v>
      </c>
      <c r="E38" t="s">
        <v>95</v>
      </c>
      <c r="F38" t="s">
        <v>40</v>
      </c>
      <c r="G38" t="s">
        <v>81</v>
      </c>
      <c r="H38" t="s">
        <v>33</v>
      </c>
      <c r="I38" t="s">
        <v>49</v>
      </c>
      <c r="J38" t="s">
        <v>50</v>
      </c>
      <c r="K38" t="s">
        <v>51</v>
      </c>
      <c r="L38">
        <v>1</v>
      </c>
      <c r="M38" s="10">
        <v>0.1</v>
      </c>
      <c r="N38" s="11">
        <v>220500</v>
      </c>
      <c r="O38" s="11">
        <v>145000</v>
      </c>
      <c r="P38" s="11">
        <v>75500</v>
      </c>
      <c r="Q38" t="s">
        <v>74</v>
      </c>
      <c r="R38" t="b">
        <f>COUNTIF($A$6     : CleanedSalesData[[#This Row],[Order ID]], CleanedSalesData[[#This Row],[Order ID]])&gt;1</f>
        <v>0</v>
      </c>
      <c r="S38" t="b">
        <f>IF(ISBLANK(CleanedSalesData[[#This Row],[Quantity]]), TRUE, FALSE)</f>
        <v>0</v>
      </c>
      <c r="T38" t="b">
        <f>IF(ISBLANK(CleanedSalesData[[#This Row],[Order Date]]), TRUE, FALSE)</f>
        <v>0</v>
      </c>
      <c r="U38" t="b">
        <f>IF(ISBLANK(CleanedSalesData[[#This Row],[Revenue]]), TRUE, FALSE)</f>
        <v>0</v>
      </c>
      <c r="V38" t="b">
        <f>IF(OR(CleanedSalesData[[#This Row],[Order Status]]="Cancelled", CleanedSalesData[[#This Row],[Order Status]]="Returned"), TRUE, FALSE)</f>
        <v>0</v>
      </c>
      <c r="W38" t="str" cm="1">
        <f t="array" ref="W3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" spans="1:23" x14ac:dyDescent="0.35">
      <c r="A39" t="s">
        <v>116</v>
      </c>
      <c r="B39" s="7">
        <v>46172</v>
      </c>
      <c r="C39" t="s">
        <v>946</v>
      </c>
      <c r="D39">
        <v>5</v>
      </c>
      <c r="E39" t="s">
        <v>69</v>
      </c>
      <c r="F39" t="s">
        <v>31</v>
      </c>
      <c r="G39" t="s">
        <v>41</v>
      </c>
      <c r="H39" t="s">
        <v>112</v>
      </c>
      <c r="I39" t="s">
        <v>55</v>
      </c>
      <c r="J39" t="s">
        <v>56</v>
      </c>
      <c r="K39" t="s">
        <v>36</v>
      </c>
      <c r="L39">
        <v>8</v>
      </c>
      <c r="M39" s="10">
        <v>0.1</v>
      </c>
      <c r="N39" s="11">
        <v>6660000</v>
      </c>
      <c r="O39" s="11">
        <v>10560000</v>
      </c>
      <c r="P39" s="11">
        <v>-3900000</v>
      </c>
      <c r="Q39" t="s">
        <v>84</v>
      </c>
      <c r="R39" t="b">
        <f>COUNTIF($A$6     : CleanedSalesData[[#This Row],[Order ID]], CleanedSalesData[[#This Row],[Order ID]])&gt;1</f>
        <v>0</v>
      </c>
      <c r="S39" t="b">
        <f>IF(ISBLANK(CleanedSalesData[[#This Row],[Quantity]]), TRUE, FALSE)</f>
        <v>0</v>
      </c>
      <c r="T39" t="b">
        <f>IF(ISBLANK(CleanedSalesData[[#This Row],[Order Date]]), TRUE, FALSE)</f>
        <v>0</v>
      </c>
      <c r="U39" t="b">
        <f>IF(ISBLANK(CleanedSalesData[[#This Row],[Revenue]]), TRUE, FALSE)</f>
        <v>0</v>
      </c>
      <c r="V39" t="b">
        <f>IF(OR(CleanedSalesData[[#This Row],[Order Status]]="Cancelled", CleanedSalesData[[#This Row],[Order Status]]="Returned"), TRUE, FALSE)</f>
        <v>1</v>
      </c>
      <c r="W39" t="str" cm="1">
        <f t="array" ref="W3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0" spans="1:23" x14ac:dyDescent="0.35">
      <c r="A40" t="s">
        <v>117</v>
      </c>
      <c r="B40" s="7">
        <v>46040</v>
      </c>
      <c r="C40" t="s">
        <v>948</v>
      </c>
      <c r="D40">
        <v>1</v>
      </c>
      <c r="E40" t="s">
        <v>39</v>
      </c>
      <c r="F40" t="s">
        <v>59</v>
      </c>
      <c r="G40" t="s">
        <v>41</v>
      </c>
      <c r="H40" t="s">
        <v>90</v>
      </c>
      <c r="I40" t="s">
        <v>60</v>
      </c>
      <c r="J40" t="s">
        <v>61</v>
      </c>
      <c r="K40" t="s">
        <v>62</v>
      </c>
      <c r="L40">
        <v>2</v>
      </c>
      <c r="M40" s="10">
        <v>0.15</v>
      </c>
      <c r="N40" s="11">
        <v>110500</v>
      </c>
      <c r="O40" s="11">
        <v>62000</v>
      </c>
      <c r="P40" s="11">
        <v>48500</v>
      </c>
      <c r="Q40" t="s">
        <v>74</v>
      </c>
      <c r="R40" t="b">
        <f>COUNTIF($A$6     : CleanedSalesData[[#This Row],[Order ID]], CleanedSalesData[[#This Row],[Order ID]])&gt;1</f>
        <v>0</v>
      </c>
      <c r="S40" t="b">
        <f>IF(ISBLANK(CleanedSalesData[[#This Row],[Quantity]]), TRUE, FALSE)</f>
        <v>0</v>
      </c>
      <c r="T40" t="b">
        <f>IF(ISBLANK(CleanedSalesData[[#This Row],[Order Date]]), TRUE, FALSE)</f>
        <v>0</v>
      </c>
      <c r="U40" t="b">
        <f>IF(ISBLANK(CleanedSalesData[[#This Row],[Revenue]]), TRUE, FALSE)</f>
        <v>0</v>
      </c>
      <c r="V40" t="b">
        <f>IF(OR(CleanedSalesData[[#This Row],[Order Status]]="Cancelled", CleanedSalesData[[#This Row],[Order Status]]="Returned"), TRUE, FALSE)</f>
        <v>0</v>
      </c>
      <c r="W40" t="str" cm="1">
        <f t="array" ref="W4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" spans="1:23" x14ac:dyDescent="0.35">
      <c r="A41" t="s">
        <v>118</v>
      </c>
      <c r="B41" s="7">
        <v>46181</v>
      </c>
      <c r="C41" t="s">
        <v>945</v>
      </c>
      <c r="D41">
        <v>6</v>
      </c>
      <c r="E41" t="s">
        <v>76</v>
      </c>
      <c r="F41" t="s">
        <v>47</v>
      </c>
      <c r="G41" t="s">
        <v>81</v>
      </c>
      <c r="H41" t="s">
        <v>33</v>
      </c>
      <c r="I41" t="s">
        <v>66</v>
      </c>
      <c r="J41" t="s">
        <v>67</v>
      </c>
      <c r="K41" t="s">
        <v>51</v>
      </c>
      <c r="L41">
        <v>2</v>
      </c>
      <c r="M41" s="10">
        <v>0.08</v>
      </c>
      <c r="N41" s="11">
        <v>570400</v>
      </c>
      <c r="O41" s="11">
        <v>380000</v>
      </c>
      <c r="P41" s="11">
        <v>190400</v>
      </c>
      <c r="Q41" t="s">
        <v>45</v>
      </c>
      <c r="R41" t="b">
        <f>COUNTIF($A$6     : CleanedSalesData[[#This Row],[Order ID]], CleanedSalesData[[#This Row],[Order ID]])&gt;1</f>
        <v>0</v>
      </c>
      <c r="S41" t="b">
        <f>IF(ISBLANK(CleanedSalesData[[#This Row],[Quantity]]), TRUE, FALSE)</f>
        <v>0</v>
      </c>
      <c r="T41" t="b">
        <f>IF(ISBLANK(CleanedSalesData[[#This Row],[Order Date]]), TRUE, FALSE)</f>
        <v>0</v>
      </c>
      <c r="U41" t="b">
        <f>IF(ISBLANK(CleanedSalesData[[#This Row],[Revenue]]), TRUE, FALSE)</f>
        <v>0</v>
      </c>
      <c r="V41" t="b">
        <f>IF(OR(CleanedSalesData[[#This Row],[Order Status]]="Cancelled", CleanedSalesData[[#This Row],[Order Status]]="Returned"), TRUE, FALSE)</f>
        <v>0</v>
      </c>
      <c r="W41" t="str" cm="1">
        <f t="array" ref="W4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2" spans="1:23" x14ac:dyDescent="0.35">
      <c r="A42" t="s">
        <v>119</v>
      </c>
      <c r="B42" s="7">
        <v>46194</v>
      </c>
      <c r="C42" t="s">
        <v>945</v>
      </c>
      <c r="D42">
        <v>6</v>
      </c>
      <c r="E42" t="s">
        <v>111</v>
      </c>
      <c r="F42" t="s">
        <v>31</v>
      </c>
      <c r="G42" t="s">
        <v>81</v>
      </c>
      <c r="H42" t="s">
        <v>33</v>
      </c>
      <c r="I42" t="s">
        <v>71</v>
      </c>
      <c r="J42" t="s">
        <v>72</v>
      </c>
      <c r="K42" t="s">
        <v>73</v>
      </c>
      <c r="L42">
        <v>6</v>
      </c>
      <c r="M42" s="10">
        <v>0.03</v>
      </c>
      <c r="N42" s="11">
        <v>727500</v>
      </c>
      <c r="O42" s="11">
        <v>420000</v>
      </c>
      <c r="P42" s="11">
        <v>307500</v>
      </c>
      <c r="Q42" t="s">
        <v>63</v>
      </c>
      <c r="R42" t="b">
        <f>COUNTIF($A$6     : CleanedSalesData[[#This Row],[Order ID]], CleanedSalesData[[#This Row],[Order ID]])&gt;1</f>
        <v>0</v>
      </c>
      <c r="S42" t="b">
        <f>IF(ISBLANK(CleanedSalesData[[#This Row],[Quantity]]), TRUE, FALSE)</f>
        <v>0</v>
      </c>
      <c r="T42" t="b">
        <f>IF(ISBLANK(CleanedSalesData[[#This Row],[Order Date]]), TRUE, FALSE)</f>
        <v>0</v>
      </c>
      <c r="U42" t="b">
        <f>IF(ISBLANK(CleanedSalesData[[#This Row],[Revenue]]), TRUE, FALSE)</f>
        <v>0</v>
      </c>
      <c r="V42" t="b">
        <f>IF(OR(CleanedSalesData[[#This Row],[Order Status]]="Cancelled", CleanedSalesData[[#This Row],[Order Status]]="Returned"), TRUE, FALSE)</f>
        <v>0</v>
      </c>
      <c r="W42" t="str" cm="1">
        <f t="array" ref="W4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" spans="1:23" x14ac:dyDescent="0.35">
      <c r="A43" t="s">
        <v>121</v>
      </c>
      <c r="B43" s="7">
        <v>46041</v>
      </c>
      <c r="C43" t="s">
        <v>948</v>
      </c>
      <c r="D43">
        <v>1</v>
      </c>
      <c r="E43" t="s">
        <v>69</v>
      </c>
      <c r="F43" t="s">
        <v>47</v>
      </c>
      <c r="G43" t="s">
        <v>41</v>
      </c>
      <c r="H43" t="s">
        <v>33</v>
      </c>
      <c r="I43" t="s">
        <v>78</v>
      </c>
      <c r="J43" t="s">
        <v>79</v>
      </c>
      <c r="K43" t="s">
        <v>62</v>
      </c>
      <c r="L43">
        <v>1</v>
      </c>
      <c r="M43" s="10">
        <v>0.08</v>
      </c>
      <c r="N43" s="11">
        <v>78200</v>
      </c>
      <c r="O43" s="11">
        <v>43000</v>
      </c>
      <c r="P43" s="11">
        <v>35200</v>
      </c>
      <c r="Q43" t="s">
        <v>45</v>
      </c>
      <c r="R43" t="b">
        <f>COUNTIF($A$6     : CleanedSalesData[[#This Row],[Order ID]], CleanedSalesData[[#This Row],[Order ID]])&gt;1</f>
        <v>0</v>
      </c>
      <c r="S43" t="b">
        <f>IF(ISBLANK(CleanedSalesData[[#This Row],[Quantity]]), TRUE, FALSE)</f>
        <v>0</v>
      </c>
      <c r="T43" t="b">
        <f>IF(ISBLANK(CleanedSalesData[[#This Row],[Order Date]]), TRUE, FALSE)</f>
        <v>0</v>
      </c>
      <c r="U43" t="b">
        <f>IF(ISBLANK(CleanedSalesData[[#This Row],[Revenue]]), TRUE, FALSE)</f>
        <v>0</v>
      </c>
      <c r="V43" t="b">
        <f>IF(OR(CleanedSalesData[[#This Row],[Order Status]]="Cancelled", CleanedSalesData[[#This Row],[Order Status]]="Returned"), TRUE, FALSE)</f>
        <v>0</v>
      </c>
      <c r="W43" t="str" cm="1">
        <f t="array" ref="W4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" spans="1:23" x14ac:dyDescent="0.35">
      <c r="A44" t="s">
        <v>123</v>
      </c>
      <c r="B44" s="7">
        <v>46152</v>
      </c>
      <c r="C44" t="s">
        <v>946</v>
      </c>
      <c r="D44">
        <v>5</v>
      </c>
      <c r="E44" t="s">
        <v>76</v>
      </c>
      <c r="F44" t="s">
        <v>31</v>
      </c>
      <c r="G44" t="s">
        <v>81</v>
      </c>
      <c r="H44" t="s">
        <v>112</v>
      </c>
      <c r="I44" t="s">
        <v>82</v>
      </c>
      <c r="J44" t="s">
        <v>83</v>
      </c>
      <c r="K44" t="s">
        <v>44</v>
      </c>
      <c r="L44">
        <v>5</v>
      </c>
      <c r="M44" s="10">
        <v>0.03</v>
      </c>
      <c r="N44" s="11">
        <v>0</v>
      </c>
      <c r="O44" s="11">
        <v>4900000</v>
      </c>
      <c r="P44" s="11">
        <v>-4900000</v>
      </c>
      <c r="Q44" t="s">
        <v>84</v>
      </c>
      <c r="R44" t="b">
        <f>COUNTIF($A$6     : CleanedSalesData[[#This Row],[Order ID]], CleanedSalesData[[#This Row],[Order ID]])&gt;1</f>
        <v>0</v>
      </c>
      <c r="S44" t="b">
        <f>IF(ISBLANK(CleanedSalesData[[#This Row],[Quantity]]), TRUE, FALSE)</f>
        <v>0</v>
      </c>
      <c r="T44" t="b">
        <f>IF(ISBLANK(CleanedSalesData[[#This Row],[Order Date]]), TRUE, FALSE)</f>
        <v>0</v>
      </c>
      <c r="U44" t="b">
        <f>IF(ISBLANK(CleanedSalesData[[#This Row],[Revenue]]), TRUE, FALSE)</f>
        <v>0</v>
      </c>
      <c r="V44" t="b">
        <f>IF(OR(CleanedSalesData[[#This Row],[Order Status]]="Cancelled", CleanedSalesData[[#This Row],[Order Status]]="Returned"), TRUE, FALSE)</f>
        <v>1</v>
      </c>
      <c r="W44" t="str" cm="1">
        <f t="array" ref="W4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5" spans="1:23" x14ac:dyDescent="0.35">
      <c r="A45" t="s">
        <v>124</v>
      </c>
      <c r="B45" s="7">
        <v>46135</v>
      </c>
      <c r="C45" t="s">
        <v>949</v>
      </c>
      <c r="D45">
        <v>4</v>
      </c>
      <c r="E45" t="s">
        <v>76</v>
      </c>
      <c r="F45" t="s">
        <v>47</v>
      </c>
      <c r="G45" t="s">
        <v>41</v>
      </c>
      <c r="H45" t="s">
        <v>77</v>
      </c>
      <c r="I45" t="s">
        <v>86</v>
      </c>
      <c r="J45" t="s">
        <v>87</v>
      </c>
      <c r="K45" t="s">
        <v>36</v>
      </c>
      <c r="L45">
        <v>5</v>
      </c>
      <c r="M45" s="10">
        <v>0.1</v>
      </c>
      <c r="N45" s="11">
        <v>787500</v>
      </c>
      <c r="O45" s="11">
        <v>1050000</v>
      </c>
      <c r="P45" s="11">
        <v>-262500</v>
      </c>
      <c r="Q45" t="s">
        <v>37</v>
      </c>
      <c r="R45" t="b">
        <f>COUNTIF($A$6     : CleanedSalesData[[#This Row],[Order ID]], CleanedSalesData[[#This Row],[Order ID]])&gt;1</f>
        <v>0</v>
      </c>
      <c r="S45" t="b">
        <f>IF(ISBLANK(CleanedSalesData[[#This Row],[Quantity]]), TRUE, FALSE)</f>
        <v>0</v>
      </c>
      <c r="T45" t="b">
        <f>IF(ISBLANK(CleanedSalesData[[#This Row],[Order Date]]), TRUE, FALSE)</f>
        <v>0</v>
      </c>
      <c r="U45" t="b">
        <f>IF(ISBLANK(CleanedSalesData[[#This Row],[Revenue]]), TRUE, FALSE)</f>
        <v>0</v>
      </c>
      <c r="V45" t="b">
        <f>IF(OR(CleanedSalesData[[#This Row],[Order Status]]="Cancelled", CleanedSalesData[[#This Row],[Order Status]]="Returned"), TRUE, FALSE)</f>
        <v>1</v>
      </c>
      <c r="W45" t="str" cm="1">
        <f t="array" ref="W4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6" spans="1:23" x14ac:dyDescent="0.35">
      <c r="A46" t="s">
        <v>126</v>
      </c>
      <c r="B46" s="7">
        <v>46057</v>
      </c>
      <c r="C46" t="s">
        <v>944</v>
      </c>
      <c r="D46">
        <v>2</v>
      </c>
      <c r="E46" t="s">
        <v>76</v>
      </c>
      <c r="F46" t="s">
        <v>47</v>
      </c>
      <c r="G46" t="s">
        <v>32</v>
      </c>
      <c r="H46" t="s">
        <v>90</v>
      </c>
      <c r="I46" t="s">
        <v>34</v>
      </c>
      <c r="J46" t="s">
        <v>35</v>
      </c>
      <c r="K46" t="s">
        <v>36</v>
      </c>
      <c r="L46">
        <v>5</v>
      </c>
      <c r="M46" s="10">
        <v>0</v>
      </c>
      <c r="N46" s="11">
        <v>2375000</v>
      </c>
      <c r="O46" s="11">
        <v>1425000</v>
      </c>
      <c r="P46" s="11">
        <v>950000</v>
      </c>
      <c r="Q46" t="s">
        <v>57</v>
      </c>
      <c r="R46" t="b">
        <f>COUNTIF($A$6     : CleanedSalesData[[#This Row],[Order ID]], CleanedSalesData[[#This Row],[Order ID]])&gt;1</f>
        <v>0</v>
      </c>
      <c r="S46" t="b">
        <f>IF(ISBLANK(CleanedSalesData[[#This Row],[Quantity]]), TRUE, FALSE)</f>
        <v>0</v>
      </c>
      <c r="T46" t="b">
        <f>IF(ISBLANK(CleanedSalesData[[#This Row],[Order Date]]), TRUE, FALSE)</f>
        <v>0</v>
      </c>
      <c r="U46" t="b">
        <f>IF(ISBLANK(CleanedSalesData[[#This Row],[Revenue]]), TRUE, FALSE)</f>
        <v>0</v>
      </c>
      <c r="V46" t="b">
        <f>IF(OR(CleanedSalesData[[#This Row],[Order Status]]="Cancelled", CleanedSalesData[[#This Row],[Order Status]]="Returned"), TRUE, FALSE)</f>
        <v>0</v>
      </c>
      <c r="W46" t="str" cm="1">
        <f t="array" ref="W4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" spans="1:23" x14ac:dyDescent="0.35">
      <c r="A47" t="s">
        <v>128</v>
      </c>
      <c r="B47" s="7">
        <v>46177</v>
      </c>
      <c r="C47" t="s">
        <v>945</v>
      </c>
      <c r="D47">
        <v>6</v>
      </c>
      <c r="E47" t="s">
        <v>76</v>
      </c>
      <c r="F47" t="s">
        <v>70</v>
      </c>
      <c r="G47" t="s">
        <v>48</v>
      </c>
      <c r="H47" t="s">
        <v>33</v>
      </c>
      <c r="I47" t="s">
        <v>42</v>
      </c>
      <c r="J47" t="s">
        <v>43</v>
      </c>
      <c r="K47" t="s">
        <v>44</v>
      </c>
      <c r="L47">
        <v>4</v>
      </c>
      <c r="M47" s="10">
        <v>0.15</v>
      </c>
      <c r="N47" s="11">
        <v>935000</v>
      </c>
      <c r="O47" s="11">
        <v>620000</v>
      </c>
      <c r="P47" s="11">
        <v>315000</v>
      </c>
      <c r="Q47" t="s">
        <v>74</v>
      </c>
      <c r="R47" t="b">
        <f>COUNTIF($A$6     : CleanedSalesData[[#This Row],[Order ID]], CleanedSalesData[[#This Row],[Order ID]])&gt;1</f>
        <v>0</v>
      </c>
      <c r="S47" t="b">
        <f>IF(ISBLANK(CleanedSalesData[[#This Row],[Quantity]]), TRUE, FALSE)</f>
        <v>0</v>
      </c>
      <c r="T47" t="b">
        <f>IF(ISBLANK(CleanedSalesData[[#This Row],[Order Date]]), TRUE, FALSE)</f>
        <v>0</v>
      </c>
      <c r="U47" t="b">
        <f>IF(ISBLANK(CleanedSalesData[[#This Row],[Revenue]]), TRUE, FALSE)</f>
        <v>0</v>
      </c>
      <c r="V47" t="b">
        <f>IF(OR(CleanedSalesData[[#This Row],[Order Status]]="Cancelled", CleanedSalesData[[#This Row],[Order Status]]="Returned"), TRUE, FALSE)</f>
        <v>0</v>
      </c>
      <c r="W47" t="str" cm="1">
        <f t="array" ref="W4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" spans="1:23" x14ac:dyDescent="0.35">
      <c r="A48" t="s">
        <v>129</v>
      </c>
      <c r="B48" s="7">
        <v>46046</v>
      </c>
      <c r="C48" t="s">
        <v>948</v>
      </c>
      <c r="D48">
        <v>1</v>
      </c>
      <c r="E48" t="s">
        <v>76</v>
      </c>
      <c r="F48" t="s">
        <v>70</v>
      </c>
      <c r="G48" t="s">
        <v>32</v>
      </c>
      <c r="H48" t="s">
        <v>33</v>
      </c>
      <c r="I48" t="s">
        <v>49</v>
      </c>
      <c r="J48" t="s">
        <v>50</v>
      </c>
      <c r="K48" t="s">
        <v>51</v>
      </c>
      <c r="L48">
        <v>7</v>
      </c>
      <c r="M48" s="10">
        <v>0.05</v>
      </c>
      <c r="N48" s="11">
        <v>1629250</v>
      </c>
      <c r="O48" s="11">
        <v>1015000</v>
      </c>
      <c r="P48" s="11">
        <v>614250</v>
      </c>
      <c r="Q48" t="s">
        <v>84</v>
      </c>
      <c r="R48" t="b">
        <f>COUNTIF($A$6     : CleanedSalesData[[#This Row],[Order ID]], CleanedSalesData[[#This Row],[Order ID]])&gt;1</f>
        <v>0</v>
      </c>
      <c r="S48" t="b">
        <f>IF(ISBLANK(CleanedSalesData[[#This Row],[Quantity]]), TRUE, FALSE)</f>
        <v>0</v>
      </c>
      <c r="T48" t="b">
        <f>IF(ISBLANK(CleanedSalesData[[#This Row],[Order Date]]), TRUE, FALSE)</f>
        <v>0</v>
      </c>
      <c r="U48" t="b">
        <f>IF(ISBLANK(CleanedSalesData[[#This Row],[Revenue]]), TRUE, FALSE)</f>
        <v>0</v>
      </c>
      <c r="V48" t="b">
        <f>IF(OR(CleanedSalesData[[#This Row],[Order Status]]="Cancelled", CleanedSalesData[[#This Row],[Order Status]]="Returned"), TRUE, FALSE)</f>
        <v>0</v>
      </c>
      <c r="W48" t="str" cm="1">
        <f t="array" ref="W4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" spans="1:23" x14ac:dyDescent="0.35">
      <c r="A49" t="s">
        <v>131</v>
      </c>
      <c r="B49" s="7">
        <v>46136</v>
      </c>
      <c r="C49" t="s">
        <v>949</v>
      </c>
      <c r="D49">
        <v>4</v>
      </c>
      <c r="E49" t="s">
        <v>95</v>
      </c>
      <c r="F49" t="s">
        <v>40</v>
      </c>
      <c r="G49" t="s">
        <v>32</v>
      </c>
      <c r="H49" t="s">
        <v>33</v>
      </c>
      <c r="I49" t="s">
        <v>55</v>
      </c>
      <c r="J49" t="s">
        <v>56</v>
      </c>
      <c r="K49" t="s">
        <v>36</v>
      </c>
      <c r="L49">
        <v>7</v>
      </c>
      <c r="M49" s="10">
        <v>0.1</v>
      </c>
      <c r="N49" s="11">
        <v>11655000</v>
      </c>
      <c r="O49" s="11">
        <v>9240000</v>
      </c>
      <c r="P49" s="11">
        <v>2415000</v>
      </c>
      <c r="Q49" t="s">
        <v>63</v>
      </c>
      <c r="R49" t="b">
        <f>COUNTIF($A$6     : CleanedSalesData[[#This Row],[Order ID]], CleanedSalesData[[#This Row],[Order ID]])&gt;1</f>
        <v>0</v>
      </c>
      <c r="S49" t="b">
        <f>IF(ISBLANK(CleanedSalesData[[#This Row],[Quantity]]), TRUE, FALSE)</f>
        <v>0</v>
      </c>
      <c r="T49" t="b">
        <f>IF(ISBLANK(CleanedSalesData[[#This Row],[Order Date]]), TRUE, FALSE)</f>
        <v>0</v>
      </c>
      <c r="U49" t="b">
        <f>IF(ISBLANK(CleanedSalesData[[#This Row],[Revenue]]), TRUE, FALSE)</f>
        <v>0</v>
      </c>
      <c r="V49" t="b">
        <f>IF(OR(CleanedSalesData[[#This Row],[Order Status]]="Cancelled", CleanedSalesData[[#This Row],[Order Status]]="Returned"), TRUE, FALSE)</f>
        <v>0</v>
      </c>
      <c r="W49" t="str" cm="1">
        <f t="array" ref="W4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" spans="1:23" x14ac:dyDescent="0.35">
      <c r="A50" t="s">
        <v>132</v>
      </c>
      <c r="B50" s="7">
        <v>46172</v>
      </c>
      <c r="C50" t="s">
        <v>946</v>
      </c>
      <c r="D50">
        <v>5</v>
      </c>
      <c r="E50" t="s">
        <v>95</v>
      </c>
      <c r="F50" t="s">
        <v>70</v>
      </c>
      <c r="G50" t="s">
        <v>81</v>
      </c>
      <c r="H50" t="s">
        <v>33</v>
      </c>
      <c r="I50" t="s">
        <v>60</v>
      </c>
      <c r="J50" t="s">
        <v>61</v>
      </c>
      <c r="K50" t="s">
        <v>62</v>
      </c>
      <c r="L50">
        <v>3</v>
      </c>
      <c r="M50" s="10">
        <v>0.08</v>
      </c>
      <c r="N50" s="11">
        <v>179400</v>
      </c>
      <c r="O50" s="11">
        <v>93000</v>
      </c>
      <c r="P50" s="11">
        <v>86400</v>
      </c>
      <c r="Q50" t="s">
        <v>63</v>
      </c>
      <c r="R50" t="b">
        <f>COUNTIF($A$6     : CleanedSalesData[[#This Row],[Order ID]], CleanedSalesData[[#This Row],[Order ID]])&gt;1</f>
        <v>0</v>
      </c>
      <c r="S50" t="b">
        <f>IF(ISBLANK(CleanedSalesData[[#This Row],[Quantity]]), TRUE, FALSE)</f>
        <v>0</v>
      </c>
      <c r="T50" t="b">
        <f>IF(ISBLANK(CleanedSalesData[[#This Row],[Order Date]]), TRUE, FALSE)</f>
        <v>0</v>
      </c>
      <c r="U50" t="b">
        <f>IF(ISBLANK(CleanedSalesData[[#This Row],[Revenue]]), TRUE, FALSE)</f>
        <v>0</v>
      </c>
      <c r="V50" t="b">
        <f>IF(OR(CleanedSalesData[[#This Row],[Order Status]]="Cancelled", CleanedSalesData[[#This Row],[Order Status]]="Returned"), TRUE, FALSE)</f>
        <v>0</v>
      </c>
      <c r="W50" t="str" cm="1">
        <f t="array" ref="W5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" spans="1:23" x14ac:dyDescent="0.35">
      <c r="A51" t="s">
        <v>133</v>
      </c>
      <c r="B51" s="7">
        <v>46076</v>
      </c>
      <c r="C51" t="s">
        <v>944</v>
      </c>
      <c r="D51">
        <v>2</v>
      </c>
      <c r="E51" t="s">
        <v>30</v>
      </c>
      <c r="F51" t="s">
        <v>47</v>
      </c>
      <c r="G51" t="s">
        <v>48</v>
      </c>
      <c r="H51" t="s">
        <v>33</v>
      </c>
      <c r="I51" t="s">
        <v>66</v>
      </c>
      <c r="J51" t="s">
        <v>67</v>
      </c>
      <c r="K51" t="s">
        <v>51</v>
      </c>
      <c r="L51">
        <v>4</v>
      </c>
      <c r="M51" s="10">
        <v>0.15</v>
      </c>
      <c r="N51" s="11">
        <v>1054000</v>
      </c>
      <c r="O51" s="11">
        <v>760000</v>
      </c>
      <c r="P51" s="11">
        <v>294000</v>
      </c>
      <c r="Q51" t="s">
        <v>45</v>
      </c>
      <c r="R51" t="b">
        <f>COUNTIF($A$6     : CleanedSalesData[[#This Row],[Order ID]], CleanedSalesData[[#This Row],[Order ID]])&gt;1</f>
        <v>0</v>
      </c>
      <c r="S51" t="b">
        <f>IF(ISBLANK(CleanedSalesData[[#This Row],[Quantity]]), TRUE, FALSE)</f>
        <v>0</v>
      </c>
      <c r="T51" t="b">
        <f>IF(ISBLANK(CleanedSalesData[[#This Row],[Order Date]]), TRUE, FALSE)</f>
        <v>0</v>
      </c>
      <c r="U51" t="b">
        <f>IF(ISBLANK(CleanedSalesData[[#This Row],[Revenue]]), TRUE, FALSE)</f>
        <v>0</v>
      </c>
      <c r="V51" t="b">
        <f>IF(OR(CleanedSalesData[[#This Row],[Order Status]]="Cancelled", CleanedSalesData[[#This Row],[Order Status]]="Returned"), TRUE, FALSE)</f>
        <v>0</v>
      </c>
      <c r="W51" t="str" cm="1">
        <f t="array" ref="W5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" spans="1:23" x14ac:dyDescent="0.35">
      <c r="A52" t="s">
        <v>134</v>
      </c>
      <c r="B52" s="7">
        <v>46064</v>
      </c>
      <c r="C52" t="s">
        <v>944</v>
      </c>
      <c r="D52">
        <v>2</v>
      </c>
      <c r="E52" t="s">
        <v>39</v>
      </c>
      <c r="F52" t="s">
        <v>70</v>
      </c>
      <c r="G52" t="s">
        <v>48</v>
      </c>
      <c r="H52" t="s">
        <v>33</v>
      </c>
      <c r="I52" t="s">
        <v>71</v>
      </c>
      <c r="J52" t="s">
        <v>72</v>
      </c>
      <c r="K52" t="s">
        <v>73</v>
      </c>
      <c r="L52">
        <v>3</v>
      </c>
      <c r="M52" s="10">
        <v>0.08</v>
      </c>
      <c r="N52" s="11">
        <v>345000</v>
      </c>
      <c r="O52" s="11">
        <v>210000</v>
      </c>
      <c r="P52" s="11">
        <v>135000</v>
      </c>
      <c r="Q52" t="s">
        <v>57</v>
      </c>
      <c r="R52" t="b">
        <f>COUNTIF($A$6     : CleanedSalesData[[#This Row],[Order ID]], CleanedSalesData[[#This Row],[Order ID]])&gt;1</f>
        <v>0</v>
      </c>
      <c r="S52" t="b">
        <f>IF(ISBLANK(CleanedSalesData[[#This Row],[Quantity]]), TRUE, FALSE)</f>
        <v>0</v>
      </c>
      <c r="T52" t="b">
        <f>IF(ISBLANK(CleanedSalesData[[#This Row],[Order Date]]), TRUE, FALSE)</f>
        <v>0</v>
      </c>
      <c r="U52" t="b">
        <f>IF(ISBLANK(CleanedSalesData[[#This Row],[Revenue]]), TRUE, FALSE)</f>
        <v>0</v>
      </c>
      <c r="V52" t="b">
        <f>IF(OR(CleanedSalesData[[#This Row],[Order Status]]="Cancelled", CleanedSalesData[[#This Row],[Order Status]]="Returned"), TRUE, FALSE)</f>
        <v>0</v>
      </c>
      <c r="W52" t="str" cm="1">
        <f t="array" ref="W5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" spans="1:23" x14ac:dyDescent="0.35">
      <c r="A53" t="s">
        <v>136</v>
      </c>
      <c r="B53" s="7">
        <v>46063</v>
      </c>
      <c r="C53" t="s">
        <v>944</v>
      </c>
      <c r="D53">
        <v>2</v>
      </c>
      <c r="E53" t="s">
        <v>39</v>
      </c>
      <c r="F53" t="s">
        <v>59</v>
      </c>
      <c r="G53" t="s">
        <v>32</v>
      </c>
      <c r="H53" t="s">
        <v>90</v>
      </c>
      <c r="I53" t="s">
        <v>78</v>
      </c>
      <c r="J53" t="s">
        <v>79</v>
      </c>
      <c r="K53" t="s">
        <v>62</v>
      </c>
      <c r="L53">
        <v>2</v>
      </c>
      <c r="M53" s="10">
        <v>0.08</v>
      </c>
      <c r="N53" s="11">
        <v>156400</v>
      </c>
      <c r="O53" s="11">
        <v>86000</v>
      </c>
      <c r="P53" s="11">
        <v>70400</v>
      </c>
      <c r="Q53" t="s">
        <v>52</v>
      </c>
      <c r="R53" t="b">
        <f>COUNTIF($A$6     : CleanedSalesData[[#This Row],[Order ID]], CleanedSalesData[[#This Row],[Order ID]])&gt;1</f>
        <v>0</v>
      </c>
      <c r="S53" t="b">
        <f>IF(ISBLANK(CleanedSalesData[[#This Row],[Quantity]]), TRUE, FALSE)</f>
        <v>0</v>
      </c>
      <c r="T53" t="b">
        <f>IF(ISBLANK(CleanedSalesData[[#This Row],[Order Date]]), TRUE, FALSE)</f>
        <v>0</v>
      </c>
      <c r="U53" t="b">
        <f>IF(ISBLANK(CleanedSalesData[[#This Row],[Revenue]]), TRUE, FALSE)</f>
        <v>0</v>
      </c>
      <c r="V53" t="b">
        <f>IF(OR(CleanedSalesData[[#This Row],[Order Status]]="Cancelled", CleanedSalesData[[#This Row],[Order Status]]="Returned"), TRUE, FALSE)</f>
        <v>0</v>
      </c>
      <c r="W53" t="str" cm="1">
        <f t="array" ref="W5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4" spans="1:23" x14ac:dyDescent="0.35">
      <c r="A54" t="s">
        <v>137</v>
      </c>
      <c r="B54" s="7">
        <v>46112</v>
      </c>
      <c r="C54" t="s">
        <v>947</v>
      </c>
      <c r="D54">
        <v>3</v>
      </c>
      <c r="E54" t="s">
        <v>54</v>
      </c>
      <c r="F54" t="s">
        <v>31</v>
      </c>
      <c r="G54" t="s">
        <v>48</v>
      </c>
      <c r="H54" t="s">
        <v>33</v>
      </c>
      <c r="I54" t="s">
        <v>82</v>
      </c>
      <c r="J54" t="s">
        <v>83</v>
      </c>
      <c r="K54" t="s">
        <v>44</v>
      </c>
      <c r="L54">
        <v>5</v>
      </c>
      <c r="M54" s="10">
        <v>0.03</v>
      </c>
      <c r="N54" s="11">
        <v>7032500</v>
      </c>
      <c r="O54" s="11">
        <v>4900000</v>
      </c>
      <c r="P54" s="11">
        <v>2132500</v>
      </c>
      <c r="Q54" t="s">
        <v>57</v>
      </c>
      <c r="R54" t="b">
        <f>COUNTIF($A$6     : CleanedSalesData[[#This Row],[Order ID]], CleanedSalesData[[#This Row],[Order ID]])&gt;1</f>
        <v>0</v>
      </c>
      <c r="S54" t="b">
        <f>IF(ISBLANK(CleanedSalesData[[#This Row],[Quantity]]), TRUE, FALSE)</f>
        <v>0</v>
      </c>
      <c r="T54" t="b">
        <f>IF(ISBLANK(CleanedSalesData[[#This Row],[Order Date]]), TRUE, FALSE)</f>
        <v>0</v>
      </c>
      <c r="U54" t="b">
        <f>IF(ISBLANK(CleanedSalesData[[#This Row],[Revenue]]), TRUE, FALSE)</f>
        <v>0</v>
      </c>
      <c r="V54" t="b">
        <f>IF(OR(CleanedSalesData[[#This Row],[Order Status]]="Cancelled", CleanedSalesData[[#This Row],[Order Status]]="Returned"), TRUE, FALSE)</f>
        <v>0</v>
      </c>
      <c r="W54" t="str" cm="1">
        <f t="array" ref="W5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" spans="1:23" x14ac:dyDescent="0.35">
      <c r="A55" t="s">
        <v>138</v>
      </c>
      <c r="B55" s="7">
        <v>46040</v>
      </c>
      <c r="C55" t="s">
        <v>948</v>
      </c>
      <c r="D55">
        <v>1</v>
      </c>
      <c r="E55" t="s">
        <v>95</v>
      </c>
      <c r="F55" t="s">
        <v>59</v>
      </c>
      <c r="G55" t="s">
        <v>81</v>
      </c>
      <c r="H55" t="s">
        <v>33</v>
      </c>
      <c r="I55" t="s">
        <v>86</v>
      </c>
      <c r="J55" t="s">
        <v>87</v>
      </c>
      <c r="K55" t="s">
        <v>36</v>
      </c>
      <c r="L55">
        <v>5</v>
      </c>
      <c r="M55" s="10">
        <v>0.05</v>
      </c>
      <c r="N55" s="11">
        <v>1662500</v>
      </c>
      <c r="O55" s="11">
        <v>1050000</v>
      </c>
      <c r="P55" s="11">
        <v>612500</v>
      </c>
      <c r="Q55" t="s">
        <v>37</v>
      </c>
      <c r="R55" t="b">
        <f>COUNTIF($A$6     : CleanedSalesData[[#This Row],[Order ID]], CleanedSalesData[[#This Row],[Order ID]])&gt;1</f>
        <v>0</v>
      </c>
      <c r="S55" t="b">
        <f>IF(ISBLANK(CleanedSalesData[[#This Row],[Quantity]]), TRUE, FALSE)</f>
        <v>0</v>
      </c>
      <c r="T55" t="b">
        <f>IF(ISBLANK(CleanedSalesData[[#This Row],[Order Date]]), TRUE, FALSE)</f>
        <v>0</v>
      </c>
      <c r="U55" t="b">
        <f>IF(ISBLANK(CleanedSalesData[[#This Row],[Revenue]]), TRUE, FALSE)</f>
        <v>0</v>
      </c>
      <c r="V55" t="b">
        <f>IF(OR(CleanedSalesData[[#This Row],[Order Status]]="Cancelled", CleanedSalesData[[#This Row],[Order Status]]="Returned"), TRUE, FALSE)</f>
        <v>0</v>
      </c>
      <c r="W55" t="str" cm="1">
        <f t="array" ref="W5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" spans="1:23" x14ac:dyDescent="0.35">
      <c r="A56" t="s">
        <v>139</v>
      </c>
      <c r="B56" s="7">
        <v>46089</v>
      </c>
      <c r="C56" t="s">
        <v>947</v>
      </c>
      <c r="D56">
        <v>3</v>
      </c>
      <c r="E56" t="s">
        <v>65</v>
      </c>
      <c r="F56" t="s">
        <v>40</v>
      </c>
      <c r="G56" t="s">
        <v>41</v>
      </c>
      <c r="H56" t="s">
        <v>77</v>
      </c>
      <c r="I56" t="s">
        <v>34</v>
      </c>
      <c r="J56" t="s">
        <v>35</v>
      </c>
      <c r="K56" t="s">
        <v>36</v>
      </c>
      <c r="L56">
        <v>3</v>
      </c>
      <c r="M56" s="10">
        <v>0.1</v>
      </c>
      <c r="N56" s="11">
        <v>320625</v>
      </c>
      <c r="O56" s="11">
        <v>855000</v>
      </c>
      <c r="P56" s="11">
        <v>-534375</v>
      </c>
      <c r="Q56" t="s">
        <v>63</v>
      </c>
      <c r="R56" t="b">
        <f>COUNTIF($A$6     : CleanedSalesData[[#This Row],[Order ID]], CleanedSalesData[[#This Row],[Order ID]])&gt;1</f>
        <v>0</v>
      </c>
      <c r="S56" t="b">
        <f>IF(ISBLANK(CleanedSalesData[[#This Row],[Quantity]]), TRUE, FALSE)</f>
        <v>0</v>
      </c>
      <c r="T56" t="b">
        <f>IF(ISBLANK(CleanedSalesData[[#This Row],[Order Date]]), TRUE, FALSE)</f>
        <v>0</v>
      </c>
      <c r="U56" t="b">
        <f>IF(ISBLANK(CleanedSalesData[[#This Row],[Revenue]]), TRUE, FALSE)</f>
        <v>0</v>
      </c>
      <c r="V56" t="b">
        <f>IF(OR(CleanedSalesData[[#This Row],[Order Status]]="Cancelled", CleanedSalesData[[#This Row],[Order Status]]="Returned"), TRUE, FALSE)</f>
        <v>1</v>
      </c>
      <c r="W56" t="str" cm="1">
        <f t="array" ref="W5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7" spans="1:23" x14ac:dyDescent="0.35">
      <c r="A57" t="s">
        <v>140</v>
      </c>
      <c r="B57" s="7">
        <v>46103</v>
      </c>
      <c r="C57" t="s">
        <v>947</v>
      </c>
      <c r="D57">
        <v>3</v>
      </c>
      <c r="E57" t="s">
        <v>76</v>
      </c>
      <c r="F57" t="s">
        <v>59</v>
      </c>
      <c r="G57" t="s">
        <v>32</v>
      </c>
      <c r="H57" t="s">
        <v>77</v>
      </c>
      <c r="I57" t="s">
        <v>42</v>
      </c>
      <c r="J57" t="s">
        <v>43</v>
      </c>
      <c r="K57" t="s">
        <v>44</v>
      </c>
      <c r="L57">
        <v>7</v>
      </c>
      <c r="M57" s="10">
        <v>0.1</v>
      </c>
      <c r="N57" s="11">
        <v>0</v>
      </c>
      <c r="O57" s="11">
        <v>1085000</v>
      </c>
      <c r="P57" s="11">
        <v>-1085000</v>
      </c>
      <c r="Q57" t="s">
        <v>74</v>
      </c>
      <c r="R57" t="b">
        <f>COUNTIF($A$6     : CleanedSalesData[[#This Row],[Order ID]], CleanedSalesData[[#This Row],[Order ID]])&gt;1</f>
        <v>0</v>
      </c>
      <c r="S57" t="b">
        <f>IF(ISBLANK(CleanedSalesData[[#This Row],[Quantity]]), TRUE, FALSE)</f>
        <v>0</v>
      </c>
      <c r="T57" t="b">
        <f>IF(ISBLANK(CleanedSalesData[[#This Row],[Order Date]]), TRUE, FALSE)</f>
        <v>0</v>
      </c>
      <c r="U57" t="b">
        <f>IF(ISBLANK(CleanedSalesData[[#This Row],[Revenue]]), TRUE, FALSE)</f>
        <v>0</v>
      </c>
      <c r="V57" t="b">
        <f>IF(OR(CleanedSalesData[[#This Row],[Order Status]]="Cancelled", CleanedSalesData[[#This Row],[Order Status]]="Returned"), TRUE, FALSE)</f>
        <v>1</v>
      </c>
      <c r="W57" t="str" cm="1">
        <f t="array" ref="W5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8" spans="1:23" x14ac:dyDescent="0.35">
      <c r="A58" t="s">
        <v>142</v>
      </c>
      <c r="B58" s="7">
        <v>46134</v>
      </c>
      <c r="C58" t="s">
        <v>949</v>
      </c>
      <c r="D58">
        <v>4</v>
      </c>
      <c r="E58" t="s">
        <v>65</v>
      </c>
      <c r="F58" t="s">
        <v>31</v>
      </c>
      <c r="G58" t="s">
        <v>81</v>
      </c>
      <c r="H58" t="s">
        <v>112</v>
      </c>
      <c r="I58" t="s">
        <v>49</v>
      </c>
      <c r="J58" t="s">
        <v>50</v>
      </c>
      <c r="K58" t="s">
        <v>51</v>
      </c>
      <c r="L58">
        <v>1</v>
      </c>
      <c r="M58" s="10">
        <v>0.1</v>
      </c>
      <c r="N58" s="11">
        <v>110250</v>
      </c>
      <c r="O58" s="11">
        <v>145000</v>
      </c>
      <c r="P58" s="11">
        <v>-34750</v>
      </c>
      <c r="Q58" t="s">
        <v>37</v>
      </c>
      <c r="R58" t="b">
        <f>COUNTIF($A$6     : CleanedSalesData[[#This Row],[Order ID]], CleanedSalesData[[#This Row],[Order ID]])&gt;1</f>
        <v>0</v>
      </c>
      <c r="S58" t="b">
        <f>IF(ISBLANK(CleanedSalesData[[#This Row],[Quantity]]), TRUE, FALSE)</f>
        <v>0</v>
      </c>
      <c r="T58" t="b">
        <f>IF(ISBLANK(CleanedSalesData[[#This Row],[Order Date]]), TRUE, FALSE)</f>
        <v>0</v>
      </c>
      <c r="U58" t="b">
        <f>IF(ISBLANK(CleanedSalesData[[#This Row],[Revenue]]), TRUE, FALSE)</f>
        <v>0</v>
      </c>
      <c r="V58" t="b">
        <f>IF(OR(CleanedSalesData[[#This Row],[Order Status]]="Cancelled", CleanedSalesData[[#This Row],[Order Status]]="Returned"), TRUE, FALSE)</f>
        <v>1</v>
      </c>
      <c r="W58" t="str" cm="1">
        <f t="array" ref="W5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9" spans="1:23" x14ac:dyDescent="0.35">
      <c r="A59" t="s">
        <v>143</v>
      </c>
      <c r="B59" s="7">
        <v>46193</v>
      </c>
      <c r="C59" t="s">
        <v>945</v>
      </c>
      <c r="D59">
        <v>6</v>
      </c>
      <c r="E59" t="s">
        <v>76</v>
      </c>
      <c r="F59" t="s">
        <v>40</v>
      </c>
      <c r="G59" t="s">
        <v>81</v>
      </c>
      <c r="H59" t="s">
        <v>33</v>
      </c>
      <c r="I59" t="s">
        <v>55</v>
      </c>
      <c r="J59" t="s">
        <v>56</v>
      </c>
      <c r="K59" t="s">
        <v>36</v>
      </c>
      <c r="L59">
        <v>6</v>
      </c>
      <c r="M59" s="10">
        <v>0.1</v>
      </c>
      <c r="N59" s="11">
        <v>9990000</v>
      </c>
      <c r="O59" s="11">
        <v>7920000</v>
      </c>
      <c r="P59" s="11">
        <v>2070000</v>
      </c>
      <c r="Q59" t="s">
        <v>93</v>
      </c>
      <c r="R59" t="b">
        <f>COUNTIF($A$6     : CleanedSalesData[[#This Row],[Order ID]], CleanedSalesData[[#This Row],[Order ID]])&gt;1</f>
        <v>0</v>
      </c>
      <c r="S59" t="b">
        <f>IF(ISBLANK(CleanedSalesData[[#This Row],[Quantity]]), TRUE, FALSE)</f>
        <v>0</v>
      </c>
      <c r="T59" t="b">
        <f>IF(ISBLANK(CleanedSalesData[[#This Row],[Order Date]]), TRUE, FALSE)</f>
        <v>0</v>
      </c>
      <c r="U59" t="b">
        <f>IF(ISBLANK(CleanedSalesData[[#This Row],[Revenue]]), TRUE, FALSE)</f>
        <v>0</v>
      </c>
      <c r="V59" t="b">
        <f>IF(OR(CleanedSalesData[[#This Row],[Order Status]]="Cancelled", CleanedSalesData[[#This Row],[Order Status]]="Returned"), TRUE, FALSE)</f>
        <v>0</v>
      </c>
      <c r="W59" t="str" cm="1">
        <f t="array" ref="W5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" spans="1:23" x14ac:dyDescent="0.35">
      <c r="A60" t="s">
        <v>144</v>
      </c>
      <c r="B60" s="7">
        <v>46106</v>
      </c>
      <c r="C60" t="s">
        <v>947</v>
      </c>
      <c r="D60">
        <v>3</v>
      </c>
      <c r="E60" t="s">
        <v>65</v>
      </c>
      <c r="F60" t="s">
        <v>31</v>
      </c>
      <c r="G60" t="s">
        <v>32</v>
      </c>
      <c r="H60" t="s">
        <v>33</v>
      </c>
      <c r="I60" t="s">
        <v>60</v>
      </c>
      <c r="J60" t="s">
        <v>61</v>
      </c>
      <c r="K60" t="s">
        <v>62</v>
      </c>
      <c r="L60">
        <v>7</v>
      </c>
      <c r="M60" s="10">
        <v>0.15</v>
      </c>
      <c r="N60" s="11">
        <v>386750</v>
      </c>
      <c r="O60" s="11">
        <v>217000</v>
      </c>
      <c r="P60" s="11">
        <v>169750</v>
      </c>
      <c r="Q60" t="s">
        <v>93</v>
      </c>
      <c r="R60" t="b">
        <f>COUNTIF($A$6     : CleanedSalesData[[#This Row],[Order ID]], CleanedSalesData[[#This Row],[Order ID]])&gt;1</f>
        <v>0</v>
      </c>
      <c r="S60" t="b">
        <f>IF(ISBLANK(CleanedSalesData[[#This Row],[Quantity]]), TRUE, FALSE)</f>
        <v>0</v>
      </c>
      <c r="T60" t="b">
        <f>IF(ISBLANK(CleanedSalesData[[#This Row],[Order Date]]), TRUE, FALSE)</f>
        <v>0</v>
      </c>
      <c r="U60" t="b">
        <f>IF(ISBLANK(CleanedSalesData[[#This Row],[Revenue]]), TRUE, FALSE)</f>
        <v>0</v>
      </c>
      <c r="V60" t="b">
        <f>IF(OR(CleanedSalesData[[#This Row],[Order Status]]="Cancelled", CleanedSalesData[[#This Row],[Order Status]]="Returned"), TRUE, FALSE)</f>
        <v>0</v>
      </c>
      <c r="W60" t="str" cm="1">
        <f t="array" ref="W6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" spans="1:23" x14ac:dyDescent="0.35">
      <c r="A61" t="s">
        <v>145</v>
      </c>
      <c r="B61" s="7">
        <v>46196</v>
      </c>
      <c r="C61" t="s">
        <v>945</v>
      </c>
      <c r="D61">
        <v>6</v>
      </c>
      <c r="E61" t="s">
        <v>76</v>
      </c>
      <c r="F61" t="s">
        <v>59</v>
      </c>
      <c r="G61" t="s">
        <v>41</v>
      </c>
      <c r="H61" t="s">
        <v>33</v>
      </c>
      <c r="I61" t="s">
        <v>66</v>
      </c>
      <c r="J61" t="s">
        <v>67</v>
      </c>
      <c r="K61" t="s">
        <v>51</v>
      </c>
      <c r="L61">
        <v>3</v>
      </c>
      <c r="M61" s="10">
        <v>0.1</v>
      </c>
      <c r="N61" s="11">
        <v>837000</v>
      </c>
      <c r="O61" s="11">
        <v>570000</v>
      </c>
      <c r="P61" s="11">
        <v>267000</v>
      </c>
      <c r="Q61" t="s">
        <v>57</v>
      </c>
      <c r="R61" t="b">
        <f>COUNTIF($A$6     : CleanedSalesData[[#This Row],[Order ID]], CleanedSalesData[[#This Row],[Order ID]])&gt;1</f>
        <v>0</v>
      </c>
      <c r="S61" t="b">
        <f>IF(ISBLANK(CleanedSalesData[[#This Row],[Quantity]]), TRUE, FALSE)</f>
        <v>0</v>
      </c>
      <c r="T61" t="b">
        <f>IF(ISBLANK(CleanedSalesData[[#This Row],[Order Date]]), TRUE, FALSE)</f>
        <v>0</v>
      </c>
      <c r="U61" t="b">
        <f>IF(ISBLANK(CleanedSalesData[[#This Row],[Revenue]]), TRUE, FALSE)</f>
        <v>0</v>
      </c>
      <c r="V61" t="b">
        <f>IF(OR(CleanedSalesData[[#This Row],[Order Status]]="Cancelled", CleanedSalesData[[#This Row],[Order Status]]="Returned"), TRUE, FALSE)</f>
        <v>0</v>
      </c>
      <c r="W61" t="str" cm="1">
        <f t="array" ref="W6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" spans="1:23" x14ac:dyDescent="0.35">
      <c r="A62" t="s">
        <v>147</v>
      </c>
      <c r="B62" s="7">
        <v>46076</v>
      </c>
      <c r="C62" t="s">
        <v>944</v>
      </c>
      <c r="D62">
        <v>2</v>
      </c>
      <c r="E62" t="s">
        <v>111</v>
      </c>
      <c r="F62" t="s">
        <v>70</v>
      </c>
      <c r="G62" t="s">
        <v>48</v>
      </c>
      <c r="H62" t="s">
        <v>33</v>
      </c>
      <c r="I62" t="s">
        <v>71</v>
      </c>
      <c r="J62" t="s">
        <v>72</v>
      </c>
      <c r="K62" t="s">
        <v>73</v>
      </c>
      <c r="L62">
        <v>7</v>
      </c>
      <c r="M62" s="10">
        <v>0.1</v>
      </c>
      <c r="N62" s="11">
        <v>787500</v>
      </c>
      <c r="O62" s="11">
        <v>490000</v>
      </c>
      <c r="P62" s="11">
        <v>297500</v>
      </c>
      <c r="Q62" t="s">
        <v>52</v>
      </c>
      <c r="R62" t="b">
        <f>COUNTIF($A$6     : CleanedSalesData[[#This Row],[Order ID]], CleanedSalesData[[#This Row],[Order ID]])&gt;1</f>
        <v>0</v>
      </c>
      <c r="S62" t="b">
        <f>IF(ISBLANK(CleanedSalesData[[#This Row],[Quantity]]), TRUE, FALSE)</f>
        <v>0</v>
      </c>
      <c r="T62" t="b">
        <f>IF(ISBLANK(CleanedSalesData[[#This Row],[Order Date]]), TRUE, FALSE)</f>
        <v>0</v>
      </c>
      <c r="U62" t="b">
        <f>IF(ISBLANK(CleanedSalesData[[#This Row],[Revenue]]), TRUE, FALSE)</f>
        <v>0</v>
      </c>
      <c r="V62" t="b">
        <f>IF(OR(CleanedSalesData[[#This Row],[Order Status]]="Cancelled", CleanedSalesData[[#This Row],[Order Status]]="Returned"), TRUE, FALSE)</f>
        <v>0</v>
      </c>
      <c r="W62" t="str" cm="1">
        <f t="array" ref="W6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" spans="1:23" x14ac:dyDescent="0.35">
      <c r="A63" t="s">
        <v>148</v>
      </c>
      <c r="B63" s="7">
        <v>46195</v>
      </c>
      <c r="C63" t="s">
        <v>945</v>
      </c>
      <c r="D63">
        <v>6</v>
      </c>
      <c r="E63" t="s">
        <v>76</v>
      </c>
      <c r="F63" t="s">
        <v>31</v>
      </c>
      <c r="G63" t="s">
        <v>41</v>
      </c>
      <c r="H63" t="s">
        <v>33</v>
      </c>
      <c r="I63" t="s">
        <v>78</v>
      </c>
      <c r="J63" t="s">
        <v>79</v>
      </c>
      <c r="K63" t="s">
        <v>62</v>
      </c>
      <c r="L63">
        <v>4</v>
      </c>
      <c r="M63" s="10">
        <v>0.1</v>
      </c>
      <c r="N63" s="11">
        <v>306000</v>
      </c>
      <c r="O63" s="11">
        <v>172000</v>
      </c>
      <c r="P63" s="11">
        <v>134000</v>
      </c>
      <c r="Q63" t="s">
        <v>63</v>
      </c>
      <c r="R63" t="b">
        <f>COUNTIF($A$6     : CleanedSalesData[[#This Row],[Order ID]], CleanedSalesData[[#This Row],[Order ID]])&gt;1</f>
        <v>0</v>
      </c>
      <c r="S63" t="b">
        <f>IF(ISBLANK(CleanedSalesData[[#This Row],[Quantity]]), TRUE, FALSE)</f>
        <v>0</v>
      </c>
      <c r="T63" t="b">
        <f>IF(ISBLANK(CleanedSalesData[[#This Row],[Order Date]]), TRUE, FALSE)</f>
        <v>0</v>
      </c>
      <c r="U63" t="b">
        <f>IF(ISBLANK(CleanedSalesData[[#This Row],[Revenue]]), TRUE, FALSE)</f>
        <v>0</v>
      </c>
      <c r="V63" t="b">
        <f>IF(OR(CleanedSalesData[[#This Row],[Order Status]]="Cancelled", CleanedSalesData[[#This Row],[Order Status]]="Returned"), TRUE, FALSE)</f>
        <v>0</v>
      </c>
      <c r="W63" t="str" cm="1">
        <f t="array" ref="W6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" spans="1:23" x14ac:dyDescent="0.35">
      <c r="A64" t="s">
        <v>150</v>
      </c>
      <c r="B64" s="7">
        <v>32874</v>
      </c>
      <c r="C64" t="s">
        <v>948</v>
      </c>
      <c r="D64">
        <v>1</v>
      </c>
      <c r="E64" t="s">
        <v>95</v>
      </c>
      <c r="F64" t="s">
        <v>31</v>
      </c>
      <c r="G64" t="s">
        <v>32</v>
      </c>
      <c r="H64" t="s">
        <v>33</v>
      </c>
      <c r="I64" t="s">
        <v>82</v>
      </c>
      <c r="J64" t="s">
        <v>83</v>
      </c>
      <c r="K64" t="s">
        <v>44</v>
      </c>
      <c r="L64">
        <v>4</v>
      </c>
      <c r="M64" s="10">
        <v>0.15</v>
      </c>
      <c r="N64" s="11">
        <v>4930000</v>
      </c>
      <c r="O64" s="11">
        <v>3920000</v>
      </c>
      <c r="P64" s="11">
        <v>1010000</v>
      </c>
      <c r="Q64" t="s">
        <v>74</v>
      </c>
      <c r="R64" t="b">
        <f>COUNTIF($A$6     : CleanedSalesData[[#This Row],[Order ID]], CleanedSalesData[[#This Row],[Order ID]])&gt;1</f>
        <v>0</v>
      </c>
      <c r="S64" t="b">
        <f>IF(ISBLANK(CleanedSalesData[[#This Row],[Quantity]]), TRUE, FALSE)</f>
        <v>0</v>
      </c>
      <c r="T64" t="b">
        <f>IF(ISBLANK(CleanedSalesData[[#This Row],[Order Date]]), TRUE, FALSE)</f>
        <v>0</v>
      </c>
      <c r="U64" t="b">
        <f>IF(ISBLANK(CleanedSalesData[[#This Row],[Revenue]]), TRUE, FALSE)</f>
        <v>0</v>
      </c>
      <c r="V64" t="b">
        <f>IF(OR(CleanedSalesData[[#This Row],[Order Status]]="Cancelled", CleanedSalesData[[#This Row],[Order Status]]="Returned"), TRUE, FALSE)</f>
        <v>0</v>
      </c>
      <c r="W64" t="str" cm="1">
        <f t="array" ref="W6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" spans="1:23" x14ac:dyDescent="0.35">
      <c r="A65" t="s">
        <v>152</v>
      </c>
      <c r="B65" s="7">
        <v>46085</v>
      </c>
      <c r="C65" t="s">
        <v>947</v>
      </c>
      <c r="D65">
        <v>3</v>
      </c>
      <c r="E65" t="s">
        <v>65</v>
      </c>
      <c r="F65" t="s">
        <v>40</v>
      </c>
      <c r="G65" t="s">
        <v>48</v>
      </c>
      <c r="H65" t="s">
        <v>90</v>
      </c>
      <c r="I65" t="s">
        <v>86</v>
      </c>
      <c r="J65" t="s">
        <v>87</v>
      </c>
      <c r="K65" t="s">
        <v>36</v>
      </c>
      <c r="L65">
        <v>8</v>
      </c>
      <c r="M65" s="10">
        <v>0.1</v>
      </c>
      <c r="N65" s="11">
        <v>2520000</v>
      </c>
      <c r="O65" s="11">
        <v>1680000</v>
      </c>
      <c r="P65" s="11">
        <v>840000</v>
      </c>
      <c r="Q65" t="s">
        <v>45</v>
      </c>
      <c r="R65" t="b">
        <f>COUNTIF($A$6     : CleanedSalesData[[#This Row],[Order ID]], CleanedSalesData[[#This Row],[Order ID]])&gt;1</f>
        <v>0</v>
      </c>
      <c r="S65" t="b">
        <f>IF(ISBLANK(CleanedSalesData[[#This Row],[Quantity]]), TRUE, FALSE)</f>
        <v>0</v>
      </c>
      <c r="T65" t="b">
        <f>IF(ISBLANK(CleanedSalesData[[#This Row],[Order Date]]), TRUE, FALSE)</f>
        <v>0</v>
      </c>
      <c r="U65" t="b">
        <f>IF(ISBLANK(CleanedSalesData[[#This Row],[Revenue]]), TRUE, FALSE)</f>
        <v>0</v>
      </c>
      <c r="V65" t="b">
        <f>IF(OR(CleanedSalesData[[#This Row],[Order Status]]="Cancelled", CleanedSalesData[[#This Row],[Order Status]]="Returned"), TRUE, FALSE)</f>
        <v>0</v>
      </c>
      <c r="W65" t="str" cm="1">
        <f t="array" ref="W6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" spans="1:23" x14ac:dyDescent="0.35">
      <c r="A66" t="s">
        <v>153</v>
      </c>
      <c r="B66" s="7">
        <v>46201</v>
      </c>
      <c r="C66" t="s">
        <v>945</v>
      </c>
      <c r="D66">
        <v>6</v>
      </c>
      <c r="E66" t="s">
        <v>69</v>
      </c>
      <c r="F66" t="s">
        <v>31</v>
      </c>
      <c r="G66" t="s">
        <v>41</v>
      </c>
      <c r="H66" t="s">
        <v>33</v>
      </c>
      <c r="I66" t="s">
        <v>34</v>
      </c>
      <c r="J66" t="s">
        <v>35</v>
      </c>
      <c r="K66" t="s">
        <v>36</v>
      </c>
      <c r="L66">
        <v>7</v>
      </c>
      <c r="M66" s="10">
        <v>0.08</v>
      </c>
      <c r="N66" s="11">
        <v>3059000</v>
      </c>
      <c r="O66" s="11">
        <v>1995000</v>
      </c>
      <c r="P66" s="11">
        <v>1064000</v>
      </c>
      <c r="Q66" t="s">
        <v>93</v>
      </c>
      <c r="R66" t="b">
        <f>COUNTIF($A$6     : CleanedSalesData[[#This Row],[Order ID]], CleanedSalesData[[#This Row],[Order ID]])&gt;1</f>
        <v>0</v>
      </c>
      <c r="S66" t="b">
        <f>IF(ISBLANK(CleanedSalesData[[#This Row],[Quantity]]), TRUE, FALSE)</f>
        <v>0</v>
      </c>
      <c r="T66" t="b">
        <f>IF(ISBLANK(CleanedSalesData[[#This Row],[Order Date]]), TRUE, FALSE)</f>
        <v>0</v>
      </c>
      <c r="U66" t="b">
        <f>IF(ISBLANK(CleanedSalesData[[#This Row],[Revenue]]), TRUE, FALSE)</f>
        <v>0</v>
      </c>
      <c r="V66" t="b">
        <f>IF(OR(CleanedSalesData[[#This Row],[Order Status]]="Cancelled", CleanedSalesData[[#This Row],[Order Status]]="Returned"), TRUE, FALSE)</f>
        <v>0</v>
      </c>
      <c r="W66" t="str" cm="1">
        <f t="array" ref="W6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7" spans="1:23" x14ac:dyDescent="0.35">
      <c r="A67" t="s">
        <v>155</v>
      </c>
      <c r="B67" s="7">
        <v>46079</v>
      </c>
      <c r="C67" t="s">
        <v>944</v>
      </c>
      <c r="D67">
        <v>2</v>
      </c>
      <c r="E67" t="s">
        <v>69</v>
      </c>
      <c r="F67" t="s">
        <v>40</v>
      </c>
      <c r="G67" t="s">
        <v>32</v>
      </c>
      <c r="H67" t="s">
        <v>33</v>
      </c>
      <c r="I67" t="s">
        <v>42</v>
      </c>
      <c r="J67" t="s">
        <v>43</v>
      </c>
      <c r="K67" t="s">
        <v>44</v>
      </c>
      <c r="L67">
        <v>3</v>
      </c>
      <c r="M67" s="10">
        <v>0.15</v>
      </c>
      <c r="N67" s="11">
        <v>701250</v>
      </c>
      <c r="O67" s="11">
        <v>465000</v>
      </c>
      <c r="P67" s="11">
        <v>236250</v>
      </c>
      <c r="Q67" t="s">
        <v>52</v>
      </c>
      <c r="R67" t="b">
        <f>COUNTIF($A$6     : CleanedSalesData[[#This Row],[Order ID]], CleanedSalesData[[#This Row],[Order ID]])&gt;1</f>
        <v>0</v>
      </c>
      <c r="S67" t="b">
        <f>IF(ISBLANK(CleanedSalesData[[#This Row],[Quantity]]), TRUE, FALSE)</f>
        <v>0</v>
      </c>
      <c r="T67" t="b">
        <f>IF(ISBLANK(CleanedSalesData[[#This Row],[Order Date]]), TRUE, FALSE)</f>
        <v>0</v>
      </c>
      <c r="U67" t="b">
        <f>IF(ISBLANK(CleanedSalesData[[#This Row],[Revenue]]), TRUE, FALSE)</f>
        <v>0</v>
      </c>
      <c r="V67" t="b">
        <f>IF(OR(CleanedSalesData[[#This Row],[Order Status]]="Cancelled", CleanedSalesData[[#This Row],[Order Status]]="Returned"), TRUE, FALSE)</f>
        <v>0</v>
      </c>
      <c r="W67" t="str" cm="1">
        <f t="array" ref="W6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" spans="1:23" x14ac:dyDescent="0.35">
      <c r="A68" t="s">
        <v>156</v>
      </c>
      <c r="B68" s="7">
        <v>46057</v>
      </c>
      <c r="C68" t="s">
        <v>944</v>
      </c>
      <c r="D68">
        <v>2</v>
      </c>
      <c r="E68" t="s">
        <v>111</v>
      </c>
      <c r="F68" t="s">
        <v>47</v>
      </c>
      <c r="G68" t="s">
        <v>81</v>
      </c>
      <c r="H68" t="s">
        <v>33</v>
      </c>
      <c r="I68" t="s">
        <v>49</v>
      </c>
      <c r="J68" t="s">
        <v>50</v>
      </c>
      <c r="K68" t="s">
        <v>51</v>
      </c>
      <c r="L68">
        <v>8</v>
      </c>
      <c r="M68" s="10">
        <v>0.15</v>
      </c>
      <c r="N68" s="11">
        <v>1666000</v>
      </c>
      <c r="O68" s="11">
        <v>1160000</v>
      </c>
      <c r="P68" s="11">
        <v>506000</v>
      </c>
      <c r="Q68" t="s">
        <v>93</v>
      </c>
      <c r="R68" t="b">
        <f>COUNTIF($A$6     : CleanedSalesData[[#This Row],[Order ID]], CleanedSalesData[[#This Row],[Order ID]])&gt;1</f>
        <v>0</v>
      </c>
      <c r="S68" t="b">
        <f>IF(ISBLANK(CleanedSalesData[[#This Row],[Quantity]]), TRUE, FALSE)</f>
        <v>0</v>
      </c>
      <c r="T68" t="b">
        <f>IF(ISBLANK(CleanedSalesData[[#This Row],[Order Date]]), TRUE, FALSE)</f>
        <v>0</v>
      </c>
      <c r="U68" t="b">
        <f>IF(ISBLANK(CleanedSalesData[[#This Row],[Revenue]]), TRUE, FALSE)</f>
        <v>0</v>
      </c>
      <c r="V68" t="b">
        <f>IF(OR(CleanedSalesData[[#This Row],[Order Status]]="Cancelled", CleanedSalesData[[#This Row],[Order Status]]="Returned"), TRUE, FALSE)</f>
        <v>0</v>
      </c>
      <c r="W68" t="str" cm="1">
        <f t="array" ref="W6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" spans="1:23" x14ac:dyDescent="0.35">
      <c r="A69" t="s">
        <v>157</v>
      </c>
      <c r="B69" s="7">
        <v>46163</v>
      </c>
      <c r="C69" t="s">
        <v>946</v>
      </c>
      <c r="D69">
        <v>5</v>
      </c>
      <c r="E69" t="s">
        <v>76</v>
      </c>
      <c r="F69" t="s">
        <v>59</v>
      </c>
      <c r="G69" t="s">
        <v>48</v>
      </c>
      <c r="H69" t="s">
        <v>33</v>
      </c>
      <c r="I69" t="s">
        <v>55</v>
      </c>
      <c r="J69" t="s">
        <v>56</v>
      </c>
      <c r="K69" t="s">
        <v>36</v>
      </c>
      <c r="L69">
        <v>8</v>
      </c>
      <c r="M69" s="10">
        <v>0.03</v>
      </c>
      <c r="N69" s="11">
        <v>14356000</v>
      </c>
      <c r="O69" s="11">
        <v>10560000</v>
      </c>
      <c r="P69" s="11">
        <v>3796000</v>
      </c>
      <c r="Q69" t="s">
        <v>45</v>
      </c>
      <c r="R69" t="b">
        <f>COUNTIF($A$6     : CleanedSalesData[[#This Row],[Order ID]], CleanedSalesData[[#This Row],[Order ID]])&gt;1</f>
        <v>0</v>
      </c>
      <c r="S69" t="b">
        <f>IF(ISBLANK(CleanedSalesData[[#This Row],[Quantity]]), TRUE, FALSE)</f>
        <v>0</v>
      </c>
      <c r="T69" t="b">
        <f>IF(ISBLANK(CleanedSalesData[[#This Row],[Order Date]]), TRUE, FALSE)</f>
        <v>0</v>
      </c>
      <c r="U69" t="b">
        <f>IF(ISBLANK(CleanedSalesData[[#This Row],[Revenue]]), TRUE, FALSE)</f>
        <v>0</v>
      </c>
      <c r="V69" t="b">
        <f>IF(OR(CleanedSalesData[[#This Row],[Order Status]]="Cancelled", CleanedSalesData[[#This Row],[Order Status]]="Returned"), TRUE, FALSE)</f>
        <v>0</v>
      </c>
      <c r="W69" t="str" cm="1">
        <f t="array" ref="W6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" spans="1:23" x14ac:dyDescent="0.35">
      <c r="A70" t="s">
        <v>158</v>
      </c>
      <c r="B70" s="7">
        <v>46186</v>
      </c>
      <c r="C70" t="s">
        <v>945</v>
      </c>
      <c r="D70">
        <v>6</v>
      </c>
      <c r="E70" t="s">
        <v>111</v>
      </c>
      <c r="F70" t="s">
        <v>31</v>
      </c>
      <c r="G70" t="s">
        <v>81</v>
      </c>
      <c r="H70" t="s">
        <v>33</v>
      </c>
      <c r="I70" t="s">
        <v>60</v>
      </c>
      <c r="J70" t="s">
        <v>61</v>
      </c>
      <c r="K70" t="s">
        <v>62</v>
      </c>
      <c r="L70">
        <v>5</v>
      </c>
      <c r="M70" s="10">
        <v>0.1</v>
      </c>
      <c r="N70" s="11">
        <v>292500</v>
      </c>
      <c r="O70" s="11">
        <v>155000</v>
      </c>
      <c r="P70" s="11">
        <v>137500</v>
      </c>
      <c r="Q70" t="s">
        <v>37</v>
      </c>
      <c r="R70" t="b">
        <f>COUNTIF($A$6     : CleanedSalesData[[#This Row],[Order ID]], CleanedSalesData[[#This Row],[Order ID]])&gt;1</f>
        <v>0</v>
      </c>
      <c r="S70" t="b">
        <f>IF(ISBLANK(CleanedSalesData[[#This Row],[Quantity]]), TRUE, FALSE)</f>
        <v>0</v>
      </c>
      <c r="T70" t="b">
        <f>IF(ISBLANK(CleanedSalesData[[#This Row],[Order Date]]), TRUE, FALSE)</f>
        <v>0</v>
      </c>
      <c r="U70" t="b">
        <f>IF(ISBLANK(CleanedSalesData[[#This Row],[Revenue]]), TRUE, FALSE)</f>
        <v>0</v>
      </c>
      <c r="V70" t="b">
        <f>IF(OR(CleanedSalesData[[#This Row],[Order Status]]="Cancelled", CleanedSalesData[[#This Row],[Order Status]]="Returned"), TRUE, FALSE)</f>
        <v>0</v>
      </c>
      <c r="W70" t="str" cm="1">
        <f t="array" ref="W7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" spans="1:23" x14ac:dyDescent="0.35">
      <c r="A71" t="s">
        <v>159</v>
      </c>
      <c r="B71" s="7">
        <v>46096</v>
      </c>
      <c r="C71" t="s">
        <v>947</v>
      </c>
      <c r="D71">
        <v>3</v>
      </c>
      <c r="E71" t="s">
        <v>30</v>
      </c>
      <c r="F71" t="s">
        <v>47</v>
      </c>
      <c r="G71" t="s">
        <v>41</v>
      </c>
      <c r="H71" t="s">
        <v>33</v>
      </c>
      <c r="I71" t="s">
        <v>66</v>
      </c>
      <c r="J71" t="s">
        <v>67</v>
      </c>
      <c r="K71" t="s">
        <v>51</v>
      </c>
      <c r="L71">
        <v>4</v>
      </c>
      <c r="M71" s="10">
        <v>0.05</v>
      </c>
      <c r="N71" s="11">
        <v>1178000</v>
      </c>
      <c r="O71" s="11">
        <v>760000</v>
      </c>
      <c r="P71" s="11">
        <v>418000</v>
      </c>
      <c r="Q71" t="s">
        <v>84</v>
      </c>
      <c r="R71" t="b">
        <f>COUNTIF($A$6     : CleanedSalesData[[#This Row],[Order ID]], CleanedSalesData[[#This Row],[Order ID]])&gt;1</f>
        <v>0</v>
      </c>
      <c r="S71" t="b">
        <f>IF(ISBLANK(CleanedSalesData[[#This Row],[Quantity]]), TRUE, FALSE)</f>
        <v>0</v>
      </c>
      <c r="T71" t="b">
        <f>IF(ISBLANK(CleanedSalesData[[#This Row],[Order Date]]), TRUE, FALSE)</f>
        <v>0</v>
      </c>
      <c r="U71" t="b">
        <f>IF(ISBLANK(CleanedSalesData[[#This Row],[Revenue]]), TRUE, FALSE)</f>
        <v>0</v>
      </c>
      <c r="V71" t="b">
        <f>IF(OR(CleanedSalesData[[#This Row],[Order Status]]="Cancelled", CleanedSalesData[[#This Row],[Order Status]]="Returned"), TRUE, FALSE)</f>
        <v>0</v>
      </c>
      <c r="W71" t="str" cm="1">
        <f t="array" ref="W7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2" spans="1:23" x14ac:dyDescent="0.35">
      <c r="A72" t="s">
        <v>160</v>
      </c>
      <c r="B72" s="7">
        <v>46082</v>
      </c>
      <c r="C72" t="s">
        <v>947</v>
      </c>
      <c r="D72">
        <v>3</v>
      </c>
      <c r="E72" t="s">
        <v>65</v>
      </c>
      <c r="F72" t="s">
        <v>31</v>
      </c>
      <c r="G72" t="s">
        <v>41</v>
      </c>
      <c r="H72" t="s">
        <v>33</v>
      </c>
      <c r="I72" t="s">
        <v>71</v>
      </c>
      <c r="J72" t="s">
        <v>72</v>
      </c>
      <c r="K72" t="s">
        <v>73</v>
      </c>
      <c r="L72">
        <v>7</v>
      </c>
      <c r="M72" s="10">
        <v>0.15</v>
      </c>
      <c r="O72" s="11">
        <v>490000</v>
      </c>
      <c r="P72" s="11">
        <v>253750</v>
      </c>
      <c r="Q72" t="s">
        <v>93</v>
      </c>
      <c r="R72" t="b">
        <f>COUNTIF($A$6     : CleanedSalesData[[#This Row],[Order ID]], CleanedSalesData[[#This Row],[Order ID]])&gt;1</f>
        <v>0</v>
      </c>
      <c r="S72" t="b">
        <f>IF(ISBLANK(CleanedSalesData[[#This Row],[Quantity]]), TRUE, FALSE)</f>
        <v>0</v>
      </c>
      <c r="T72" t="b">
        <f>IF(ISBLANK(CleanedSalesData[[#This Row],[Order Date]]), TRUE, FALSE)</f>
        <v>0</v>
      </c>
      <c r="U72" t="b">
        <f>IF(ISBLANK(CleanedSalesData[[#This Row],[Revenue]]), TRUE, FALSE)</f>
        <v>1</v>
      </c>
      <c r="V72" t="b">
        <f>IF(OR(CleanedSalesData[[#This Row],[Order Status]]="Cancelled", CleanedSalesData[[#This Row],[Order Status]]="Returned"), TRUE, FALSE)</f>
        <v>0</v>
      </c>
      <c r="W72" t="str" cm="1">
        <f t="array" ref="W7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73" spans="1:23" x14ac:dyDescent="0.35">
      <c r="A73" t="s">
        <v>161</v>
      </c>
      <c r="B73" s="7">
        <v>46107</v>
      </c>
      <c r="C73" t="s">
        <v>947</v>
      </c>
      <c r="D73">
        <v>3</v>
      </c>
      <c r="E73" t="s">
        <v>95</v>
      </c>
      <c r="F73" t="s">
        <v>59</v>
      </c>
      <c r="G73" t="s">
        <v>48</v>
      </c>
      <c r="H73" t="s">
        <v>33</v>
      </c>
      <c r="I73" t="s">
        <v>78</v>
      </c>
      <c r="J73" t="s">
        <v>79</v>
      </c>
      <c r="K73" t="s">
        <v>62</v>
      </c>
      <c r="L73">
        <v>8</v>
      </c>
      <c r="M73" s="10">
        <v>0.08</v>
      </c>
      <c r="N73" s="11">
        <v>625600</v>
      </c>
      <c r="O73" s="11">
        <v>344000</v>
      </c>
      <c r="P73" s="11">
        <v>281600</v>
      </c>
      <c r="Q73" t="s">
        <v>93</v>
      </c>
      <c r="R73" t="b">
        <f>COUNTIF($A$6     : CleanedSalesData[[#This Row],[Order ID]], CleanedSalesData[[#This Row],[Order ID]])&gt;1</f>
        <v>0</v>
      </c>
      <c r="S73" t="b">
        <f>IF(ISBLANK(CleanedSalesData[[#This Row],[Quantity]]), TRUE, FALSE)</f>
        <v>0</v>
      </c>
      <c r="T73" t="b">
        <f>IF(ISBLANK(CleanedSalesData[[#This Row],[Order Date]]), TRUE, FALSE)</f>
        <v>0</v>
      </c>
      <c r="U73" t="b">
        <f>IF(ISBLANK(CleanedSalesData[[#This Row],[Revenue]]), TRUE, FALSE)</f>
        <v>0</v>
      </c>
      <c r="V73" t="b">
        <f>IF(OR(CleanedSalesData[[#This Row],[Order Status]]="Cancelled", CleanedSalesData[[#This Row],[Order Status]]="Returned"), TRUE, FALSE)</f>
        <v>0</v>
      </c>
      <c r="W73" t="str" cm="1">
        <f t="array" ref="W7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4" spans="1:23" x14ac:dyDescent="0.35">
      <c r="A74" t="s">
        <v>162</v>
      </c>
      <c r="B74" s="7">
        <v>46145</v>
      </c>
      <c r="C74" t="s">
        <v>946</v>
      </c>
      <c r="D74">
        <v>5</v>
      </c>
      <c r="E74" t="s">
        <v>39</v>
      </c>
      <c r="F74" t="s">
        <v>59</v>
      </c>
      <c r="G74" t="s">
        <v>48</v>
      </c>
      <c r="H74" t="s">
        <v>33</v>
      </c>
      <c r="I74" t="s">
        <v>82</v>
      </c>
      <c r="J74" t="s">
        <v>83</v>
      </c>
      <c r="K74" t="s">
        <v>44</v>
      </c>
      <c r="L74">
        <v>1</v>
      </c>
      <c r="M74" s="10">
        <v>0.05</v>
      </c>
      <c r="N74" s="11">
        <v>1377500</v>
      </c>
      <c r="O74" s="11">
        <v>980000</v>
      </c>
      <c r="P74" s="11">
        <v>397500</v>
      </c>
      <c r="Q74" t="s">
        <v>52</v>
      </c>
      <c r="R74" t="b">
        <f>COUNTIF($A$6     : CleanedSalesData[[#This Row],[Order ID]], CleanedSalesData[[#This Row],[Order ID]])&gt;1</f>
        <v>0</v>
      </c>
      <c r="S74" t="b">
        <f>IF(ISBLANK(CleanedSalesData[[#This Row],[Quantity]]), TRUE, FALSE)</f>
        <v>0</v>
      </c>
      <c r="T74" t="b">
        <f>IF(ISBLANK(CleanedSalesData[[#This Row],[Order Date]]), TRUE, FALSE)</f>
        <v>0</v>
      </c>
      <c r="U74" t="b">
        <f>IF(ISBLANK(CleanedSalesData[[#This Row],[Revenue]]), TRUE, FALSE)</f>
        <v>0</v>
      </c>
      <c r="V74" t="b">
        <f>IF(OR(CleanedSalesData[[#This Row],[Order Status]]="Cancelled", CleanedSalesData[[#This Row],[Order Status]]="Returned"), TRUE, FALSE)</f>
        <v>0</v>
      </c>
      <c r="W74" t="str" cm="1">
        <f t="array" ref="W7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5" spans="1:23" x14ac:dyDescent="0.35">
      <c r="A75" t="s">
        <v>163</v>
      </c>
      <c r="B75" s="7">
        <v>46079</v>
      </c>
      <c r="C75" t="s">
        <v>944</v>
      </c>
      <c r="D75">
        <v>2</v>
      </c>
      <c r="E75" t="s">
        <v>65</v>
      </c>
      <c r="F75" t="s">
        <v>59</v>
      </c>
      <c r="G75" t="s">
        <v>81</v>
      </c>
      <c r="H75" t="s">
        <v>33</v>
      </c>
      <c r="I75" t="s">
        <v>86</v>
      </c>
      <c r="J75" t="s">
        <v>87</v>
      </c>
      <c r="K75" t="s">
        <v>36</v>
      </c>
      <c r="L75">
        <v>5</v>
      </c>
      <c r="M75" s="10">
        <v>0.08</v>
      </c>
      <c r="N75" s="11">
        <v>1610000</v>
      </c>
      <c r="O75" s="11">
        <v>1050000</v>
      </c>
      <c r="P75" s="11">
        <v>560000</v>
      </c>
      <c r="Q75" t="s">
        <v>84</v>
      </c>
      <c r="R75" t="b">
        <f>COUNTIF($A$6     : CleanedSalesData[[#This Row],[Order ID]], CleanedSalesData[[#This Row],[Order ID]])&gt;1</f>
        <v>0</v>
      </c>
      <c r="S75" t="b">
        <f>IF(ISBLANK(CleanedSalesData[[#This Row],[Quantity]]), TRUE, FALSE)</f>
        <v>0</v>
      </c>
      <c r="T75" t="b">
        <f>IF(ISBLANK(CleanedSalesData[[#This Row],[Order Date]]), TRUE, FALSE)</f>
        <v>0</v>
      </c>
      <c r="U75" t="b">
        <f>IF(ISBLANK(CleanedSalesData[[#This Row],[Revenue]]), TRUE, FALSE)</f>
        <v>0</v>
      </c>
      <c r="V75" t="b">
        <f>IF(OR(CleanedSalesData[[#This Row],[Order Status]]="Cancelled", CleanedSalesData[[#This Row],[Order Status]]="Returned"), TRUE, FALSE)</f>
        <v>0</v>
      </c>
      <c r="W75" t="str" cm="1">
        <f t="array" ref="W7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6" spans="1:23" x14ac:dyDescent="0.35">
      <c r="A76" t="s">
        <v>164</v>
      </c>
      <c r="B76" s="7">
        <v>46142</v>
      </c>
      <c r="C76" t="s">
        <v>949</v>
      </c>
      <c r="D76">
        <v>4</v>
      </c>
      <c r="E76" t="s">
        <v>69</v>
      </c>
      <c r="F76" t="s">
        <v>59</v>
      </c>
      <c r="G76" t="s">
        <v>41</v>
      </c>
      <c r="H76" t="s">
        <v>33</v>
      </c>
      <c r="I76" t="s">
        <v>165</v>
      </c>
      <c r="J76" t="s">
        <v>35</v>
      </c>
      <c r="K76" t="s">
        <v>36</v>
      </c>
      <c r="L76">
        <v>3</v>
      </c>
      <c r="M76" s="10">
        <v>0.1</v>
      </c>
      <c r="N76" s="11">
        <v>1282500</v>
      </c>
      <c r="O76" s="11">
        <v>855000</v>
      </c>
      <c r="P76" s="11">
        <v>427500</v>
      </c>
      <c r="Q76" t="s">
        <v>93</v>
      </c>
      <c r="R76" t="b">
        <f>COUNTIF($A$6     : CleanedSalesData[[#This Row],[Order ID]], CleanedSalesData[[#This Row],[Order ID]])&gt;1</f>
        <v>0</v>
      </c>
      <c r="S76" t="b">
        <f>IF(ISBLANK(CleanedSalesData[[#This Row],[Quantity]]), TRUE, FALSE)</f>
        <v>0</v>
      </c>
      <c r="T76" t="b">
        <f>IF(ISBLANK(CleanedSalesData[[#This Row],[Order Date]]), TRUE, FALSE)</f>
        <v>0</v>
      </c>
      <c r="U76" t="b">
        <f>IF(ISBLANK(CleanedSalesData[[#This Row],[Revenue]]), TRUE, FALSE)</f>
        <v>0</v>
      </c>
      <c r="V76" t="b">
        <f>IF(OR(CleanedSalesData[[#This Row],[Order Status]]="Cancelled", CleanedSalesData[[#This Row],[Order Status]]="Returned"), TRUE, FALSE)</f>
        <v>0</v>
      </c>
      <c r="W76" t="str" cm="1">
        <f t="array" ref="W7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7" spans="1:23" x14ac:dyDescent="0.35">
      <c r="A77" t="s">
        <v>166</v>
      </c>
      <c r="B77" s="7">
        <v>46057</v>
      </c>
      <c r="C77" t="s">
        <v>944</v>
      </c>
      <c r="D77">
        <v>2</v>
      </c>
      <c r="E77" t="s">
        <v>39</v>
      </c>
      <c r="F77" t="s">
        <v>59</v>
      </c>
      <c r="G77" t="s">
        <v>81</v>
      </c>
      <c r="H77" t="s">
        <v>33</v>
      </c>
      <c r="I77" t="s">
        <v>42</v>
      </c>
      <c r="J77" t="s">
        <v>43</v>
      </c>
      <c r="K77" t="s">
        <v>44</v>
      </c>
      <c r="L77">
        <v>8</v>
      </c>
      <c r="M77" s="10">
        <v>0.03</v>
      </c>
      <c r="N77" s="11">
        <v>2134000</v>
      </c>
      <c r="O77" s="11">
        <v>1240000</v>
      </c>
      <c r="P77" s="11">
        <v>894000</v>
      </c>
      <c r="Q77" t="s">
        <v>52</v>
      </c>
      <c r="R77" t="b">
        <f>COUNTIF($A$6     : CleanedSalesData[[#This Row],[Order ID]], CleanedSalesData[[#This Row],[Order ID]])&gt;1</f>
        <v>0</v>
      </c>
      <c r="S77" t="b">
        <f>IF(ISBLANK(CleanedSalesData[[#This Row],[Quantity]]), TRUE, FALSE)</f>
        <v>0</v>
      </c>
      <c r="T77" t="b">
        <f>IF(ISBLANK(CleanedSalesData[[#This Row],[Order Date]]), TRUE, FALSE)</f>
        <v>0</v>
      </c>
      <c r="U77" t="b">
        <f>IF(ISBLANK(CleanedSalesData[[#This Row],[Revenue]]), TRUE, FALSE)</f>
        <v>0</v>
      </c>
      <c r="V77" t="b">
        <f>IF(OR(CleanedSalesData[[#This Row],[Order Status]]="Cancelled", CleanedSalesData[[#This Row],[Order Status]]="Returned"), TRUE, FALSE)</f>
        <v>0</v>
      </c>
      <c r="W77" t="str" cm="1">
        <f t="array" ref="W7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8" spans="1:23" x14ac:dyDescent="0.35">
      <c r="A78" t="s">
        <v>167</v>
      </c>
      <c r="B78" s="7">
        <v>46106</v>
      </c>
      <c r="C78" t="s">
        <v>947</v>
      </c>
      <c r="D78">
        <v>3</v>
      </c>
      <c r="E78" t="s">
        <v>69</v>
      </c>
      <c r="F78" t="s">
        <v>59</v>
      </c>
      <c r="G78" t="s">
        <v>81</v>
      </c>
      <c r="H78" t="s">
        <v>33</v>
      </c>
      <c r="I78" t="s">
        <v>49</v>
      </c>
      <c r="J78" t="s">
        <v>50</v>
      </c>
      <c r="K78" t="s">
        <v>51</v>
      </c>
      <c r="L78">
        <v>6</v>
      </c>
      <c r="M78" s="10">
        <v>0.08</v>
      </c>
      <c r="N78" s="11">
        <v>1352400</v>
      </c>
      <c r="O78" s="11">
        <v>870000</v>
      </c>
      <c r="P78" s="11">
        <v>482400</v>
      </c>
      <c r="Q78" t="s">
        <v>52</v>
      </c>
      <c r="R78" t="b">
        <f>COUNTIF($A$6     : CleanedSalesData[[#This Row],[Order ID]], CleanedSalesData[[#This Row],[Order ID]])&gt;1</f>
        <v>0</v>
      </c>
      <c r="S78" t="b">
        <f>IF(ISBLANK(CleanedSalesData[[#This Row],[Quantity]]), TRUE, FALSE)</f>
        <v>0</v>
      </c>
      <c r="T78" t="b">
        <f>IF(ISBLANK(CleanedSalesData[[#This Row],[Order Date]]), TRUE, FALSE)</f>
        <v>0</v>
      </c>
      <c r="U78" t="b">
        <f>IF(ISBLANK(CleanedSalesData[[#This Row],[Revenue]]), TRUE, FALSE)</f>
        <v>0</v>
      </c>
      <c r="V78" t="b">
        <f>IF(OR(CleanedSalesData[[#This Row],[Order Status]]="Cancelled", CleanedSalesData[[#This Row],[Order Status]]="Returned"), TRUE, FALSE)</f>
        <v>0</v>
      </c>
      <c r="W78" t="str" cm="1">
        <f t="array" ref="W7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9" spans="1:23" x14ac:dyDescent="0.35">
      <c r="A79" t="s">
        <v>168</v>
      </c>
      <c r="B79" s="7">
        <v>46027</v>
      </c>
      <c r="C79" t="s">
        <v>948</v>
      </c>
      <c r="D79">
        <v>1</v>
      </c>
      <c r="E79" t="s">
        <v>95</v>
      </c>
      <c r="F79" t="s">
        <v>40</v>
      </c>
      <c r="G79" t="s">
        <v>41</v>
      </c>
      <c r="H79" t="s">
        <v>33</v>
      </c>
      <c r="I79" t="s">
        <v>55</v>
      </c>
      <c r="J79" t="s">
        <v>56</v>
      </c>
      <c r="K79" t="s">
        <v>36</v>
      </c>
      <c r="L79">
        <v>1</v>
      </c>
      <c r="M79" s="10">
        <v>0.05</v>
      </c>
      <c r="N79" s="11">
        <v>1757500</v>
      </c>
      <c r="O79" s="11">
        <v>1320000</v>
      </c>
      <c r="P79" s="11">
        <v>437500</v>
      </c>
      <c r="Q79" t="s">
        <v>45</v>
      </c>
      <c r="R79" t="b">
        <f>COUNTIF($A$6     : CleanedSalesData[[#This Row],[Order ID]], CleanedSalesData[[#This Row],[Order ID]])&gt;1</f>
        <v>0</v>
      </c>
      <c r="S79" t="b">
        <f>IF(ISBLANK(CleanedSalesData[[#This Row],[Quantity]]), TRUE, FALSE)</f>
        <v>0</v>
      </c>
      <c r="T79" t="b">
        <f>IF(ISBLANK(CleanedSalesData[[#This Row],[Order Date]]), TRUE, FALSE)</f>
        <v>0</v>
      </c>
      <c r="U79" t="b">
        <f>IF(ISBLANK(CleanedSalesData[[#This Row],[Revenue]]), TRUE, FALSE)</f>
        <v>0</v>
      </c>
      <c r="V79" t="b">
        <f>IF(OR(CleanedSalesData[[#This Row],[Order Status]]="Cancelled", CleanedSalesData[[#This Row],[Order Status]]="Returned"), TRUE, FALSE)</f>
        <v>0</v>
      </c>
      <c r="W79" t="str" cm="1">
        <f t="array" ref="W7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0" spans="1:23" x14ac:dyDescent="0.35">
      <c r="A80" t="s">
        <v>170</v>
      </c>
      <c r="B80" s="7">
        <v>46074</v>
      </c>
      <c r="C80" t="s">
        <v>944</v>
      </c>
      <c r="D80">
        <v>2</v>
      </c>
      <c r="E80" t="s">
        <v>69</v>
      </c>
      <c r="F80" t="s">
        <v>31</v>
      </c>
      <c r="G80" t="s">
        <v>48</v>
      </c>
      <c r="H80" t="s">
        <v>33</v>
      </c>
      <c r="I80" t="s">
        <v>60</v>
      </c>
      <c r="J80" t="s">
        <v>61</v>
      </c>
      <c r="K80" t="s">
        <v>62</v>
      </c>
      <c r="L80">
        <v>1</v>
      </c>
      <c r="M80" s="10">
        <v>0.1</v>
      </c>
      <c r="N80" s="11">
        <v>58500</v>
      </c>
      <c r="O80" s="11">
        <v>31000</v>
      </c>
      <c r="P80" s="11">
        <v>27500</v>
      </c>
      <c r="Q80" t="s">
        <v>45</v>
      </c>
      <c r="R80" t="b">
        <f>COUNTIF($A$6     : CleanedSalesData[[#This Row],[Order ID]], CleanedSalesData[[#This Row],[Order ID]])&gt;1</f>
        <v>0</v>
      </c>
      <c r="S80" t="b">
        <f>IF(ISBLANK(CleanedSalesData[[#This Row],[Quantity]]), TRUE, FALSE)</f>
        <v>0</v>
      </c>
      <c r="T80" t="b">
        <f>IF(ISBLANK(CleanedSalesData[[#This Row],[Order Date]]), TRUE, FALSE)</f>
        <v>0</v>
      </c>
      <c r="U80" t="b">
        <f>IF(ISBLANK(CleanedSalesData[[#This Row],[Revenue]]), TRUE, FALSE)</f>
        <v>0</v>
      </c>
      <c r="V80" t="b">
        <f>IF(OR(CleanedSalesData[[#This Row],[Order Status]]="Cancelled", CleanedSalesData[[#This Row],[Order Status]]="Returned"), TRUE, FALSE)</f>
        <v>0</v>
      </c>
      <c r="W80" t="str" cm="1">
        <f t="array" ref="W8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1" spans="1:23" x14ac:dyDescent="0.35">
      <c r="A81" t="s">
        <v>171</v>
      </c>
      <c r="B81" s="7">
        <v>46142</v>
      </c>
      <c r="C81" t="s">
        <v>949</v>
      </c>
      <c r="D81">
        <v>4</v>
      </c>
      <c r="E81" t="s">
        <v>30</v>
      </c>
      <c r="F81" t="s">
        <v>47</v>
      </c>
      <c r="G81" t="s">
        <v>41</v>
      </c>
      <c r="H81" t="s">
        <v>33</v>
      </c>
      <c r="I81" t="s">
        <v>66</v>
      </c>
      <c r="J81" t="s">
        <v>67</v>
      </c>
      <c r="K81" t="s">
        <v>51</v>
      </c>
      <c r="L81">
        <v>5</v>
      </c>
      <c r="M81" s="10">
        <v>0.05</v>
      </c>
      <c r="N81" s="11">
        <v>1472500</v>
      </c>
      <c r="O81" s="11">
        <v>950000</v>
      </c>
      <c r="P81" s="11">
        <v>522500</v>
      </c>
      <c r="Q81" t="s">
        <v>57</v>
      </c>
      <c r="R81" t="b">
        <f>COUNTIF($A$6     : CleanedSalesData[[#This Row],[Order ID]], CleanedSalesData[[#This Row],[Order ID]])&gt;1</f>
        <v>0</v>
      </c>
      <c r="S81" t="b">
        <f>IF(ISBLANK(CleanedSalesData[[#This Row],[Quantity]]), TRUE, FALSE)</f>
        <v>0</v>
      </c>
      <c r="T81" t="b">
        <f>IF(ISBLANK(CleanedSalesData[[#This Row],[Order Date]]), TRUE, FALSE)</f>
        <v>0</v>
      </c>
      <c r="U81" t="b">
        <f>IF(ISBLANK(CleanedSalesData[[#This Row],[Revenue]]), TRUE, FALSE)</f>
        <v>0</v>
      </c>
      <c r="V81" t="b">
        <f>IF(OR(CleanedSalesData[[#This Row],[Order Status]]="Cancelled", CleanedSalesData[[#This Row],[Order Status]]="Returned"), TRUE, FALSE)</f>
        <v>0</v>
      </c>
      <c r="W81" t="str" cm="1">
        <f t="array" ref="W8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2" spans="1:23" x14ac:dyDescent="0.35">
      <c r="A82" t="s">
        <v>172</v>
      </c>
      <c r="B82" s="7">
        <v>46050</v>
      </c>
      <c r="C82" t="s">
        <v>948</v>
      </c>
      <c r="D82">
        <v>1</v>
      </c>
      <c r="E82" t="s">
        <v>39</v>
      </c>
      <c r="F82" t="s">
        <v>59</v>
      </c>
      <c r="G82" t="s">
        <v>48</v>
      </c>
      <c r="H82" t="s">
        <v>33</v>
      </c>
      <c r="I82" t="s">
        <v>71</v>
      </c>
      <c r="J82" t="s">
        <v>72</v>
      </c>
      <c r="K82" t="s">
        <v>73</v>
      </c>
      <c r="L82">
        <v>1</v>
      </c>
      <c r="M82" s="10">
        <v>0.05</v>
      </c>
      <c r="N82" s="11">
        <v>118750</v>
      </c>
      <c r="O82" s="11">
        <v>70000</v>
      </c>
      <c r="P82" s="11">
        <v>48750</v>
      </c>
      <c r="Q82" t="s">
        <v>37</v>
      </c>
      <c r="R82" t="b">
        <f>COUNTIF($A$6     : CleanedSalesData[[#This Row],[Order ID]], CleanedSalesData[[#This Row],[Order ID]])&gt;1</f>
        <v>0</v>
      </c>
      <c r="S82" t="b">
        <f>IF(ISBLANK(CleanedSalesData[[#This Row],[Quantity]]), TRUE, FALSE)</f>
        <v>0</v>
      </c>
      <c r="T82" t="b">
        <f>IF(ISBLANK(CleanedSalesData[[#This Row],[Order Date]]), TRUE, FALSE)</f>
        <v>0</v>
      </c>
      <c r="U82" t="b">
        <f>IF(ISBLANK(CleanedSalesData[[#This Row],[Revenue]]), TRUE, FALSE)</f>
        <v>0</v>
      </c>
      <c r="V82" t="b">
        <f>IF(OR(CleanedSalesData[[#This Row],[Order Status]]="Cancelled", CleanedSalesData[[#This Row],[Order Status]]="Returned"), TRUE, FALSE)</f>
        <v>0</v>
      </c>
      <c r="W82" t="str" cm="1">
        <f t="array" ref="W8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3" spans="1:23" x14ac:dyDescent="0.35">
      <c r="A83" t="s">
        <v>173</v>
      </c>
      <c r="B83" s="7">
        <v>46174</v>
      </c>
      <c r="C83" t="s">
        <v>945</v>
      </c>
      <c r="D83">
        <v>6</v>
      </c>
      <c r="E83" t="s">
        <v>95</v>
      </c>
      <c r="F83" t="s">
        <v>70</v>
      </c>
      <c r="G83" t="s">
        <v>41</v>
      </c>
      <c r="H83" t="s">
        <v>33</v>
      </c>
      <c r="I83" t="s">
        <v>78</v>
      </c>
      <c r="J83" t="s">
        <v>79</v>
      </c>
      <c r="K83" t="s">
        <v>62</v>
      </c>
      <c r="L83">
        <v>4</v>
      </c>
      <c r="M83" s="10">
        <v>0</v>
      </c>
      <c r="N83" s="11">
        <v>340000</v>
      </c>
      <c r="O83" s="11">
        <v>172000</v>
      </c>
      <c r="P83" s="11">
        <v>168000</v>
      </c>
      <c r="Q83" t="s">
        <v>63</v>
      </c>
      <c r="R83" t="b">
        <f>COUNTIF($A$6     : CleanedSalesData[[#This Row],[Order ID]], CleanedSalesData[[#This Row],[Order ID]])&gt;1</f>
        <v>0</v>
      </c>
      <c r="S83" t="b">
        <f>IF(ISBLANK(CleanedSalesData[[#This Row],[Quantity]]), TRUE, FALSE)</f>
        <v>0</v>
      </c>
      <c r="T83" t="b">
        <f>IF(ISBLANK(CleanedSalesData[[#This Row],[Order Date]]), TRUE, FALSE)</f>
        <v>0</v>
      </c>
      <c r="U83" t="b">
        <f>IF(ISBLANK(CleanedSalesData[[#This Row],[Revenue]]), TRUE, FALSE)</f>
        <v>0</v>
      </c>
      <c r="V83" t="b">
        <f>IF(OR(CleanedSalesData[[#This Row],[Order Status]]="Cancelled", CleanedSalesData[[#This Row],[Order Status]]="Returned"), TRUE, FALSE)</f>
        <v>0</v>
      </c>
      <c r="W83" t="str" cm="1">
        <f t="array" ref="W8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4" spans="1:23" x14ac:dyDescent="0.35">
      <c r="A84" t="s">
        <v>174</v>
      </c>
      <c r="B84" s="7">
        <v>46159</v>
      </c>
      <c r="C84" t="s">
        <v>946</v>
      </c>
      <c r="D84">
        <v>5</v>
      </c>
      <c r="E84" t="s">
        <v>95</v>
      </c>
      <c r="F84" t="s">
        <v>47</v>
      </c>
      <c r="G84" t="s">
        <v>81</v>
      </c>
      <c r="H84" t="s">
        <v>33</v>
      </c>
      <c r="I84" t="s">
        <v>82</v>
      </c>
      <c r="J84" t="s">
        <v>83</v>
      </c>
      <c r="K84" t="s">
        <v>44</v>
      </c>
      <c r="L84">
        <v>7</v>
      </c>
      <c r="M84" s="10">
        <v>0.15</v>
      </c>
      <c r="N84" s="11">
        <v>8627500</v>
      </c>
      <c r="O84" s="11">
        <v>6860000</v>
      </c>
      <c r="P84" s="11">
        <v>1767500</v>
      </c>
      <c r="Q84" t="s">
        <v>93</v>
      </c>
      <c r="R84" t="b">
        <f>COUNTIF($A$6     : CleanedSalesData[[#This Row],[Order ID]], CleanedSalesData[[#This Row],[Order ID]])&gt;1</f>
        <v>0</v>
      </c>
      <c r="S84" t="b">
        <f>IF(ISBLANK(CleanedSalesData[[#This Row],[Quantity]]), TRUE, FALSE)</f>
        <v>0</v>
      </c>
      <c r="T84" t="b">
        <f>IF(ISBLANK(CleanedSalesData[[#This Row],[Order Date]]), TRUE, FALSE)</f>
        <v>0</v>
      </c>
      <c r="U84" t="b">
        <f>IF(ISBLANK(CleanedSalesData[[#This Row],[Revenue]]), TRUE, FALSE)</f>
        <v>0</v>
      </c>
      <c r="V84" t="b">
        <f>IF(OR(CleanedSalesData[[#This Row],[Order Status]]="Cancelled", CleanedSalesData[[#This Row],[Order Status]]="Returned"), TRUE, FALSE)</f>
        <v>0</v>
      </c>
      <c r="W84" t="str" cm="1">
        <f t="array" ref="W8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5" spans="1:23" x14ac:dyDescent="0.35">
      <c r="A85" t="s">
        <v>175</v>
      </c>
      <c r="B85" s="7">
        <v>46148</v>
      </c>
      <c r="C85" t="s">
        <v>946</v>
      </c>
      <c r="D85">
        <v>5</v>
      </c>
      <c r="E85" t="s">
        <v>65</v>
      </c>
      <c r="F85" t="s">
        <v>59</v>
      </c>
      <c r="G85" t="s">
        <v>32</v>
      </c>
      <c r="H85" t="s">
        <v>77</v>
      </c>
      <c r="I85" t="s">
        <v>86</v>
      </c>
      <c r="J85" t="s">
        <v>87</v>
      </c>
      <c r="K85" t="s">
        <v>36</v>
      </c>
      <c r="L85">
        <v>2</v>
      </c>
      <c r="M85" s="10">
        <v>0.08</v>
      </c>
      <c r="N85" s="11">
        <v>322000</v>
      </c>
      <c r="O85" s="11">
        <v>420000</v>
      </c>
      <c r="P85" s="11">
        <v>-98000</v>
      </c>
      <c r="Q85" t="s">
        <v>84</v>
      </c>
      <c r="R85" t="b">
        <f>COUNTIF($A$6     : CleanedSalesData[[#This Row],[Order ID]], CleanedSalesData[[#This Row],[Order ID]])&gt;1</f>
        <v>0</v>
      </c>
      <c r="S85" t="b">
        <f>IF(ISBLANK(CleanedSalesData[[#This Row],[Quantity]]), TRUE, FALSE)</f>
        <v>0</v>
      </c>
      <c r="T85" t="b">
        <f>IF(ISBLANK(CleanedSalesData[[#This Row],[Order Date]]), TRUE, FALSE)</f>
        <v>0</v>
      </c>
      <c r="U85" t="b">
        <f>IF(ISBLANK(CleanedSalesData[[#This Row],[Revenue]]), TRUE, FALSE)</f>
        <v>0</v>
      </c>
      <c r="V85" t="b">
        <f>IF(OR(CleanedSalesData[[#This Row],[Order Status]]="Cancelled", CleanedSalesData[[#This Row],[Order Status]]="Returned"), TRUE, FALSE)</f>
        <v>1</v>
      </c>
      <c r="W85" t="str" cm="1">
        <f t="array" ref="W8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86" spans="1:23" x14ac:dyDescent="0.35">
      <c r="A86" t="s">
        <v>176</v>
      </c>
      <c r="B86" s="7">
        <v>46156</v>
      </c>
      <c r="C86" t="s">
        <v>946</v>
      </c>
      <c r="D86">
        <v>5</v>
      </c>
      <c r="E86" t="s">
        <v>111</v>
      </c>
      <c r="F86" t="s">
        <v>47</v>
      </c>
      <c r="G86" t="s">
        <v>48</v>
      </c>
      <c r="H86" t="s">
        <v>90</v>
      </c>
      <c r="I86" t="s">
        <v>34</v>
      </c>
      <c r="J86" t="s">
        <v>35</v>
      </c>
      <c r="K86" t="s">
        <v>36</v>
      </c>
      <c r="L86">
        <v>5</v>
      </c>
      <c r="M86" s="10">
        <v>0.1</v>
      </c>
      <c r="N86" s="11">
        <v>2137500</v>
      </c>
      <c r="O86" s="11">
        <v>1425000</v>
      </c>
      <c r="P86" s="11">
        <v>712500</v>
      </c>
      <c r="Q86" t="s">
        <v>93</v>
      </c>
      <c r="R86" t="b">
        <f>COUNTIF($A$6     : CleanedSalesData[[#This Row],[Order ID]], CleanedSalesData[[#This Row],[Order ID]])&gt;1</f>
        <v>0</v>
      </c>
      <c r="S86" t="b">
        <f>IF(ISBLANK(CleanedSalesData[[#This Row],[Quantity]]), TRUE, FALSE)</f>
        <v>0</v>
      </c>
      <c r="T86" t="b">
        <f>IF(ISBLANK(CleanedSalesData[[#This Row],[Order Date]]), TRUE, FALSE)</f>
        <v>0</v>
      </c>
      <c r="U86" t="b">
        <f>IF(ISBLANK(CleanedSalesData[[#This Row],[Revenue]]), TRUE, FALSE)</f>
        <v>0</v>
      </c>
      <c r="V86" t="b">
        <f>IF(OR(CleanedSalesData[[#This Row],[Order Status]]="Cancelled", CleanedSalesData[[#This Row],[Order Status]]="Returned"), TRUE, FALSE)</f>
        <v>0</v>
      </c>
      <c r="W86" t="str" cm="1">
        <f t="array" ref="W8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7" spans="1:23" x14ac:dyDescent="0.35">
      <c r="A87" t="s">
        <v>178</v>
      </c>
      <c r="B87" s="7">
        <v>46174</v>
      </c>
      <c r="C87" t="s">
        <v>945</v>
      </c>
      <c r="D87">
        <v>6</v>
      </c>
      <c r="E87" t="s">
        <v>111</v>
      </c>
      <c r="F87" t="s">
        <v>40</v>
      </c>
      <c r="G87" t="s">
        <v>81</v>
      </c>
      <c r="H87" t="s">
        <v>90</v>
      </c>
      <c r="I87" t="s">
        <v>42</v>
      </c>
      <c r="J87" t="s">
        <v>43</v>
      </c>
      <c r="K87" t="s">
        <v>44</v>
      </c>
      <c r="L87">
        <v>5</v>
      </c>
      <c r="M87" s="10">
        <v>0.05</v>
      </c>
      <c r="N87" s="11">
        <v>1306250</v>
      </c>
      <c r="O87" s="11">
        <v>775000</v>
      </c>
      <c r="P87" s="11">
        <v>531250</v>
      </c>
      <c r="Q87" t="s">
        <v>45</v>
      </c>
      <c r="R87" t="b">
        <f>COUNTIF($A$6     : CleanedSalesData[[#This Row],[Order ID]], CleanedSalesData[[#This Row],[Order ID]])&gt;1</f>
        <v>0</v>
      </c>
      <c r="S87" t="b">
        <f>IF(ISBLANK(CleanedSalesData[[#This Row],[Quantity]]), TRUE, FALSE)</f>
        <v>0</v>
      </c>
      <c r="T87" t="b">
        <f>IF(ISBLANK(CleanedSalesData[[#This Row],[Order Date]]), TRUE, FALSE)</f>
        <v>0</v>
      </c>
      <c r="U87" t="b">
        <f>IF(ISBLANK(CleanedSalesData[[#This Row],[Revenue]]), TRUE, FALSE)</f>
        <v>0</v>
      </c>
      <c r="V87" t="b">
        <f>IF(OR(CleanedSalesData[[#This Row],[Order Status]]="Cancelled", CleanedSalesData[[#This Row],[Order Status]]="Returned"), TRUE, FALSE)</f>
        <v>0</v>
      </c>
      <c r="W87" t="str" cm="1">
        <f t="array" ref="W8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88" spans="1:23" x14ac:dyDescent="0.35">
      <c r="A88" t="s">
        <v>180</v>
      </c>
      <c r="E88" t="s">
        <v>111</v>
      </c>
      <c r="F88" t="s">
        <v>70</v>
      </c>
      <c r="G88" t="s">
        <v>32</v>
      </c>
      <c r="H88" t="s">
        <v>33</v>
      </c>
      <c r="I88" t="s">
        <v>49</v>
      </c>
      <c r="J88" t="s">
        <v>50</v>
      </c>
      <c r="K88" t="s">
        <v>51</v>
      </c>
      <c r="L88">
        <v>7</v>
      </c>
      <c r="M88" s="10">
        <v>0.05</v>
      </c>
      <c r="N88" s="11">
        <v>1629250</v>
      </c>
      <c r="O88" s="11">
        <v>1015000</v>
      </c>
      <c r="P88" s="11">
        <v>614250</v>
      </c>
      <c r="Q88" t="s">
        <v>45</v>
      </c>
      <c r="R88" t="b">
        <f>COUNTIF($A$6     : CleanedSalesData[[#This Row],[Order ID]], CleanedSalesData[[#This Row],[Order ID]])&gt;1</f>
        <v>0</v>
      </c>
      <c r="S88" t="b">
        <f>IF(ISBLANK(CleanedSalesData[[#This Row],[Quantity]]), TRUE, FALSE)</f>
        <v>0</v>
      </c>
      <c r="T88" t="b">
        <f>IF(ISBLANK(CleanedSalesData[[#This Row],[Order Date]]), TRUE, FALSE)</f>
        <v>1</v>
      </c>
      <c r="U88" t="b">
        <f>IF(ISBLANK(CleanedSalesData[[#This Row],[Revenue]]), TRUE, FALSE)</f>
        <v>0</v>
      </c>
      <c r="V88" t="b">
        <f>IF(OR(CleanedSalesData[[#This Row],[Order Status]]="Cancelled", CleanedSalesData[[#This Row],[Order Status]]="Returned"), TRUE, FALSE)</f>
        <v>0</v>
      </c>
      <c r="W88" t="str" cm="1">
        <f t="array" ref="W8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Date</v>
      </c>
    </row>
    <row r="89" spans="1:23" x14ac:dyDescent="0.35">
      <c r="A89" t="s">
        <v>182</v>
      </c>
      <c r="B89" s="7">
        <v>46113</v>
      </c>
      <c r="C89" t="s">
        <v>949</v>
      </c>
      <c r="D89">
        <v>4</v>
      </c>
      <c r="E89" t="s">
        <v>95</v>
      </c>
      <c r="F89" t="s">
        <v>47</v>
      </c>
      <c r="G89" t="s">
        <v>81</v>
      </c>
      <c r="H89" t="s">
        <v>33</v>
      </c>
      <c r="I89" t="s">
        <v>55</v>
      </c>
      <c r="J89" t="s">
        <v>56</v>
      </c>
      <c r="K89" t="s">
        <v>36</v>
      </c>
      <c r="L89">
        <v>5</v>
      </c>
      <c r="M89" s="10">
        <v>0.05</v>
      </c>
      <c r="N89" s="11">
        <v>8787500</v>
      </c>
      <c r="O89" s="11">
        <v>6600000</v>
      </c>
      <c r="P89" s="11">
        <v>2187500</v>
      </c>
      <c r="Q89" t="s">
        <v>45</v>
      </c>
      <c r="R89" t="b">
        <f>COUNTIF($A$6     : CleanedSalesData[[#This Row],[Order ID]], CleanedSalesData[[#This Row],[Order ID]])&gt;1</f>
        <v>0</v>
      </c>
      <c r="S89" t="b">
        <f>IF(ISBLANK(CleanedSalesData[[#This Row],[Quantity]]), TRUE, FALSE)</f>
        <v>0</v>
      </c>
      <c r="T89" t="b">
        <f>IF(ISBLANK(CleanedSalesData[[#This Row],[Order Date]]), TRUE, FALSE)</f>
        <v>0</v>
      </c>
      <c r="U89" t="b">
        <f>IF(ISBLANK(CleanedSalesData[[#This Row],[Revenue]]), TRUE, FALSE)</f>
        <v>0</v>
      </c>
      <c r="V89" t="b">
        <f>IF(OR(CleanedSalesData[[#This Row],[Order Status]]="Cancelled", CleanedSalesData[[#This Row],[Order Status]]="Returned"), TRUE, FALSE)</f>
        <v>0</v>
      </c>
      <c r="W89" t="str" cm="1">
        <f t="array" ref="W8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90" spans="1:23" x14ac:dyDescent="0.35">
      <c r="A90" t="s">
        <v>183</v>
      </c>
      <c r="B90" s="7">
        <v>46044</v>
      </c>
      <c r="C90" t="s">
        <v>948</v>
      </c>
      <c r="D90">
        <v>1</v>
      </c>
      <c r="E90" t="s">
        <v>111</v>
      </c>
      <c r="F90" t="s">
        <v>47</v>
      </c>
      <c r="G90" t="s">
        <v>32</v>
      </c>
      <c r="H90" t="s">
        <v>33</v>
      </c>
      <c r="I90" t="s">
        <v>60</v>
      </c>
      <c r="J90" t="s">
        <v>61</v>
      </c>
      <c r="K90" t="s">
        <v>62</v>
      </c>
      <c r="L90">
        <v>4</v>
      </c>
      <c r="M90" s="10">
        <v>0.15</v>
      </c>
      <c r="N90" s="11">
        <v>221000</v>
      </c>
      <c r="O90" s="11">
        <v>124000</v>
      </c>
      <c r="P90" s="11">
        <v>97000</v>
      </c>
      <c r="Q90" t="s">
        <v>52</v>
      </c>
      <c r="R90" t="b">
        <f>COUNTIF($A$6     : CleanedSalesData[[#This Row],[Order ID]], CleanedSalesData[[#This Row],[Order ID]])&gt;1</f>
        <v>0</v>
      </c>
      <c r="S90" t="b">
        <f>IF(ISBLANK(CleanedSalesData[[#This Row],[Quantity]]), TRUE, FALSE)</f>
        <v>0</v>
      </c>
      <c r="T90" t="b">
        <f>IF(ISBLANK(CleanedSalesData[[#This Row],[Order Date]]), TRUE, FALSE)</f>
        <v>0</v>
      </c>
      <c r="U90" t="b">
        <f>IF(ISBLANK(CleanedSalesData[[#This Row],[Revenue]]), TRUE, FALSE)</f>
        <v>0</v>
      </c>
      <c r="V90" t="b">
        <f>IF(OR(CleanedSalesData[[#This Row],[Order Status]]="Cancelled", CleanedSalesData[[#This Row],[Order Status]]="Returned"), TRUE, FALSE)</f>
        <v>0</v>
      </c>
      <c r="W90" t="str" cm="1">
        <f t="array" ref="W9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91" spans="1:23" x14ac:dyDescent="0.35">
      <c r="A91" t="s">
        <v>184</v>
      </c>
      <c r="B91" s="7">
        <v>46137</v>
      </c>
      <c r="C91" t="s">
        <v>949</v>
      </c>
      <c r="D91">
        <v>4</v>
      </c>
      <c r="E91" t="s">
        <v>76</v>
      </c>
      <c r="F91" t="s">
        <v>59</v>
      </c>
      <c r="G91" t="s">
        <v>32</v>
      </c>
      <c r="H91" t="s">
        <v>33</v>
      </c>
      <c r="I91" t="s">
        <v>66</v>
      </c>
      <c r="J91" t="s">
        <v>67</v>
      </c>
      <c r="K91" t="s">
        <v>51</v>
      </c>
      <c r="L91">
        <v>1</v>
      </c>
      <c r="M91" s="10">
        <v>0</v>
      </c>
      <c r="N91" s="11">
        <v>310000</v>
      </c>
      <c r="O91" s="11">
        <v>190000</v>
      </c>
      <c r="P91" s="11">
        <v>120000</v>
      </c>
      <c r="Q91" t="s">
        <v>63</v>
      </c>
      <c r="R91" t="b">
        <f>COUNTIF($A$6     : CleanedSalesData[[#This Row],[Order ID]], CleanedSalesData[[#This Row],[Order ID]])&gt;1</f>
        <v>0</v>
      </c>
      <c r="S91" t="b">
        <f>IF(ISBLANK(CleanedSalesData[[#This Row],[Quantity]]), TRUE, FALSE)</f>
        <v>0</v>
      </c>
      <c r="T91" t="b">
        <f>IF(ISBLANK(CleanedSalesData[[#This Row],[Order Date]]), TRUE, FALSE)</f>
        <v>0</v>
      </c>
      <c r="U91" t="b">
        <f>IF(ISBLANK(CleanedSalesData[[#This Row],[Revenue]]), TRUE, FALSE)</f>
        <v>0</v>
      </c>
      <c r="V91" t="b">
        <f>IF(OR(CleanedSalesData[[#This Row],[Order Status]]="Cancelled", CleanedSalesData[[#This Row],[Order Status]]="Returned"), TRUE, FALSE)</f>
        <v>0</v>
      </c>
      <c r="W91" t="str" cm="1">
        <f t="array" ref="W9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92" spans="1:23" x14ac:dyDescent="0.35">
      <c r="A92" t="s">
        <v>185</v>
      </c>
      <c r="B92" s="7">
        <v>46144</v>
      </c>
      <c r="C92" t="s">
        <v>946</v>
      </c>
      <c r="D92">
        <v>5</v>
      </c>
      <c r="E92" t="s">
        <v>111</v>
      </c>
      <c r="F92" t="s">
        <v>70</v>
      </c>
      <c r="G92" t="s">
        <v>81</v>
      </c>
      <c r="H92" t="s">
        <v>77</v>
      </c>
      <c r="I92" t="s">
        <v>71</v>
      </c>
      <c r="J92" t="s">
        <v>72</v>
      </c>
      <c r="K92" t="s">
        <v>73</v>
      </c>
      <c r="L92">
        <v>6</v>
      </c>
      <c r="M92" s="10">
        <v>0.08</v>
      </c>
      <c r="N92" s="11">
        <v>345000</v>
      </c>
      <c r="O92" s="11">
        <v>420000</v>
      </c>
      <c r="P92" s="11">
        <v>-75000</v>
      </c>
      <c r="Q92" t="s">
        <v>57</v>
      </c>
      <c r="R92" t="b">
        <f>COUNTIF($A$6     : CleanedSalesData[[#This Row],[Order ID]], CleanedSalesData[[#This Row],[Order ID]])&gt;1</f>
        <v>0</v>
      </c>
      <c r="S92" t="b">
        <f>IF(ISBLANK(CleanedSalesData[[#This Row],[Quantity]]), TRUE, FALSE)</f>
        <v>0</v>
      </c>
      <c r="T92" t="b">
        <f>IF(ISBLANK(CleanedSalesData[[#This Row],[Order Date]]), TRUE, FALSE)</f>
        <v>0</v>
      </c>
      <c r="U92" t="b">
        <f>IF(ISBLANK(CleanedSalesData[[#This Row],[Revenue]]), TRUE, FALSE)</f>
        <v>0</v>
      </c>
      <c r="V92" t="b">
        <f>IF(OR(CleanedSalesData[[#This Row],[Order Status]]="Cancelled", CleanedSalesData[[#This Row],[Order Status]]="Returned"), TRUE, FALSE)</f>
        <v>1</v>
      </c>
      <c r="W92" t="str" cm="1">
        <f t="array" ref="W9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93" spans="1:23" x14ac:dyDescent="0.35">
      <c r="A93" t="s">
        <v>186</v>
      </c>
      <c r="B93" s="7">
        <v>46101</v>
      </c>
      <c r="C93" t="s">
        <v>947</v>
      </c>
      <c r="D93">
        <v>3</v>
      </c>
      <c r="E93" t="s">
        <v>69</v>
      </c>
      <c r="F93" t="s">
        <v>31</v>
      </c>
      <c r="G93" t="s">
        <v>81</v>
      </c>
      <c r="H93" t="s">
        <v>33</v>
      </c>
      <c r="I93" t="s">
        <v>78</v>
      </c>
      <c r="J93" t="s">
        <v>79</v>
      </c>
      <c r="K93" t="s">
        <v>62</v>
      </c>
      <c r="L93">
        <v>5</v>
      </c>
      <c r="M93" s="10">
        <v>0.03</v>
      </c>
      <c r="N93" s="11">
        <v>412250</v>
      </c>
      <c r="O93" s="11">
        <v>215000</v>
      </c>
      <c r="P93" s="11">
        <v>197250</v>
      </c>
      <c r="Q93" t="s">
        <v>84</v>
      </c>
      <c r="R93" t="b">
        <f>COUNTIF($A$6     : CleanedSalesData[[#This Row],[Order ID]], CleanedSalesData[[#This Row],[Order ID]])&gt;1</f>
        <v>0</v>
      </c>
      <c r="S93" t="b">
        <f>IF(ISBLANK(CleanedSalesData[[#This Row],[Quantity]]), TRUE, FALSE)</f>
        <v>0</v>
      </c>
      <c r="T93" t="b">
        <f>IF(ISBLANK(CleanedSalesData[[#This Row],[Order Date]]), TRUE, FALSE)</f>
        <v>0</v>
      </c>
      <c r="U93" t="b">
        <f>IF(ISBLANK(CleanedSalesData[[#This Row],[Revenue]]), TRUE, FALSE)</f>
        <v>0</v>
      </c>
      <c r="V93" t="b">
        <f>IF(OR(CleanedSalesData[[#This Row],[Order Status]]="Cancelled", CleanedSalesData[[#This Row],[Order Status]]="Returned"), TRUE, FALSE)</f>
        <v>0</v>
      </c>
      <c r="W93" t="str" cm="1">
        <f t="array" ref="W9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94" spans="1:23" x14ac:dyDescent="0.35">
      <c r="A94" t="s">
        <v>187</v>
      </c>
      <c r="B94" s="7">
        <v>46072</v>
      </c>
      <c r="C94" t="s">
        <v>944</v>
      </c>
      <c r="D94">
        <v>2</v>
      </c>
      <c r="E94" t="s">
        <v>69</v>
      </c>
      <c r="F94" t="s">
        <v>47</v>
      </c>
      <c r="G94" t="s">
        <v>81</v>
      </c>
      <c r="H94" t="s">
        <v>33</v>
      </c>
      <c r="I94" t="s">
        <v>82</v>
      </c>
      <c r="J94" t="s">
        <v>83</v>
      </c>
      <c r="K94" t="s">
        <v>44</v>
      </c>
      <c r="M94" s="10">
        <v>0.15</v>
      </c>
      <c r="N94" s="11">
        <v>4930000</v>
      </c>
      <c r="O94" s="11">
        <v>3920000</v>
      </c>
      <c r="P94" s="11">
        <v>1010000</v>
      </c>
      <c r="Q94" t="s">
        <v>45</v>
      </c>
      <c r="R94" t="b">
        <f>COUNTIF($A$6     : CleanedSalesData[[#This Row],[Order ID]], CleanedSalesData[[#This Row],[Order ID]])&gt;1</f>
        <v>0</v>
      </c>
      <c r="S94" t="b">
        <f>IF(ISBLANK(CleanedSalesData[[#This Row],[Quantity]]), TRUE, FALSE)</f>
        <v>1</v>
      </c>
      <c r="T94" t="b">
        <f>IF(ISBLANK(CleanedSalesData[[#This Row],[Order Date]]), TRUE, FALSE)</f>
        <v>0</v>
      </c>
      <c r="U94" t="b">
        <f>IF(ISBLANK(CleanedSalesData[[#This Row],[Revenue]]), TRUE, FALSE)</f>
        <v>0</v>
      </c>
      <c r="V94" t="b">
        <f>IF(OR(CleanedSalesData[[#This Row],[Order Status]]="Cancelled", CleanedSalesData[[#This Row],[Order Status]]="Returned"), TRUE, FALSE)</f>
        <v>0</v>
      </c>
      <c r="W94" t="str" cm="1">
        <f t="array" ref="W9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Quantity</v>
      </c>
    </row>
    <row r="95" spans="1:23" x14ac:dyDescent="0.35">
      <c r="A95" t="s">
        <v>188</v>
      </c>
      <c r="B95" s="7">
        <v>46098</v>
      </c>
      <c r="C95" t="s">
        <v>947</v>
      </c>
      <c r="D95">
        <v>3</v>
      </c>
      <c r="E95" t="s">
        <v>76</v>
      </c>
      <c r="F95" t="s">
        <v>40</v>
      </c>
      <c r="G95" t="s">
        <v>32</v>
      </c>
      <c r="H95" t="s">
        <v>33</v>
      </c>
      <c r="I95" t="s">
        <v>86</v>
      </c>
      <c r="J95" t="s">
        <v>87</v>
      </c>
      <c r="K95" t="s">
        <v>36</v>
      </c>
      <c r="L95">
        <v>4</v>
      </c>
      <c r="M95" s="10">
        <v>0.05</v>
      </c>
      <c r="N95" s="11">
        <v>1330000</v>
      </c>
      <c r="O95" s="11">
        <v>840000</v>
      </c>
      <c r="P95" s="11">
        <v>490000</v>
      </c>
      <c r="Q95" t="s">
        <v>74</v>
      </c>
      <c r="R95" t="b">
        <f>COUNTIF($A$6     : CleanedSalesData[[#This Row],[Order ID]], CleanedSalesData[[#This Row],[Order ID]])&gt;1</f>
        <v>0</v>
      </c>
      <c r="S95" t="b">
        <f>IF(ISBLANK(CleanedSalesData[[#This Row],[Quantity]]), TRUE, FALSE)</f>
        <v>0</v>
      </c>
      <c r="T95" t="b">
        <f>IF(ISBLANK(CleanedSalesData[[#This Row],[Order Date]]), TRUE, FALSE)</f>
        <v>0</v>
      </c>
      <c r="U95" t="b">
        <f>IF(ISBLANK(CleanedSalesData[[#This Row],[Revenue]]), TRUE, FALSE)</f>
        <v>0</v>
      </c>
      <c r="V95" t="b">
        <f>IF(OR(CleanedSalesData[[#This Row],[Order Status]]="Cancelled", CleanedSalesData[[#This Row],[Order Status]]="Returned"), TRUE, FALSE)</f>
        <v>0</v>
      </c>
      <c r="W95" t="str" cm="1">
        <f t="array" ref="W9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96" spans="1:23" x14ac:dyDescent="0.35">
      <c r="A96" t="s">
        <v>189</v>
      </c>
      <c r="B96" s="7">
        <v>46036</v>
      </c>
      <c r="C96" t="s">
        <v>948</v>
      </c>
      <c r="D96">
        <v>1</v>
      </c>
      <c r="E96" t="s">
        <v>95</v>
      </c>
      <c r="F96" t="s">
        <v>59</v>
      </c>
      <c r="G96" t="s">
        <v>41</v>
      </c>
      <c r="H96" t="s">
        <v>112</v>
      </c>
      <c r="I96" t="s">
        <v>34</v>
      </c>
      <c r="J96" t="s">
        <v>35</v>
      </c>
      <c r="K96" t="s">
        <v>36</v>
      </c>
      <c r="L96">
        <v>5</v>
      </c>
      <c r="M96" s="10">
        <v>0.15</v>
      </c>
      <c r="N96" s="11">
        <v>1009375</v>
      </c>
      <c r="O96" s="11">
        <v>1425000</v>
      </c>
      <c r="P96" s="11">
        <v>-415625</v>
      </c>
      <c r="Q96" t="s">
        <v>57</v>
      </c>
      <c r="R96" t="b">
        <f>COUNTIF($A$6     : CleanedSalesData[[#This Row],[Order ID]], CleanedSalesData[[#This Row],[Order ID]])&gt;1</f>
        <v>0</v>
      </c>
      <c r="S96" t="b">
        <f>IF(ISBLANK(CleanedSalesData[[#This Row],[Quantity]]), TRUE, FALSE)</f>
        <v>0</v>
      </c>
      <c r="T96" t="b">
        <f>IF(ISBLANK(CleanedSalesData[[#This Row],[Order Date]]), TRUE, FALSE)</f>
        <v>0</v>
      </c>
      <c r="U96" t="b">
        <f>IF(ISBLANK(CleanedSalesData[[#This Row],[Revenue]]), TRUE, FALSE)</f>
        <v>0</v>
      </c>
      <c r="V96" t="b">
        <f>IF(OR(CleanedSalesData[[#This Row],[Order Status]]="Cancelled", CleanedSalesData[[#This Row],[Order Status]]="Returned"), TRUE, FALSE)</f>
        <v>1</v>
      </c>
      <c r="W96" t="str" cm="1">
        <f t="array" ref="W9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97" spans="1:23" x14ac:dyDescent="0.35">
      <c r="A97" t="s">
        <v>190</v>
      </c>
      <c r="B97" s="7">
        <v>46143</v>
      </c>
      <c r="C97" t="s">
        <v>946</v>
      </c>
      <c r="D97">
        <v>5</v>
      </c>
      <c r="E97" t="s">
        <v>111</v>
      </c>
      <c r="F97" t="s">
        <v>40</v>
      </c>
      <c r="G97" t="s">
        <v>81</v>
      </c>
      <c r="H97" t="s">
        <v>33</v>
      </c>
      <c r="I97" t="s">
        <v>42</v>
      </c>
      <c r="J97" t="s">
        <v>43</v>
      </c>
      <c r="K97" t="s">
        <v>44</v>
      </c>
      <c r="L97">
        <v>8</v>
      </c>
      <c r="M97" s="10">
        <v>0.08</v>
      </c>
      <c r="N97" s="11">
        <v>2024000</v>
      </c>
      <c r="O97" s="11">
        <v>1240000</v>
      </c>
      <c r="P97" s="11">
        <v>784000</v>
      </c>
      <c r="Q97" t="s">
        <v>37</v>
      </c>
      <c r="R97" t="b">
        <f>COUNTIF($A$6     : CleanedSalesData[[#This Row],[Order ID]], CleanedSalesData[[#This Row],[Order ID]])&gt;1</f>
        <v>0</v>
      </c>
      <c r="S97" t="b">
        <f>IF(ISBLANK(CleanedSalesData[[#This Row],[Quantity]]), TRUE, FALSE)</f>
        <v>0</v>
      </c>
      <c r="T97" t="b">
        <f>IF(ISBLANK(CleanedSalesData[[#This Row],[Order Date]]), TRUE, FALSE)</f>
        <v>0</v>
      </c>
      <c r="U97" t="b">
        <f>IF(ISBLANK(CleanedSalesData[[#This Row],[Revenue]]), TRUE, FALSE)</f>
        <v>0</v>
      </c>
      <c r="V97" t="b">
        <f>IF(OR(CleanedSalesData[[#This Row],[Order Status]]="Cancelled", CleanedSalesData[[#This Row],[Order Status]]="Returned"), TRUE, FALSE)</f>
        <v>0</v>
      </c>
      <c r="W97" t="str" cm="1">
        <f t="array" ref="W9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98" spans="1:23" x14ac:dyDescent="0.35">
      <c r="A98" t="s">
        <v>191</v>
      </c>
      <c r="B98" s="7">
        <v>46039</v>
      </c>
      <c r="C98" t="s">
        <v>948</v>
      </c>
      <c r="D98">
        <v>1</v>
      </c>
      <c r="E98" t="s">
        <v>30</v>
      </c>
      <c r="F98" t="s">
        <v>40</v>
      </c>
      <c r="G98" t="s">
        <v>32</v>
      </c>
      <c r="H98" t="s">
        <v>33</v>
      </c>
      <c r="I98" t="s">
        <v>49</v>
      </c>
      <c r="J98" t="s">
        <v>50</v>
      </c>
      <c r="K98" t="s">
        <v>51</v>
      </c>
      <c r="L98">
        <v>7</v>
      </c>
      <c r="M98" s="10">
        <v>0.08</v>
      </c>
      <c r="N98" s="11">
        <v>1577800</v>
      </c>
      <c r="O98" s="11">
        <v>1015000</v>
      </c>
      <c r="P98" s="11">
        <v>562800</v>
      </c>
      <c r="Q98" t="s">
        <v>57</v>
      </c>
      <c r="R98" t="b">
        <f>COUNTIF($A$6     : CleanedSalesData[[#This Row],[Order ID]], CleanedSalesData[[#This Row],[Order ID]])&gt;1</f>
        <v>0</v>
      </c>
      <c r="S98" t="b">
        <f>IF(ISBLANK(CleanedSalesData[[#This Row],[Quantity]]), TRUE, FALSE)</f>
        <v>0</v>
      </c>
      <c r="T98" t="b">
        <f>IF(ISBLANK(CleanedSalesData[[#This Row],[Order Date]]), TRUE, FALSE)</f>
        <v>0</v>
      </c>
      <c r="U98" t="b">
        <f>IF(ISBLANK(CleanedSalesData[[#This Row],[Revenue]]), TRUE, FALSE)</f>
        <v>0</v>
      </c>
      <c r="V98" t="b">
        <f>IF(OR(CleanedSalesData[[#This Row],[Order Status]]="Cancelled", CleanedSalesData[[#This Row],[Order Status]]="Returned"), TRUE, FALSE)</f>
        <v>0</v>
      </c>
      <c r="W98" t="str" cm="1">
        <f t="array" ref="W9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99" spans="1:23" x14ac:dyDescent="0.35">
      <c r="A99" t="s">
        <v>192</v>
      </c>
      <c r="B99" s="7">
        <v>46044</v>
      </c>
      <c r="C99" t="s">
        <v>948</v>
      </c>
      <c r="D99">
        <v>1</v>
      </c>
      <c r="E99" t="s">
        <v>65</v>
      </c>
      <c r="F99" t="s">
        <v>59</v>
      </c>
      <c r="G99" t="s">
        <v>32</v>
      </c>
      <c r="H99" t="s">
        <v>33</v>
      </c>
      <c r="I99" t="s">
        <v>55</v>
      </c>
      <c r="J99" t="s">
        <v>56</v>
      </c>
      <c r="K99" t="s">
        <v>36</v>
      </c>
      <c r="L99">
        <v>4</v>
      </c>
      <c r="M99" s="10">
        <v>0</v>
      </c>
      <c r="N99" s="11">
        <v>7400000</v>
      </c>
      <c r="O99" s="11">
        <v>5280000</v>
      </c>
      <c r="P99" s="11">
        <v>2120000</v>
      </c>
      <c r="Q99" t="s">
        <v>52</v>
      </c>
      <c r="R99" t="b">
        <f>COUNTIF($A$6     : CleanedSalesData[[#This Row],[Order ID]], CleanedSalesData[[#This Row],[Order ID]])&gt;1</f>
        <v>0</v>
      </c>
      <c r="S99" t="b">
        <f>IF(ISBLANK(CleanedSalesData[[#This Row],[Quantity]]), TRUE, FALSE)</f>
        <v>0</v>
      </c>
      <c r="T99" t="b">
        <f>IF(ISBLANK(CleanedSalesData[[#This Row],[Order Date]]), TRUE, FALSE)</f>
        <v>0</v>
      </c>
      <c r="U99" t="b">
        <f>IF(ISBLANK(CleanedSalesData[[#This Row],[Revenue]]), TRUE, FALSE)</f>
        <v>0</v>
      </c>
      <c r="V99" t="b">
        <f>IF(OR(CleanedSalesData[[#This Row],[Order Status]]="Cancelled", CleanedSalesData[[#This Row],[Order Status]]="Returned"), TRUE, FALSE)</f>
        <v>0</v>
      </c>
      <c r="W99" t="str" cm="1">
        <f t="array" ref="W9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0" spans="1:23" x14ac:dyDescent="0.35">
      <c r="A100" t="s">
        <v>194</v>
      </c>
      <c r="B100" s="7">
        <v>46136</v>
      </c>
      <c r="C100" t="s">
        <v>949</v>
      </c>
      <c r="D100">
        <v>4</v>
      </c>
      <c r="E100" t="s">
        <v>69</v>
      </c>
      <c r="F100" t="s">
        <v>47</v>
      </c>
      <c r="G100" t="s">
        <v>41</v>
      </c>
      <c r="H100" t="s">
        <v>77</v>
      </c>
      <c r="I100" t="s">
        <v>60</v>
      </c>
      <c r="J100" t="s">
        <v>61</v>
      </c>
      <c r="K100" t="s">
        <v>62</v>
      </c>
      <c r="L100">
        <v>5</v>
      </c>
      <c r="M100" s="10">
        <v>0.1</v>
      </c>
      <c r="N100" s="11">
        <v>73125</v>
      </c>
      <c r="O100" s="11">
        <v>155000</v>
      </c>
      <c r="P100" s="11">
        <v>-81875</v>
      </c>
      <c r="Q100" t="s">
        <v>45</v>
      </c>
      <c r="R100" t="b">
        <f>COUNTIF($A$6     : CleanedSalesData[[#This Row],[Order ID]], CleanedSalesData[[#This Row],[Order ID]])&gt;1</f>
        <v>0</v>
      </c>
      <c r="S100" t="b">
        <f>IF(ISBLANK(CleanedSalesData[[#This Row],[Quantity]]), TRUE, FALSE)</f>
        <v>0</v>
      </c>
      <c r="T100" t="b">
        <f>IF(ISBLANK(CleanedSalesData[[#This Row],[Order Date]]), TRUE, FALSE)</f>
        <v>0</v>
      </c>
      <c r="U100" t="b">
        <f>IF(ISBLANK(CleanedSalesData[[#This Row],[Revenue]]), TRUE, FALSE)</f>
        <v>0</v>
      </c>
      <c r="V100" t="b">
        <f>IF(OR(CleanedSalesData[[#This Row],[Order Status]]="Cancelled", CleanedSalesData[[#This Row],[Order Status]]="Returned"), TRUE, FALSE)</f>
        <v>1</v>
      </c>
      <c r="W100" t="str" cm="1">
        <f t="array" ref="W10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01" spans="1:23" x14ac:dyDescent="0.35">
      <c r="A101" t="s">
        <v>195</v>
      </c>
      <c r="B101" s="7">
        <v>46183</v>
      </c>
      <c r="C101" t="s">
        <v>945</v>
      </c>
      <c r="D101">
        <v>6</v>
      </c>
      <c r="E101" t="s">
        <v>30</v>
      </c>
      <c r="F101" t="s">
        <v>31</v>
      </c>
      <c r="G101" t="s">
        <v>32</v>
      </c>
      <c r="H101" t="s">
        <v>33</v>
      </c>
      <c r="I101" t="s">
        <v>66</v>
      </c>
      <c r="J101" t="s">
        <v>67</v>
      </c>
      <c r="K101" t="s">
        <v>51</v>
      </c>
      <c r="L101">
        <v>4</v>
      </c>
      <c r="M101" s="10">
        <v>0.05</v>
      </c>
      <c r="N101" s="11">
        <v>1178000</v>
      </c>
      <c r="O101" s="11">
        <v>760000</v>
      </c>
      <c r="P101" s="11">
        <v>418000</v>
      </c>
      <c r="Q101" t="s">
        <v>37</v>
      </c>
      <c r="R101" t="b">
        <f>COUNTIF($A$6     : CleanedSalesData[[#This Row],[Order ID]], CleanedSalesData[[#This Row],[Order ID]])&gt;1</f>
        <v>0</v>
      </c>
      <c r="S101" t="b">
        <f>IF(ISBLANK(CleanedSalesData[[#This Row],[Quantity]]), TRUE, FALSE)</f>
        <v>0</v>
      </c>
      <c r="T101" t="b">
        <f>IF(ISBLANK(CleanedSalesData[[#This Row],[Order Date]]), TRUE, FALSE)</f>
        <v>0</v>
      </c>
      <c r="U101" t="b">
        <f>IF(ISBLANK(CleanedSalesData[[#This Row],[Revenue]]), TRUE, FALSE)</f>
        <v>0</v>
      </c>
      <c r="V101" t="b">
        <f>IF(OR(CleanedSalesData[[#This Row],[Order Status]]="Cancelled", CleanedSalesData[[#This Row],[Order Status]]="Returned"), TRUE, FALSE)</f>
        <v>0</v>
      </c>
      <c r="W101" t="str" cm="1">
        <f t="array" ref="W10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2" spans="1:23" x14ac:dyDescent="0.35">
      <c r="A102" t="s">
        <v>196</v>
      </c>
      <c r="B102" s="7">
        <v>46063</v>
      </c>
      <c r="C102" t="s">
        <v>944</v>
      </c>
      <c r="D102">
        <v>2</v>
      </c>
      <c r="E102" t="s">
        <v>76</v>
      </c>
      <c r="F102" t="s">
        <v>47</v>
      </c>
      <c r="G102" t="s">
        <v>48</v>
      </c>
      <c r="H102" t="s">
        <v>33</v>
      </c>
      <c r="I102" t="s">
        <v>71</v>
      </c>
      <c r="J102" t="s">
        <v>72</v>
      </c>
      <c r="K102" t="s">
        <v>73</v>
      </c>
      <c r="L102">
        <v>1</v>
      </c>
      <c r="M102" s="10">
        <v>0.08</v>
      </c>
      <c r="N102" s="11">
        <v>115000</v>
      </c>
      <c r="O102" s="11">
        <v>70000</v>
      </c>
      <c r="P102" s="11">
        <v>45000</v>
      </c>
      <c r="Q102" t="s">
        <v>74</v>
      </c>
      <c r="R102" t="b">
        <f>COUNTIF($A$6     : CleanedSalesData[[#This Row],[Order ID]], CleanedSalesData[[#This Row],[Order ID]])&gt;1</f>
        <v>0</v>
      </c>
      <c r="S102" t="b">
        <f>IF(ISBLANK(CleanedSalesData[[#This Row],[Quantity]]), TRUE, FALSE)</f>
        <v>0</v>
      </c>
      <c r="T102" t="b">
        <f>IF(ISBLANK(CleanedSalesData[[#This Row],[Order Date]]), TRUE, FALSE)</f>
        <v>0</v>
      </c>
      <c r="U102" t="b">
        <f>IF(ISBLANK(CleanedSalesData[[#This Row],[Revenue]]), TRUE, FALSE)</f>
        <v>0</v>
      </c>
      <c r="V102" t="b">
        <f>IF(OR(CleanedSalesData[[#This Row],[Order Status]]="Cancelled", CleanedSalesData[[#This Row],[Order Status]]="Returned"), TRUE, FALSE)</f>
        <v>0</v>
      </c>
      <c r="W102" t="str" cm="1">
        <f t="array" ref="W10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3" spans="1:23" x14ac:dyDescent="0.35">
      <c r="A103" t="s">
        <v>197</v>
      </c>
      <c r="B103" s="7">
        <v>46082</v>
      </c>
      <c r="C103" t="s">
        <v>947</v>
      </c>
      <c r="D103">
        <v>3</v>
      </c>
      <c r="E103" t="s">
        <v>39</v>
      </c>
      <c r="F103" t="s">
        <v>59</v>
      </c>
      <c r="G103" t="s">
        <v>41</v>
      </c>
      <c r="H103" t="s">
        <v>33</v>
      </c>
      <c r="I103" t="s">
        <v>78</v>
      </c>
      <c r="J103" t="s">
        <v>79</v>
      </c>
      <c r="K103" t="s">
        <v>62</v>
      </c>
      <c r="L103">
        <v>5</v>
      </c>
      <c r="M103" s="10">
        <v>0.15</v>
      </c>
      <c r="N103" s="11">
        <v>361250</v>
      </c>
      <c r="O103" s="11">
        <v>215000</v>
      </c>
      <c r="P103" s="11">
        <v>146250</v>
      </c>
      <c r="Q103" t="s">
        <v>57</v>
      </c>
      <c r="R103" t="b">
        <f>COUNTIF($A$6     : CleanedSalesData[[#This Row],[Order ID]], CleanedSalesData[[#This Row],[Order ID]])&gt;1</f>
        <v>0</v>
      </c>
      <c r="S103" t="b">
        <f>IF(ISBLANK(CleanedSalesData[[#This Row],[Quantity]]), TRUE, FALSE)</f>
        <v>0</v>
      </c>
      <c r="T103" t="b">
        <f>IF(ISBLANK(CleanedSalesData[[#This Row],[Order Date]]), TRUE, FALSE)</f>
        <v>0</v>
      </c>
      <c r="U103" t="b">
        <f>IF(ISBLANK(CleanedSalesData[[#This Row],[Revenue]]), TRUE, FALSE)</f>
        <v>0</v>
      </c>
      <c r="V103" t="b">
        <f>IF(OR(CleanedSalesData[[#This Row],[Order Status]]="Cancelled", CleanedSalesData[[#This Row],[Order Status]]="Returned"), TRUE, FALSE)</f>
        <v>0</v>
      </c>
      <c r="W103" t="str" cm="1">
        <f t="array" ref="W10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4" spans="1:23" x14ac:dyDescent="0.35">
      <c r="A104" t="s">
        <v>198</v>
      </c>
      <c r="B104" s="7">
        <v>46183</v>
      </c>
      <c r="C104" t="s">
        <v>945</v>
      </c>
      <c r="D104">
        <v>6</v>
      </c>
      <c r="E104" t="s">
        <v>76</v>
      </c>
      <c r="F104" t="s">
        <v>31</v>
      </c>
      <c r="G104" t="s">
        <v>32</v>
      </c>
      <c r="H104" t="s">
        <v>33</v>
      </c>
      <c r="I104" t="s">
        <v>82</v>
      </c>
      <c r="J104" t="s">
        <v>83</v>
      </c>
      <c r="K104" t="s">
        <v>44</v>
      </c>
      <c r="L104">
        <v>4</v>
      </c>
      <c r="M104" s="10">
        <v>0.08</v>
      </c>
      <c r="N104" s="11">
        <v>5336000</v>
      </c>
      <c r="O104" s="11">
        <v>3920000</v>
      </c>
      <c r="P104" s="11">
        <v>1416000</v>
      </c>
      <c r="Q104" t="s">
        <v>84</v>
      </c>
      <c r="R104" t="b">
        <f>COUNTIF($A$6     : CleanedSalesData[[#This Row],[Order ID]], CleanedSalesData[[#This Row],[Order ID]])&gt;1</f>
        <v>0</v>
      </c>
      <c r="S104" t="b">
        <f>IF(ISBLANK(CleanedSalesData[[#This Row],[Quantity]]), TRUE, FALSE)</f>
        <v>0</v>
      </c>
      <c r="T104" t="b">
        <f>IF(ISBLANK(CleanedSalesData[[#This Row],[Order Date]]), TRUE, FALSE)</f>
        <v>0</v>
      </c>
      <c r="U104" t="b">
        <f>IF(ISBLANK(CleanedSalesData[[#This Row],[Revenue]]), TRUE, FALSE)</f>
        <v>0</v>
      </c>
      <c r="V104" t="b">
        <f>IF(OR(CleanedSalesData[[#This Row],[Order Status]]="Cancelled", CleanedSalesData[[#This Row],[Order Status]]="Returned"), TRUE, FALSE)</f>
        <v>0</v>
      </c>
      <c r="W104" t="str" cm="1">
        <f t="array" ref="W10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5" spans="1:23" x14ac:dyDescent="0.35">
      <c r="A105" t="s">
        <v>199</v>
      </c>
      <c r="B105" s="7">
        <v>46041</v>
      </c>
      <c r="C105" t="s">
        <v>948</v>
      </c>
      <c r="D105">
        <v>1</v>
      </c>
      <c r="E105" t="s">
        <v>111</v>
      </c>
      <c r="F105" t="s">
        <v>47</v>
      </c>
      <c r="G105" t="s">
        <v>81</v>
      </c>
      <c r="H105" t="s">
        <v>90</v>
      </c>
      <c r="I105" t="s">
        <v>86</v>
      </c>
      <c r="J105" t="s">
        <v>87</v>
      </c>
      <c r="K105" t="s">
        <v>36</v>
      </c>
      <c r="L105">
        <v>1</v>
      </c>
      <c r="M105" s="10">
        <v>0.03</v>
      </c>
      <c r="N105" s="11">
        <v>339500</v>
      </c>
      <c r="O105" s="11">
        <v>210000</v>
      </c>
      <c r="P105" s="11">
        <v>129500</v>
      </c>
      <c r="Q105" t="s">
        <v>37</v>
      </c>
      <c r="R105" t="b">
        <f>COUNTIF($A$6     : CleanedSalesData[[#This Row],[Order ID]], CleanedSalesData[[#This Row],[Order ID]])&gt;1</f>
        <v>0</v>
      </c>
      <c r="S105" t="b">
        <f>IF(ISBLANK(CleanedSalesData[[#This Row],[Quantity]]), TRUE, FALSE)</f>
        <v>0</v>
      </c>
      <c r="T105" t="b">
        <f>IF(ISBLANK(CleanedSalesData[[#This Row],[Order Date]]), TRUE, FALSE)</f>
        <v>0</v>
      </c>
      <c r="U105" t="b">
        <f>IF(ISBLANK(CleanedSalesData[[#This Row],[Revenue]]), TRUE, FALSE)</f>
        <v>0</v>
      </c>
      <c r="V105" t="b">
        <f>IF(OR(CleanedSalesData[[#This Row],[Order Status]]="Cancelled", CleanedSalesData[[#This Row],[Order Status]]="Returned"), TRUE, FALSE)</f>
        <v>0</v>
      </c>
      <c r="W105" t="str" cm="1">
        <f t="array" ref="W10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6" spans="1:23" x14ac:dyDescent="0.35">
      <c r="A106" t="s">
        <v>200</v>
      </c>
      <c r="B106" s="7">
        <v>46142</v>
      </c>
      <c r="C106" t="s">
        <v>949</v>
      </c>
      <c r="D106">
        <v>4</v>
      </c>
      <c r="E106" t="s">
        <v>111</v>
      </c>
      <c r="F106" t="s">
        <v>70</v>
      </c>
      <c r="G106" t="s">
        <v>48</v>
      </c>
      <c r="H106" t="s">
        <v>33</v>
      </c>
      <c r="I106" t="s">
        <v>34</v>
      </c>
      <c r="J106" t="s">
        <v>35</v>
      </c>
      <c r="K106" t="s">
        <v>36</v>
      </c>
      <c r="L106">
        <v>5</v>
      </c>
      <c r="M106" s="10">
        <v>0.15</v>
      </c>
      <c r="N106" s="11">
        <v>2018750</v>
      </c>
      <c r="O106" s="11">
        <v>1425000</v>
      </c>
      <c r="P106" s="11">
        <v>593750</v>
      </c>
      <c r="Q106" t="s">
        <v>37</v>
      </c>
      <c r="R106" t="b">
        <f>COUNTIF($A$6     : CleanedSalesData[[#This Row],[Order ID]], CleanedSalesData[[#This Row],[Order ID]])&gt;1</f>
        <v>0</v>
      </c>
      <c r="S106" t="b">
        <f>IF(ISBLANK(CleanedSalesData[[#This Row],[Quantity]]), TRUE, FALSE)</f>
        <v>0</v>
      </c>
      <c r="T106" t="b">
        <f>IF(ISBLANK(CleanedSalesData[[#This Row],[Order Date]]), TRUE, FALSE)</f>
        <v>0</v>
      </c>
      <c r="U106" t="b">
        <f>IF(ISBLANK(CleanedSalesData[[#This Row],[Revenue]]), TRUE, FALSE)</f>
        <v>0</v>
      </c>
      <c r="V106" t="b">
        <f>IF(OR(CleanedSalesData[[#This Row],[Order Status]]="Cancelled", CleanedSalesData[[#This Row],[Order Status]]="Returned"), TRUE, FALSE)</f>
        <v>0</v>
      </c>
      <c r="W106" t="str" cm="1">
        <f t="array" ref="W10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7" spans="1:23" x14ac:dyDescent="0.35">
      <c r="A107" t="s">
        <v>201</v>
      </c>
      <c r="B107" s="7">
        <v>46176</v>
      </c>
      <c r="C107" t="s">
        <v>945</v>
      </c>
      <c r="D107">
        <v>6</v>
      </c>
      <c r="E107" t="s">
        <v>95</v>
      </c>
      <c r="F107" t="s">
        <v>47</v>
      </c>
      <c r="G107" t="s">
        <v>81</v>
      </c>
      <c r="H107" t="s">
        <v>33</v>
      </c>
      <c r="I107" t="s">
        <v>42</v>
      </c>
      <c r="J107" t="s">
        <v>43</v>
      </c>
      <c r="K107" t="s">
        <v>44</v>
      </c>
      <c r="L107">
        <v>1</v>
      </c>
      <c r="M107" s="10">
        <v>0.08</v>
      </c>
      <c r="N107" s="11">
        <v>253000</v>
      </c>
      <c r="O107" s="11">
        <v>155000</v>
      </c>
      <c r="P107" s="11">
        <v>98000</v>
      </c>
      <c r="Q107" t="s">
        <v>37</v>
      </c>
      <c r="R107" t="b">
        <f>COUNTIF($A$6     : CleanedSalesData[[#This Row],[Order ID]], CleanedSalesData[[#This Row],[Order ID]])&gt;1</f>
        <v>0</v>
      </c>
      <c r="S107" t="b">
        <f>IF(ISBLANK(CleanedSalesData[[#This Row],[Quantity]]), TRUE, FALSE)</f>
        <v>0</v>
      </c>
      <c r="T107" t="b">
        <f>IF(ISBLANK(CleanedSalesData[[#This Row],[Order Date]]), TRUE, FALSE)</f>
        <v>0</v>
      </c>
      <c r="U107" t="b">
        <f>IF(ISBLANK(CleanedSalesData[[#This Row],[Revenue]]), TRUE, FALSE)</f>
        <v>0</v>
      </c>
      <c r="V107" t="b">
        <f>IF(OR(CleanedSalesData[[#This Row],[Order Status]]="Cancelled", CleanedSalesData[[#This Row],[Order Status]]="Returned"), TRUE, FALSE)</f>
        <v>0</v>
      </c>
      <c r="W107" t="str" cm="1">
        <f t="array" ref="W10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8" spans="1:23" x14ac:dyDescent="0.35">
      <c r="A108" t="s">
        <v>202</v>
      </c>
      <c r="B108" s="7">
        <v>46081</v>
      </c>
      <c r="C108" t="s">
        <v>944</v>
      </c>
      <c r="D108">
        <v>2</v>
      </c>
      <c r="E108" t="s">
        <v>30</v>
      </c>
      <c r="F108" t="s">
        <v>47</v>
      </c>
      <c r="G108" t="s">
        <v>41</v>
      </c>
      <c r="H108" t="s">
        <v>90</v>
      </c>
      <c r="I108" t="s">
        <v>49</v>
      </c>
      <c r="J108" t="s">
        <v>50</v>
      </c>
      <c r="K108" t="s">
        <v>51</v>
      </c>
      <c r="L108">
        <v>1</v>
      </c>
      <c r="M108" s="10">
        <v>0.15</v>
      </c>
      <c r="N108" s="11">
        <v>208250</v>
      </c>
      <c r="O108" s="11">
        <v>145000</v>
      </c>
      <c r="P108" s="11">
        <v>63250</v>
      </c>
      <c r="Q108" t="s">
        <v>52</v>
      </c>
      <c r="R108" t="b">
        <f>COUNTIF($A$6     : CleanedSalesData[[#This Row],[Order ID]], CleanedSalesData[[#This Row],[Order ID]])&gt;1</f>
        <v>0</v>
      </c>
      <c r="S108" t="b">
        <f>IF(ISBLANK(CleanedSalesData[[#This Row],[Quantity]]), TRUE, FALSE)</f>
        <v>0</v>
      </c>
      <c r="T108" t="b">
        <f>IF(ISBLANK(CleanedSalesData[[#This Row],[Order Date]]), TRUE, FALSE)</f>
        <v>0</v>
      </c>
      <c r="U108" t="b">
        <f>IF(ISBLANK(CleanedSalesData[[#This Row],[Revenue]]), TRUE, FALSE)</f>
        <v>0</v>
      </c>
      <c r="V108" t="b">
        <f>IF(OR(CleanedSalesData[[#This Row],[Order Status]]="Cancelled", CleanedSalesData[[#This Row],[Order Status]]="Returned"), TRUE, FALSE)</f>
        <v>0</v>
      </c>
      <c r="W108" t="str" cm="1">
        <f t="array" ref="W10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09" spans="1:23" x14ac:dyDescent="0.35">
      <c r="A109" t="s">
        <v>203</v>
      </c>
      <c r="B109" s="7">
        <v>46155</v>
      </c>
      <c r="C109" t="s">
        <v>946</v>
      </c>
      <c r="D109">
        <v>5</v>
      </c>
      <c r="E109" t="s">
        <v>111</v>
      </c>
      <c r="F109" t="s">
        <v>47</v>
      </c>
      <c r="G109" t="s">
        <v>48</v>
      </c>
      <c r="H109" t="s">
        <v>33</v>
      </c>
      <c r="I109" t="s">
        <v>55</v>
      </c>
      <c r="J109" t="s">
        <v>56</v>
      </c>
      <c r="K109" t="s">
        <v>36</v>
      </c>
      <c r="L109">
        <v>8</v>
      </c>
      <c r="M109" s="10">
        <v>0.05</v>
      </c>
      <c r="N109" s="11">
        <v>14060000</v>
      </c>
      <c r="O109" s="11">
        <v>10560000</v>
      </c>
      <c r="P109" s="11">
        <v>3500000</v>
      </c>
      <c r="Q109" t="s">
        <v>37</v>
      </c>
      <c r="R109" t="b">
        <f>COUNTIF($A$6     : CleanedSalesData[[#This Row],[Order ID]], CleanedSalesData[[#This Row],[Order ID]])&gt;1</f>
        <v>0</v>
      </c>
      <c r="S109" t="b">
        <f>IF(ISBLANK(CleanedSalesData[[#This Row],[Quantity]]), TRUE, FALSE)</f>
        <v>0</v>
      </c>
      <c r="T109" t="b">
        <f>IF(ISBLANK(CleanedSalesData[[#This Row],[Order Date]]), TRUE, FALSE)</f>
        <v>0</v>
      </c>
      <c r="U109" t="b">
        <f>IF(ISBLANK(CleanedSalesData[[#This Row],[Revenue]]), TRUE, FALSE)</f>
        <v>0</v>
      </c>
      <c r="V109" t="b">
        <f>IF(OR(CleanedSalesData[[#This Row],[Order Status]]="Cancelled", CleanedSalesData[[#This Row],[Order Status]]="Returned"), TRUE, FALSE)</f>
        <v>0</v>
      </c>
      <c r="W109" t="str" cm="1">
        <f t="array" ref="W10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0" spans="1:23" x14ac:dyDescent="0.35">
      <c r="A110" t="s">
        <v>205</v>
      </c>
      <c r="B110" s="7">
        <v>46143</v>
      </c>
      <c r="C110" t="s">
        <v>946</v>
      </c>
      <c r="D110">
        <v>5</v>
      </c>
      <c r="E110" t="s">
        <v>54</v>
      </c>
      <c r="F110" t="s">
        <v>40</v>
      </c>
      <c r="G110" t="s">
        <v>32</v>
      </c>
      <c r="H110" t="s">
        <v>33</v>
      </c>
      <c r="I110" t="s">
        <v>60</v>
      </c>
      <c r="J110" t="s">
        <v>61</v>
      </c>
      <c r="K110" t="s">
        <v>62</v>
      </c>
      <c r="L110">
        <v>6</v>
      </c>
      <c r="M110" s="10">
        <v>0.08</v>
      </c>
      <c r="N110" s="11">
        <v>358800</v>
      </c>
      <c r="O110" s="11">
        <v>186000</v>
      </c>
      <c r="P110" s="11">
        <v>172800</v>
      </c>
      <c r="Q110" t="s">
        <v>93</v>
      </c>
      <c r="R110" t="b">
        <f>COUNTIF($A$6     : CleanedSalesData[[#This Row],[Order ID]], CleanedSalesData[[#This Row],[Order ID]])&gt;1</f>
        <v>0</v>
      </c>
      <c r="S110" t="b">
        <f>IF(ISBLANK(CleanedSalesData[[#This Row],[Quantity]]), TRUE, FALSE)</f>
        <v>0</v>
      </c>
      <c r="T110" t="b">
        <f>IF(ISBLANK(CleanedSalesData[[#This Row],[Order Date]]), TRUE, FALSE)</f>
        <v>0</v>
      </c>
      <c r="U110" t="b">
        <f>IF(ISBLANK(CleanedSalesData[[#This Row],[Revenue]]), TRUE, FALSE)</f>
        <v>0</v>
      </c>
      <c r="V110" t="b">
        <f>IF(OR(CleanedSalesData[[#This Row],[Order Status]]="Cancelled", CleanedSalesData[[#This Row],[Order Status]]="Returned"), TRUE, FALSE)</f>
        <v>0</v>
      </c>
      <c r="W110" t="str" cm="1">
        <f t="array" ref="W11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1" spans="1:23" x14ac:dyDescent="0.35">
      <c r="A111" t="s">
        <v>206</v>
      </c>
      <c r="B111" s="7">
        <v>46200</v>
      </c>
      <c r="C111" t="s">
        <v>945</v>
      </c>
      <c r="D111">
        <v>6</v>
      </c>
      <c r="E111" t="s">
        <v>111</v>
      </c>
      <c r="F111" t="s">
        <v>59</v>
      </c>
      <c r="G111" t="s">
        <v>41</v>
      </c>
      <c r="H111" t="s">
        <v>33</v>
      </c>
      <c r="I111" t="s">
        <v>66</v>
      </c>
      <c r="J111" t="s">
        <v>67</v>
      </c>
      <c r="K111" t="s">
        <v>51</v>
      </c>
      <c r="L111">
        <v>8</v>
      </c>
      <c r="M111" s="10">
        <v>0.05</v>
      </c>
      <c r="N111" s="11">
        <v>2356000</v>
      </c>
      <c r="O111" s="11">
        <v>1520000</v>
      </c>
      <c r="P111" s="11">
        <v>836000</v>
      </c>
      <c r="Q111" t="s">
        <v>37</v>
      </c>
      <c r="R111" t="b">
        <f>COUNTIF($A$6     : CleanedSalesData[[#This Row],[Order ID]], CleanedSalesData[[#This Row],[Order ID]])&gt;1</f>
        <v>0</v>
      </c>
      <c r="S111" t="b">
        <f>IF(ISBLANK(CleanedSalesData[[#This Row],[Quantity]]), TRUE, FALSE)</f>
        <v>0</v>
      </c>
      <c r="T111" t="b">
        <f>IF(ISBLANK(CleanedSalesData[[#This Row],[Order Date]]), TRUE, FALSE)</f>
        <v>0</v>
      </c>
      <c r="U111" t="b">
        <f>IF(ISBLANK(CleanedSalesData[[#This Row],[Revenue]]), TRUE, FALSE)</f>
        <v>0</v>
      </c>
      <c r="V111" t="b">
        <f>IF(OR(CleanedSalesData[[#This Row],[Order Status]]="Cancelled", CleanedSalesData[[#This Row],[Order Status]]="Returned"), TRUE, FALSE)</f>
        <v>0</v>
      </c>
      <c r="W111" t="str" cm="1">
        <f t="array" ref="W11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2" spans="1:23" x14ac:dyDescent="0.35">
      <c r="A112" t="s">
        <v>207</v>
      </c>
      <c r="B112" s="7">
        <v>46103</v>
      </c>
      <c r="C112" t="s">
        <v>947</v>
      </c>
      <c r="D112">
        <v>3</v>
      </c>
      <c r="E112" t="s">
        <v>111</v>
      </c>
      <c r="F112" t="s">
        <v>59</v>
      </c>
      <c r="G112" t="s">
        <v>41</v>
      </c>
      <c r="H112" t="s">
        <v>33</v>
      </c>
      <c r="I112" t="s">
        <v>71</v>
      </c>
      <c r="J112" t="s">
        <v>72</v>
      </c>
      <c r="K112" t="s">
        <v>73</v>
      </c>
      <c r="L112">
        <v>5</v>
      </c>
      <c r="M112" s="10">
        <v>0.05</v>
      </c>
      <c r="N112" s="11">
        <v>593750</v>
      </c>
      <c r="O112" s="11">
        <v>350000</v>
      </c>
      <c r="P112" s="11">
        <v>243750</v>
      </c>
      <c r="Q112" t="s">
        <v>93</v>
      </c>
      <c r="R112" t="b">
        <f>COUNTIF($A$6     : CleanedSalesData[[#This Row],[Order ID]], CleanedSalesData[[#This Row],[Order ID]])&gt;1</f>
        <v>0</v>
      </c>
      <c r="S112" t="b">
        <f>IF(ISBLANK(CleanedSalesData[[#This Row],[Quantity]]), TRUE, FALSE)</f>
        <v>0</v>
      </c>
      <c r="T112" t="b">
        <f>IF(ISBLANK(CleanedSalesData[[#This Row],[Order Date]]), TRUE, FALSE)</f>
        <v>0</v>
      </c>
      <c r="U112" t="b">
        <f>IF(ISBLANK(CleanedSalesData[[#This Row],[Revenue]]), TRUE, FALSE)</f>
        <v>0</v>
      </c>
      <c r="V112" t="b">
        <f>IF(OR(CleanedSalesData[[#This Row],[Order Status]]="Cancelled", CleanedSalesData[[#This Row],[Order Status]]="Returned"), TRUE, FALSE)</f>
        <v>0</v>
      </c>
      <c r="W112" t="str" cm="1">
        <f t="array" ref="W11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3" spans="1:23" x14ac:dyDescent="0.35">
      <c r="A113" t="s">
        <v>208</v>
      </c>
      <c r="B113" s="7">
        <v>46036</v>
      </c>
      <c r="C113" t="s">
        <v>948</v>
      </c>
      <c r="D113">
        <v>1</v>
      </c>
      <c r="E113" t="s">
        <v>95</v>
      </c>
      <c r="F113" t="s">
        <v>59</v>
      </c>
      <c r="G113" t="s">
        <v>48</v>
      </c>
      <c r="H113" t="s">
        <v>33</v>
      </c>
      <c r="I113" t="s">
        <v>78</v>
      </c>
      <c r="J113" t="s">
        <v>79</v>
      </c>
      <c r="K113" t="s">
        <v>62</v>
      </c>
      <c r="L113">
        <v>4</v>
      </c>
      <c r="M113" s="10">
        <v>0.1</v>
      </c>
      <c r="N113" s="11">
        <v>306000</v>
      </c>
      <c r="O113" s="11">
        <v>172000</v>
      </c>
      <c r="P113" s="11">
        <v>134000</v>
      </c>
      <c r="Q113" t="s">
        <v>45</v>
      </c>
      <c r="R113" t="b">
        <f>COUNTIF($A$6     : CleanedSalesData[[#This Row],[Order ID]], CleanedSalesData[[#This Row],[Order ID]])&gt;1</f>
        <v>0</v>
      </c>
      <c r="S113" t="b">
        <f>IF(ISBLANK(CleanedSalesData[[#This Row],[Quantity]]), TRUE, FALSE)</f>
        <v>0</v>
      </c>
      <c r="T113" t="b">
        <f>IF(ISBLANK(CleanedSalesData[[#This Row],[Order Date]]), TRUE, FALSE)</f>
        <v>0</v>
      </c>
      <c r="U113" t="b">
        <f>IF(ISBLANK(CleanedSalesData[[#This Row],[Revenue]]), TRUE, FALSE)</f>
        <v>0</v>
      </c>
      <c r="V113" t="b">
        <f>IF(OR(CleanedSalesData[[#This Row],[Order Status]]="Cancelled", CleanedSalesData[[#This Row],[Order Status]]="Returned"), TRUE, FALSE)</f>
        <v>0</v>
      </c>
      <c r="W113" t="str" cm="1">
        <f t="array" ref="W11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4" spans="1:23" x14ac:dyDescent="0.35">
      <c r="A114" t="s">
        <v>209</v>
      </c>
      <c r="B114" s="7">
        <v>46091</v>
      </c>
      <c r="C114" t="s">
        <v>947</v>
      </c>
      <c r="D114">
        <v>3</v>
      </c>
      <c r="E114" t="s">
        <v>95</v>
      </c>
      <c r="F114" t="s">
        <v>59</v>
      </c>
      <c r="G114" t="s">
        <v>41</v>
      </c>
      <c r="H114" t="s">
        <v>33</v>
      </c>
      <c r="I114" t="s">
        <v>82</v>
      </c>
      <c r="J114" t="s">
        <v>83</v>
      </c>
      <c r="K114" t="s">
        <v>44</v>
      </c>
      <c r="L114">
        <v>3</v>
      </c>
      <c r="M114" s="10">
        <v>0.05</v>
      </c>
      <c r="N114" s="11">
        <v>4132500</v>
      </c>
      <c r="O114" s="11">
        <v>2940000</v>
      </c>
      <c r="P114" s="11">
        <v>1192500</v>
      </c>
      <c r="Q114" t="s">
        <v>45</v>
      </c>
      <c r="R114" t="b">
        <f>COUNTIF($A$6     : CleanedSalesData[[#This Row],[Order ID]], CleanedSalesData[[#This Row],[Order ID]])&gt;1</f>
        <v>0</v>
      </c>
      <c r="S114" t="b">
        <f>IF(ISBLANK(CleanedSalesData[[#This Row],[Quantity]]), TRUE, FALSE)</f>
        <v>0</v>
      </c>
      <c r="T114" t="b">
        <f>IF(ISBLANK(CleanedSalesData[[#This Row],[Order Date]]), TRUE, FALSE)</f>
        <v>0</v>
      </c>
      <c r="U114" t="b">
        <f>IF(ISBLANK(CleanedSalesData[[#This Row],[Revenue]]), TRUE, FALSE)</f>
        <v>0</v>
      </c>
      <c r="V114" t="b">
        <f>IF(OR(CleanedSalesData[[#This Row],[Order Status]]="Cancelled", CleanedSalesData[[#This Row],[Order Status]]="Returned"), TRUE, FALSE)</f>
        <v>0</v>
      </c>
      <c r="W114" t="str" cm="1">
        <f t="array" ref="W11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5" spans="1:23" x14ac:dyDescent="0.35">
      <c r="A115" t="s">
        <v>210</v>
      </c>
      <c r="B115" s="7">
        <v>46063</v>
      </c>
      <c r="C115" t="s">
        <v>944</v>
      </c>
      <c r="D115">
        <v>2</v>
      </c>
      <c r="E115" t="s">
        <v>39</v>
      </c>
      <c r="F115" t="s">
        <v>59</v>
      </c>
      <c r="G115" t="s">
        <v>41</v>
      </c>
      <c r="H115" t="s">
        <v>33</v>
      </c>
      <c r="I115" t="s">
        <v>86</v>
      </c>
      <c r="J115" t="s">
        <v>87</v>
      </c>
      <c r="K115" t="s">
        <v>36</v>
      </c>
      <c r="L115">
        <v>5</v>
      </c>
      <c r="M115" s="10">
        <v>0.1</v>
      </c>
      <c r="N115" s="11">
        <v>1575000</v>
      </c>
      <c r="O115" s="11">
        <v>1050000</v>
      </c>
      <c r="P115" s="11">
        <v>525000</v>
      </c>
      <c r="Q115" t="s">
        <v>37</v>
      </c>
      <c r="R115" t="b">
        <f>COUNTIF($A$6     : CleanedSalesData[[#This Row],[Order ID]], CleanedSalesData[[#This Row],[Order ID]])&gt;1</f>
        <v>0</v>
      </c>
      <c r="S115" t="b">
        <f>IF(ISBLANK(CleanedSalesData[[#This Row],[Quantity]]), TRUE, FALSE)</f>
        <v>0</v>
      </c>
      <c r="T115" t="b">
        <f>IF(ISBLANK(CleanedSalesData[[#This Row],[Order Date]]), TRUE, FALSE)</f>
        <v>0</v>
      </c>
      <c r="U115" t="b">
        <f>IF(ISBLANK(CleanedSalesData[[#This Row],[Revenue]]), TRUE, FALSE)</f>
        <v>0</v>
      </c>
      <c r="V115" t="b">
        <f>IF(OR(CleanedSalesData[[#This Row],[Order Status]]="Cancelled", CleanedSalesData[[#This Row],[Order Status]]="Returned"), TRUE, FALSE)</f>
        <v>0</v>
      </c>
      <c r="W115" t="str" cm="1">
        <f t="array" ref="W11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6" spans="1:23" x14ac:dyDescent="0.35">
      <c r="A116" t="s">
        <v>211</v>
      </c>
      <c r="B116" s="7">
        <v>46141</v>
      </c>
      <c r="C116" t="s">
        <v>949</v>
      </c>
      <c r="D116">
        <v>4</v>
      </c>
      <c r="E116" t="s">
        <v>76</v>
      </c>
      <c r="F116" t="s">
        <v>59</v>
      </c>
      <c r="G116" t="s">
        <v>81</v>
      </c>
      <c r="H116" t="s">
        <v>90</v>
      </c>
      <c r="I116" t="s">
        <v>34</v>
      </c>
      <c r="J116" t="s">
        <v>35</v>
      </c>
      <c r="K116" t="s">
        <v>36</v>
      </c>
      <c r="L116">
        <v>2</v>
      </c>
      <c r="M116" s="10">
        <v>0.15</v>
      </c>
      <c r="N116" s="11">
        <v>807500</v>
      </c>
      <c r="O116" s="11">
        <v>570000</v>
      </c>
      <c r="P116" s="11">
        <v>237500</v>
      </c>
      <c r="Q116" t="s">
        <v>93</v>
      </c>
      <c r="R116" t="b">
        <f>COUNTIF($A$6     : CleanedSalesData[[#This Row],[Order ID]], CleanedSalesData[[#This Row],[Order ID]])&gt;1</f>
        <v>0</v>
      </c>
      <c r="S116" t="b">
        <f>IF(ISBLANK(CleanedSalesData[[#This Row],[Quantity]]), TRUE, FALSE)</f>
        <v>0</v>
      </c>
      <c r="T116" t="b">
        <f>IF(ISBLANK(CleanedSalesData[[#This Row],[Order Date]]), TRUE, FALSE)</f>
        <v>0</v>
      </c>
      <c r="U116" t="b">
        <f>IF(ISBLANK(CleanedSalesData[[#This Row],[Revenue]]), TRUE, FALSE)</f>
        <v>0</v>
      </c>
      <c r="V116" t="b">
        <f>IF(OR(CleanedSalesData[[#This Row],[Order Status]]="Cancelled", CleanedSalesData[[#This Row],[Order Status]]="Returned"), TRUE, FALSE)</f>
        <v>0</v>
      </c>
      <c r="W116" t="str" cm="1">
        <f t="array" ref="W11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7" spans="1:23" x14ac:dyDescent="0.35">
      <c r="A117" t="s">
        <v>212</v>
      </c>
      <c r="B117" s="7">
        <v>46146</v>
      </c>
      <c r="C117" t="s">
        <v>946</v>
      </c>
      <c r="D117">
        <v>5</v>
      </c>
      <c r="E117" t="s">
        <v>39</v>
      </c>
      <c r="F117" t="s">
        <v>31</v>
      </c>
      <c r="G117" t="s">
        <v>48</v>
      </c>
      <c r="H117" t="s">
        <v>33</v>
      </c>
      <c r="I117" t="s">
        <v>42</v>
      </c>
      <c r="J117" t="s">
        <v>43</v>
      </c>
      <c r="K117" t="s">
        <v>44</v>
      </c>
      <c r="L117">
        <v>8</v>
      </c>
      <c r="M117" s="10">
        <v>0.03</v>
      </c>
      <c r="N117" s="11">
        <v>2134000</v>
      </c>
      <c r="O117" s="11">
        <v>1240000</v>
      </c>
      <c r="P117" s="11">
        <v>894000</v>
      </c>
      <c r="Q117" t="s">
        <v>84</v>
      </c>
      <c r="R117" t="b">
        <f>COUNTIF($A$6     : CleanedSalesData[[#This Row],[Order ID]], CleanedSalesData[[#This Row],[Order ID]])&gt;1</f>
        <v>0</v>
      </c>
      <c r="S117" t="b">
        <f>IF(ISBLANK(CleanedSalesData[[#This Row],[Quantity]]), TRUE, FALSE)</f>
        <v>0</v>
      </c>
      <c r="T117" t="b">
        <f>IF(ISBLANK(CleanedSalesData[[#This Row],[Order Date]]), TRUE, FALSE)</f>
        <v>0</v>
      </c>
      <c r="U117" t="b">
        <f>IF(ISBLANK(CleanedSalesData[[#This Row],[Revenue]]), TRUE, FALSE)</f>
        <v>0</v>
      </c>
      <c r="V117" t="b">
        <f>IF(OR(CleanedSalesData[[#This Row],[Order Status]]="Cancelled", CleanedSalesData[[#This Row],[Order Status]]="Returned"), TRUE, FALSE)</f>
        <v>0</v>
      </c>
      <c r="W117" t="str" cm="1">
        <f t="array" ref="W11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8" spans="1:23" x14ac:dyDescent="0.35">
      <c r="A118" t="s">
        <v>213</v>
      </c>
      <c r="B118" s="7">
        <v>46040</v>
      </c>
      <c r="C118" t="s">
        <v>948</v>
      </c>
      <c r="D118">
        <v>1</v>
      </c>
      <c r="E118" t="s">
        <v>95</v>
      </c>
      <c r="F118" t="s">
        <v>47</v>
      </c>
      <c r="G118" t="s">
        <v>81</v>
      </c>
      <c r="H118" t="s">
        <v>33</v>
      </c>
      <c r="I118" t="s">
        <v>49</v>
      </c>
      <c r="J118" t="s">
        <v>50</v>
      </c>
      <c r="K118" t="s">
        <v>51</v>
      </c>
      <c r="L118">
        <v>5</v>
      </c>
      <c r="M118" s="10">
        <v>0.08</v>
      </c>
      <c r="N118" s="11">
        <v>1127000</v>
      </c>
      <c r="O118" s="11">
        <v>725000</v>
      </c>
      <c r="P118" s="11">
        <v>402000</v>
      </c>
      <c r="Q118" t="s">
        <v>57</v>
      </c>
      <c r="R118" t="b">
        <f>COUNTIF($A$6     : CleanedSalesData[[#This Row],[Order ID]], CleanedSalesData[[#This Row],[Order ID]])&gt;1</f>
        <v>0</v>
      </c>
      <c r="S118" t="b">
        <f>IF(ISBLANK(CleanedSalesData[[#This Row],[Quantity]]), TRUE, FALSE)</f>
        <v>0</v>
      </c>
      <c r="T118" t="b">
        <f>IF(ISBLANK(CleanedSalesData[[#This Row],[Order Date]]), TRUE, FALSE)</f>
        <v>0</v>
      </c>
      <c r="U118" t="b">
        <f>IF(ISBLANK(CleanedSalesData[[#This Row],[Revenue]]), TRUE, FALSE)</f>
        <v>0</v>
      </c>
      <c r="V118" t="b">
        <f>IF(OR(CleanedSalesData[[#This Row],[Order Status]]="Cancelled", CleanedSalesData[[#This Row],[Order Status]]="Returned"), TRUE, FALSE)</f>
        <v>0</v>
      </c>
      <c r="W118" t="str" cm="1">
        <f t="array" ref="W11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19" spans="1:23" x14ac:dyDescent="0.35">
      <c r="A119" t="s">
        <v>214</v>
      </c>
      <c r="B119" s="7">
        <v>46099</v>
      </c>
      <c r="C119" t="s">
        <v>947</v>
      </c>
      <c r="D119">
        <v>3</v>
      </c>
      <c r="E119" t="s">
        <v>54</v>
      </c>
      <c r="F119" t="s">
        <v>59</v>
      </c>
      <c r="G119" t="s">
        <v>81</v>
      </c>
      <c r="H119" t="s">
        <v>33</v>
      </c>
      <c r="I119" t="s">
        <v>55</v>
      </c>
      <c r="J119" t="s">
        <v>56</v>
      </c>
      <c r="K119" t="s">
        <v>36</v>
      </c>
      <c r="L119">
        <v>8</v>
      </c>
      <c r="M119" s="10">
        <v>0.03</v>
      </c>
      <c r="N119" s="11">
        <v>14356000</v>
      </c>
      <c r="O119" s="11">
        <v>10560000</v>
      </c>
      <c r="P119" s="11">
        <v>3796000</v>
      </c>
      <c r="Q119" t="s">
        <v>93</v>
      </c>
      <c r="R119" t="b">
        <f>COUNTIF($A$6     : CleanedSalesData[[#This Row],[Order ID]], CleanedSalesData[[#This Row],[Order ID]])&gt;1</f>
        <v>0</v>
      </c>
      <c r="S119" t="b">
        <f>IF(ISBLANK(CleanedSalesData[[#This Row],[Quantity]]), TRUE, FALSE)</f>
        <v>0</v>
      </c>
      <c r="T119" t="b">
        <f>IF(ISBLANK(CleanedSalesData[[#This Row],[Order Date]]), TRUE, FALSE)</f>
        <v>0</v>
      </c>
      <c r="U119" t="b">
        <f>IF(ISBLANK(CleanedSalesData[[#This Row],[Revenue]]), TRUE, FALSE)</f>
        <v>0</v>
      </c>
      <c r="V119" t="b">
        <f>IF(OR(CleanedSalesData[[#This Row],[Order Status]]="Cancelled", CleanedSalesData[[#This Row],[Order Status]]="Returned"), TRUE, FALSE)</f>
        <v>0</v>
      </c>
      <c r="W119" t="str" cm="1">
        <f t="array" ref="W11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0" spans="1:23" x14ac:dyDescent="0.35">
      <c r="A120" t="s">
        <v>215</v>
      </c>
      <c r="B120" s="7">
        <v>46139</v>
      </c>
      <c r="C120" t="s">
        <v>949</v>
      </c>
      <c r="D120">
        <v>4</v>
      </c>
      <c r="E120" t="s">
        <v>39</v>
      </c>
      <c r="F120" t="s">
        <v>47</v>
      </c>
      <c r="G120" t="s">
        <v>48</v>
      </c>
      <c r="H120" t="s">
        <v>77</v>
      </c>
      <c r="I120" t="s">
        <v>60</v>
      </c>
      <c r="J120" t="s">
        <v>61</v>
      </c>
      <c r="K120" t="s">
        <v>62</v>
      </c>
      <c r="L120">
        <v>6</v>
      </c>
      <c r="M120" s="10">
        <v>0.03</v>
      </c>
      <c r="N120" s="11">
        <v>0</v>
      </c>
      <c r="O120" s="11">
        <v>186000</v>
      </c>
      <c r="P120" s="11">
        <v>-186000</v>
      </c>
      <c r="Q120" t="s">
        <v>93</v>
      </c>
      <c r="R120" t="b">
        <f>COUNTIF($A$6     : CleanedSalesData[[#This Row],[Order ID]], CleanedSalesData[[#This Row],[Order ID]])&gt;1</f>
        <v>0</v>
      </c>
      <c r="S120" t="b">
        <f>IF(ISBLANK(CleanedSalesData[[#This Row],[Quantity]]), TRUE, FALSE)</f>
        <v>0</v>
      </c>
      <c r="T120" t="b">
        <f>IF(ISBLANK(CleanedSalesData[[#This Row],[Order Date]]), TRUE, FALSE)</f>
        <v>0</v>
      </c>
      <c r="U120" t="b">
        <f>IF(ISBLANK(CleanedSalesData[[#This Row],[Revenue]]), TRUE, FALSE)</f>
        <v>0</v>
      </c>
      <c r="V120" t="b">
        <f>IF(OR(CleanedSalesData[[#This Row],[Order Status]]="Cancelled", CleanedSalesData[[#This Row],[Order Status]]="Returned"), TRUE, FALSE)</f>
        <v>1</v>
      </c>
      <c r="W120" t="str" cm="1">
        <f t="array" ref="W12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21" spans="1:23" x14ac:dyDescent="0.35">
      <c r="A121" t="s">
        <v>216</v>
      </c>
      <c r="B121" s="7">
        <v>46034</v>
      </c>
      <c r="C121" t="s">
        <v>948</v>
      </c>
      <c r="D121">
        <v>1</v>
      </c>
      <c r="E121" t="s">
        <v>30</v>
      </c>
      <c r="F121" t="s">
        <v>59</v>
      </c>
      <c r="G121" t="s">
        <v>48</v>
      </c>
      <c r="H121" t="s">
        <v>33</v>
      </c>
      <c r="I121" t="s">
        <v>66</v>
      </c>
      <c r="J121" t="s">
        <v>67</v>
      </c>
      <c r="K121" t="s">
        <v>51</v>
      </c>
      <c r="L121">
        <v>6</v>
      </c>
      <c r="M121" s="10">
        <v>0.15</v>
      </c>
      <c r="N121" s="11">
        <v>1581000</v>
      </c>
      <c r="O121" s="11">
        <v>1140000</v>
      </c>
      <c r="P121" s="11">
        <v>441000</v>
      </c>
      <c r="Q121" t="s">
        <v>52</v>
      </c>
      <c r="R121" t="b">
        <f>COUNTIF($A$6     : CleanedSalesData[[#This Row],[Order ID]], CleanedSalesData[[#This Row],[Order ID]])&gt;1</f>
        <v>0</v>
      </c>
      <c r="S121" t="b">
        <f>IF(ISBLANK(CleanedSalesData[[#This Row],[Quantity]]), TRUE, FALSE)</f>
        <v>0</v>
      </c>
      <c r="T121" t="b">
        <f>IF(ISBLANK(CleanedSalesData[[#This Row],[Order Date]]), TRUE, FALSE)</f>
        <v>0</v>
      </c>
      <c r="U121" t="b">
        <f>IF(ISBLANK(CleanedSalesData[[#This Row],[Revenue]]), TRUE, FALSE)</f>
        <v>0</v>
      </c>
      <c r="V121" t="b">
        <f>IF(OR(CleanedSalesData[[#This Row],[Order Status]]="Cancelled", CleanedSalesData[[#This Row],[Order Status]]="Returned"), TRUE, FALSE)</f>
        <v>0</v>
      </c>
      <c r="W121" t="str" cm="1">
        <f t="array" ref="W12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2" spans="1:23" x14ac:dyDescent="0.35">
      <c r="A122" t="s">
        <v>217</v>
      </c>
      <c r="B122" s="7">
        <v>46032</v>
      </c>
      <c r="C122" t="s">
        <v>948</v>
      </c>
      <c r="D122">
        <v>1</v>
      </c>
      <c r="E122" t="s">
        <v>69</v>
      </c>
      <c r="F122" t="s">
        <v>40</v>
      </c>
      <c r="G122" t="s">
        <v>48</v>
      </c>
      <c r="H122" t="s">
        <v>77</v>
      </c>
      <c r="I122" t="s">
        <v>71</v>
      </c>
      <c r="J122" t="s">
        <v>72</v>
      </c>
      <c r="K122" t="s">
        <v>73</v>
      </c>
      <c r="L122">
        <v>3</v>
      </c>
      <c r="M122" s="10">
        <v>0.1</v>
      </c>
      <c r="N122" s="11">
        <v>84375</v>
      </c>
      <c r="O122" s="11">
        <v>210000</v>
      </c>
      <c r="P122" s="11">
        <v>-125625</v>
      </c>
      <c r="Q122" t="s">
        <v>52</v>
      </c>
      <c r="R122" t="b">
        <f>COUNTIF($A$6     : CleanedSalesData[[#This Row],[Order ID]], CleanedSalesData[[#This Row],[Order ID]])&gt;1</f>
        <v>0</v>
      </c>
      <c r="S122" t="b">
        <f>IF(ISBLANK(CleanedSalesData[[#This Row],[Quantity]]), TRUE, FALSE)</f>
        <v>0</v>
      </c>
      <c r="T122" t="b">
        <f>IF(ISBLANK(CleanedSalesData[[#This Row],[Order Date]]), TRUE, FALSE)</f>
        <v>0</v>
      </c>
      <c r="U122" t="b">
        <f>IF(ISBLANK(CleanedSalesData[[#This Row],[Revenue]]), TRUE, FALSE)</f>
        <v>0</v>
      </c>
      <c r="V122" t="b">
        <f>IF(OR(CleanedSalesData[[#This Row],[Order Status]]="Cancelled", CleanedSalesData[[#This Row],[Order Status]]="Returned"), TRUE, FALSE)</f>
        <v>1</v>
      </c>
      <c r="W122" t="str" cm="1">
        <f t="array" ref="W12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23" spans="1:23" x14ac:dyDescent="0.35">
      <c r="A123" t="s">
        <v>219</v>
      </c>
      <c r="B123" s="7">
        <v>46113</v>
      </c>
      <c r="C123" t="s">
        <v>949</v>
      </c>
      <c r="D123">
        <v>4</v>
      </c>
      <c r="E123" t="s">
        <v>111</v>
      </c>
      <c r="F123" t="s">
        <v>31</v>
      </c>
      <c r="G123" t="s">
        <v>41</v>
      </c>
      <c r="H123" t="s">
        <v>90</v>
      </c>
      <c r="I123" t="s">
        <v>78</v>
      </c>
      <c r="J123" t="s">
        <v>79</v>
      </c>
      <c r="K123" t="s">
        <v>62</v>
      </c>
      <c r="L123">
        <v>3</v>
      </c>
      <c r="M123" s="10">
        <v>0.08</v>
      </c>
      <c r="N123" s="11">
        <v>234600</v>
      </c>
      <c r="O123" s="11">
        <v>129000</v>
      </c>
      <c r="P123" s="11">
        <v>105600</v>
      </c>
      <c r="Q123" t="s">
        <v>57</v>
      </c>
      <c r="R123" t="b">
        <f>COUNTIF($A$6     : CleanedSalesData[[#This Row],[Order ID]], CleanedSalesData[[#This Row],[Order ID]])&gt;1</f>
        <v>0</v>
      </c>
      <c r="S123" t="b">
        <f>IF(ISBLANK(CleanedSalesData[[#This Row],[Quantity]]), TRUE, FALSE)</f>
        <v>0</v>
      </c>
      <c r="T123" t="b">
        <f>IF(ISBLANK(CleanedSalesData[[#This Row],[Order Date]]), TRUE, FALSE)</f>
        <v>0</v>
      </c>
      <c r="U123" t="b">
        <f>IF(ISBLANK(CleanedSalesData[[#This Row],[Revenue]]), TRUE, FALSE)</f>
        <v>0</v>
      </c>
      <c r="V123" t="b">
        <f>IF(OR(CleanedSalesData[[#This Row],[Order Status]]="Cancelled", CleanedSalesData[[#This Row],[Order Status]]="Returned"), TRUE, FALSE)</f>
        <v>0</v>
      </c>
      <c r="W123" t="str" cm="1">
        <f t="array" ref="W12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4" spans="1:23" x14ac:dyDescent="0.35">
      <c r="A124" t="s">
        <v>221</v>
      </c>
      <c r="B124" s="7">
        <v>46109</v>
      </c>
      <c r="C124" t="s">
        <v>947</v>
      </c>
      <c r="D124">
        <v>3</v>
      </c>
      <c r="E124" t="s">
        <v>54</v>
      </c>
      <c r="F124" t="s">
        <v>70</v>
      </c>
      <c r="G124" t="s">
        <v>48</v>
      </c>
      <c r="H124" t="s">
        <v>33</v>
      </c>
      <c r="I124" t="s">
        <v>82</v>
      </c>
      <c r="J124" t="s">
        <v>83</v>
      </c>
      <c r="K124" t="s">
        <v>44</v>
      </c>
      <c r="L124">
        <v>7</v>
      </c>
      <c r="M124" s="10">
        <v>0.15</v>
      </c>
      <c r="N124" s="11">
        <v>8627500</v>
      </c>
      <c r="O124" s="11">
        <v>6860000</v>
      </c>
      <c r="P124" s="11">
        <v>1767500</v>
      </c>
      <c r="Q124" t="s">
        <v>52</v>
      </c>
      <c r="R124" t="b">
        <f>COUNTIF($A$6     : CleanedSalesData[[#This Row],[Order ID]], CleanedSalesData[[#This Row],[Order ID]])&gt;1</f>
        <v>0</v>
      </c>
      <c r="S124" t="b">
        <f>IF(ISBLANK(CleanedSalesData[[#This Row],[Quantity]]), TRUE, FALSE)</f>
        <v>0</v>
      </c>
      <c r="T124" t="b">
        <f>IF(ISBLANK(CleanedSalesData[[#This Row],[Order Date]]), TRUE, FALSE)</f>
        <v>0</v>
      </c>
      <c r="U124" t="b">
        <f>IF(ISBLANK(CleanedSalesData[[#This Row],[Revenue]]), TRUE, FALSE)</f>
        <v>0</v>
      </c>
      <c r="V124" t="b">
        <f>IF(OR(CleanedSalesData[[#This Row],[Order Status]]="Cancelled", CleanedSalesData[[#This Row],[Order Status]]="Returned"), TRUE, FALSE)</f>
        <v>0</v>
      </c>
      <c r="W124" t="str" cm="1">
        <f t="array" ref="W12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5" spans="1:23" x14ac:dyDescent="0.35">
      <c r="A125" t="s">
        <v>223</v>
      </c>
      <c r="B125" s="7">
        <v>46161</v>
      </c>
      <c r="C125" t="s">
        <v>946</v>
      </c>
      <c r="D125">
        <v>5</v>
      </c>
      <c r="E125" t="s">
        <v>69</v>
      </c>
      <c r="F125" t="s">
        <v>70</v>
      </c>
      <c r="G125" t="s">
        <v>32</v>
      </c>
      <c r="H125" t="s">
        <v>33</v>
      </c>
      <c r="I125" t="s">
        <v>86</v>
      </c>
      <c r="J125" t="s">
        <v>87</v>
      </c>
      <c r="K125" t="s">
        <v>36</v>
      </c>
      <c r="L125">
        <v>1</v>
      </c>
      <c r="M125" s="10">
        <v>0.1</v>
      </c>
      <c r="N125" s="11">
        <v>315000</v>
      </c>
      <c r="O125" s="11">
        <v>210000</v>
      </c>
      <c r="P125" s="11">
        <v>105000</v>
      </c>
      <c r="Q125" t="s">
        <v>93</v>
      </c>
      <c r="R125" t="b">
        <f>COUNTIF($A$6     : CleanedSalesData[[#This Row],[Order ID]], CleanedSalesData[[#This Row],[Order ID]])&gt;1</f>
        <v>0</v>
      </c>
      <c r="S125" t="b">
        <f>IF(ISBLANK(CleanedSalesData[[#This Row],[Quantity]]), TRUE, FALSE)</f>
        <v>0</v>
      </c>
      <c r="T125" t="b">
        <f>IF(ISBLANK(CleanedSalesData[[#This Row],[Order Date]]), TRUE, FALSE)</f>
        <v>0</v>
      </c>
      <c r="U125" t="b">
        <f>IF(ISBLANK(CleanedSalesData[[#This Row],[Revenue]]), TRUE, FALSE)</f>
        <v>0</v>
      </c>
      <c r="V125" t="b">
        <f>IF(OR(CleanedSalesData[[#This Row],[Order Status]]="Cancelled", CleanedSalesData[[#This Row],[Order Status]]="Returned"), TRUE, FALSE)</f>
        <v>0</v>
      </c>
      <c r="W125" t="str" cm="1">
        <f t="array" ref="W12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6" spans="1:23" x14ac:dyDescent="0.35">
      <c r="A126" t="s">
        <v>224</v>
      </c>
      <c r="B126" s="7">
        <v>46048</v>
      </c>
      <c r="C126" t="s">
        <v>948</v>
      </c>
      <c r="D126">
        <v>1</v>
      </c>
      <c r="E126" t="s">
        <v>95</v>
      </c>
      <c r="F126" t="s">
        <v>70</v>
      </c>
      <c r="G126" t="s">
        <v>41</v>
      </c>
      <c r="H126" t="s">
        <v>33</v>
      </c>
      <c r="I126" t="s">
        <v>34</v>
      </c>
      <c r="J126" t="s">
        <v>35</v>
      </c>
      <c r="K126" t="s">
        <v>36</v>
      </c>
      <c r="L126">
        <v>2</v>
      </c>
      <c r="M126" s="10">
        <v>0.08</v>
      </c>
      <c r="N126" s="11">
        <v>874000</v>
      </c>
      <c r="O126" s="11">
        <v>570000</v>
      </c>
      <c r="P126" s="11">
        <v>304000</v>
      </c>
      <c r="Q126" t="s">
        <v>63</v>
      </c>
      <c r="R126" t="b">
        <f>COUNTIF($A$6     : CleanedSalesData[[#This Row],[Order ID]], CleanedSalesData[[#This Row],[Order ID]])&gt;1</f>
        <v>0</v>
      </c>
      <c r="S126" t="b">
        <f>IF(ISBLANK(CleanedSalesData[[#This Row],[Quantity]]), TRUE, FALSE)</f>
        <v>0</v>
      </c>
      <c r="T126" t="b">
        <f>IF(ISBLANK(CleanedSalesData[[#This Row],[Order Date]]), TRUE, FALSE)</f>
        <v>0</v>
      </c>
      <c r="U126" t="b">
        <f>IF(ISBLANK(CleanedSalesData[[#This Row],[Revenue]]), TRUE, FALSE)</f>
        <v>0</v>
      </c>
      <c r="V126" t="b">
        <f>IF(OR(CleanedSalesData[[#This Row],[Order Status]]="Cancelled", CleanedSalesData[[#This Row],[Order Status]]="Returned"), TRUE, FALSE)</f>
        <v>0</v>
      </c>
      <c r="W126" t="str" cm="1">
        <f t="array" ref="W12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7" spans="1:23" x14ac:dyDescent="0.35">
      <c r="A127" t="s">
        <v>225</v>
      </c>
      <c r="B127" s="7">
        <v>46037</v>
      </c>
      <c r="C127" t="s">
        <v>948</v>
      </c>
      <c r="D127">
        <v>1</v>
      </c>
      <c r="E127" t="s">
        <v>65</v>
      </c>
      <c r="F127" t="s">
        <v>31</v>
      </c>
      <c r="G127" t="s">
        <v>32</v>
      </c>
      <c r="H127" t="s">
        <v>33</v>
      </c>
      <c r="I127" t="s">
        <v>42</v>
      </c>
      <c r="J127" t="s">
        <v>43</v>
      </c>
      <c r="K127" t="s">
        <v>44</v>
      </c>
      <c r="L127">
        <v>5</v>
      </c>
      <c r="M127" s="10">
        <v>0.05</v>
      </c>
      <c r="N127" s="11">
        <v>1306250</v>
      </c>
      <c r="O127" s="11">
        <v>775000</v>
      </c>
      <c r="P127" s="11">
        <v>531250</v>
      </c>
      <c r="Q127" t="s">
        <v>84</v>
      </c>
      <c r="R127" t="b">
        <f>COUNTIF($A$6     : CleanedSalesData[[#This Row],[Order ID]], CleanedSalesData[[#This Row],[Order ID]])&gt;1</f>
        <v>0</v>
      </c>
      <c r="S127" t="b">
        <f>IF(ISBLANK(CleanedSalesData[[#This Row],[Quantity]]), TRUE, FALSE)</f>
        <v>0</v>
      </c>
      <c r="T127" t="b">
        <f>IF(ISBLANK(CleanedSalesData[[#This Row],[Order Date]]), TRUE, FALSE)</f>
        <v>0</v>
      </c>
      <c r="U127" t="b">
        <f>IF(ISBLANK(CleanedSalesData[[#This Row],[Revenue]]), TRUE, FALSE)</f>
        <v>0</v>
      </c>
      <c r="V127" t="b">
        <f>IF(OR(CleanedSalesData[[#This Row],[Order Status]]="Cancelled", CleanedSalesData[[#This Row],[Order Status]]="Returned"), TRUE, FALSE)</f>
        <v>0</v>
      </c>
      <c r="W127" t="str" cm="1">
        <f t="array" ref="W12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8" spans="1:23" x14ac:dyDescent="0.35">
      <c r="A128" t="s">
        <v>227</v>
      </c>
      <c r="B128" s="7">
        <v>46066</v>
      </c>
      <c r="C128" t="s">
        <v>944</v>
      </c>
      <c r="D128">
        <v>2</v>
      </c>
      <c r="E128" t="s">
        <v>111</v>
      </c>
      <c r="F128" t="s">
        <v>59</v>
      </c>
      <c r="G128" t="s">
        <v>32</v>
      </c>
      <c r="H128" t="s">
        <v>33</v>
      </c>
      <c r="I128" t="s">
        <v>49</v>
      </c>
      <c r="J128" t="s">
        <v>50</v>
      </c>
      <c r="K128" t="s">
        <v>51</v>
      </c>
      <c r="L128">
        <v>3</v>
      </c>
      <c r="M128" s="10">
        <v>0</v>
      </c>
      <c r="N128" s="11">
        <v>735000</v>
      </c>
      <c r="O128" s="11">
        <v>435000</v>
      </c>
      <c r="P128" s="11">
        <v>300000</v>
      </c>
      <c r="Q128" t="s">
        <v>84</v>
      </c>
      <c r="R128" t="b">
        <f>COUNTIF($A$6     : CleanedSalesData[[#This Row],[Order ID]], CleanedSalesData[[#This Row],[Order ID]])&gt;1</f>
        <v>0</v>
      </c>
      <c r="S128" t="b">
        <f>IF(ISBLANK(CleanedSalesData[[#This Row],[Quantity]]), TRUE, FALSE)</f>
        <v>0</v>
      </c>
      <c r="T128" t="b">
        <f>IF(ISBLANK(CleanedSalesData[[#This Row],[Order Date]]), TRUE, FALSE)</f>
        <v>0</v>
      </c>
      <c r="U128" t="b">
        <f>IF(ISBLANK(CleanedSalesData[[#This Row],[Revenue]]), TRUE, FALSE)</f>
        <v>0</v>
      </c>
      <c r="V128" t="b">
        <f>IF(OR(CleanedSalesData[[#This Row],[Order Status]]="Cancelled", CleanedSalesData[[#This Row],[Order Status]]="Returned"), TRUE, FALSE)</f>
        <v>0</v>
      </c>
      <c r="W128" t="str" cm="1">
        <f t="array" ref="W12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29" spans="1:23" x14ac:dyDescent="0.35">
      <c r="A129" t="s">
        <v>229</v>
      </c>
      <c r="B129" s="7">
        <v>46082</v>
      </c>
      <c r="C129" t="s">
        <v>947</v>
      </c>
      <c r="D129">
        <v>3</v>
      </c>
      <c r="E129" t="s">
        <v>111</v>
      </c>
      <c r="F129" t="s">
        <v>70</v>
      </c>
      <c r="G129" t="s">
        <v>41</v>
      </c>
      <c r="H129" t="s">
        <v>33</v>
      </c>
      <c r="I129" t="s">
        <v>55</v>
      </c>
      <c r="J129" t="s">
        <v>56</v>
      </c>
      <c r="K129" t="s">
        <v>36</v>
      </c>
      <c r="L129">
        <v>8</v>
      </c>
      <c r="M129" s="10">
        <v>0.15</v>
      </c>
      <c r="N129" s="11">
        <v>12580000</v>
      </c>
      <c r="O129" s="11">
        <v>10560000</v>
      </c>
      <c r="P129" s="11">
        <v>2020000</v>
      </c>
      <c r="Q129" t="s">
        <v>57</v>
      </c>
      <c r="R129" t="b">
        <f>COUNTIF($A$6     : CleanedSalesData[[#This Row],[Order ID]], CleanedSalesData[[#This Row],[Order ID]])&gt;1</f>
        <v>0</v>
      </c>
      <c r="S129" t="b">
        <f>IF(ISBLANK(CleanedSalesData[[#This Row],[Quantity]]), TRUE, FALSE)</f>
        <v>0</v>
      </c>
      <c r="T129" t="b">
        <f>IF(ISBLANK(CleanedSalesData[[#This Row],[Order Date]]), TRUE, FALSE)</f>
        <v>0</v>
      </c>
      <c r="U129" t="b">
        <f>IF(ISBLANK(CleanedSalesData[[#This Row],[Revenue]]), TRUE, FALSE)</f>
        <v>0</v>
      </c>
      <c r="V129" t="b">
        <f>IF(OR(CleanedSalesData[[#This Row],[Order Status]]="Cancelled", CleanedSalesData[[#This Row],[Order Status]]="Returned"), TRUE, FALSE)</f>
        <v>0</v>
      </c>
      <c r="W129" t="str" cm="1">
        <f t="array" ref="W12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0" spans="1:23" x14ac:dyDescent="0.35">
      <c r="A130" t="s">
        <v>230</v>
      </c>
      <c r="B130" s="7">
        <v>46196</v>
      </c>
      <c r="C130" t="s">
        <v>945</v>
      </c>
      <c r="D130">
        <v>6</v>
      </c>
      <c r="E130" t="s">
        <v>65</v>
      </c>
      <c r="F130" t="s">
        <v>70</v>
      </c>
      <c r="G130" t="s">
        <v>81</v>
      </c>
      <c r="H130" t="s">
        <v>33</v>
      </c>
      <c r="I130" t="s">
        <v>60</v>
      </c>
      <c r="J130" t="s">
        <v>61</v>
      </c>
      <c r="K130" t="s">
        <v>62</v>
      </c>
      <c r="L130">
        <v>3</v>
      </c>
      <c r="M130" s="10">
        <v>0</v>
      </c>
      <c r="N130" s="11">
        <v>195000</v>
      </c>
      <c r="O130" s="11">
        <v>93000</v>
      </c>
      <c r="P130" s="11">
        <v>102000</v>
      </c>
      <c r="Q130" t="s">
        <v>57</v>
      </c>
      <c r="R130" t="b">
        <f>COUNTIF($A$6     : CleanedSalesData[[#This Row],[Order ID]], CleanedSalesData[[#This Row],[Order ID]])&gt;1</f>
        <v>0</v>
      </c>
      <c r="S130" t="b">
        <f>IF(ISBLANK(CleanedSalesData[[#This Row],[Quantity]]), TRUE, FALSE)</f>
        <v>0</v>
      </c>
      <c r="T130" t="b">
        <f>IF(ISBLANK(CleanedSalesData[[#This Row],[Order Date]]), TRUE, FALSE)</f>
        <v>0</v>
      </c>
      <c r="U130" t="b">
        <f>IF(ISBLANK(CleanedSalesData[[#This Row],[Revenue]]), TRUE, FALSE)</f>
        <v>0</v>
      </c>
      <c r="V130" t="b">
        <f>IF(OR(CleanedSalesData[[#This Row],[Order Status]]="Cancelled", CleanedSalesData[[#This Row],[Order Status]]="Returned"), TRUE, FALSE)</f>
        <v>0</v>
      </c>
      <c r="W130" t="str" cm="1">
        <f t="array" ref="W13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1" spans="1:23" x14ac:dyDescent="0.35">
      <c r="A131" t="s">
        <v>231</v>
      </c>
      <c r="B131" s="7">
        <v>46139</v>
      </c>
      <c r="C131" t="s">
        <v>949</v>
      </c>
      <c r="D131">
        <v>4</v>
      </c>
      <c r="E131" t="s">
        <v>65</v>
      </c>
      <c r="F131" t="s">
        <v>40</v>
      </c>
      <c r="G131" t="s">
        <v>32</v>
      </c>
      <c r="H131" t="s">
        <v>77</v>
      </c>
      <c r="I131" t="s">
        <v>66</v>
      </c>
      <c r="J131" t="s">
        <v>67</v>
      </c>
      <c r="K131" t="s">
        <v>51</v>
      </c>
      <c r="L131">
        <v>5</v>
      </c>
      <c r="M131" s="10">
        <v>0.03</v>
      </c>
      <c r="N131" s="11">
        <v>375875</v>
      </c>
      <c r="O131" s="11">
        <v>950000</v>
      </c>
      <c r="P131" s="11">
        <v>-574125</v>
      </c>
      <c r="Q131" t="s">
        <v>63</v>
      </c>
      <c r="R131" t="b">
        <f>COUNTIF($A$6     : CleanedSalesData[[#This Row],[Order ID]], CleanedSalesData[[#This Row],[Order ID]])&gt;1</f>
        <v>0</v>
      </c>
      <c r="S131" t="b">
        <f>IF(ISBLANK(CleanedSalesData[[#This Row],[Quantity]]), TRUE, FALSE)</f>
        <v>0</v>
      </c>
      <c r="T131" t="b">
        <f>IF(ISBLANK(CleanedSalesData[[#This Row],[Order Date]]), TRUE, FALSE)</f>
        <v>0</v>
      </c>
      <c r="U131" t="b">
        <f>IF(ISBLANK(CleanedSalesData[[#This Row],[Revenue]]), TRUE, FALSE)</f>
        <v>0</v>
      </c>
      <c r="V131" t="b">
        <f>IF(OR(CleanedSalesData[[#This Row],[Order Status]]="Cancelled", CleanedSalesData[[#This Row],[Order Status]]="Returned"), TRUE, FALSE)</f>
        <v>1</v>
      </c>
      <c r="W131" t="str" cm="1">
        <f t="array" ref="W13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32" spans="1:23" x14ac:dyDescent="0.35">
      <c r="A132" t="s">
        <v>232</v>
      </c>
      <c r="B132" s="7">
        <v>46170</v>
      </c>
      <c r="C132" t="s">
        <v>946</v>
      </c>
      <c r="D132">
        <v>5</v>
      </c>
      <c r="E132" t="s">
        <v>95</v>
      </c>
      <c r="F132" t="s">
        <v>59</v>
      </c>
      <c r="G132" t="s">
        <v>81</v>
      </c>
      <c r="H132" t="s">
        <v>33</v>
      </c>
      <c r="I132" t="s">
        <v>71</v>
      </c>
      <c r="J132" t="s">
        <v>72</v>
      </c>
      <c r="K132" t="s">
        <v>73</v>
      </c>
      <c r="L132">
        <v>5</v>
      </c>
      <c r="M132" s="10">
        <v>0.15</v>
      </c>
      <c r="N132" s="11">
        <v>531250</v>
      </c>
      <c r="O132" s="11">
        <v>350000</v>
      </c>
      <c r="P132" s="11">
        <v>181250</v>
      </c>
      <c r="Q132" t="s">
        <v>74</v>
      </c>
      <c r="R132" t="b">
        <f>COUNTIF($A$6     : CleanedSalesData[[#This Row],[Order ID]], CleanedSalesData[[#This Row],[Order ID]])&gt;1</f>
        <v>0</v>
      </c>
      <c r="S132" t="b">
        <f>IF(ISBLANK(CleanedSalesData[[#This Row],[Quantity]]), TRUE, FALSE)</f>
        <v>0</v>
      </c>
      <c r="T132" t="b">
        <f>IF(ISBLANK(CleanedSalesData[[#This Row],[Order Date]]), TRUE, FALSE)</f>
        <v>0</v>
      </c>
      <c r="U132" t="b">
        <f>IF(ISBLANK(CleanedSalesData[[#This Row],[Revenue]]), TRUE, FALSE)</f>
        <v>0</v>
      </c>
      <c r="V132" t="b">
        <f>IF(OR(CleanedSalesData[[#This Row],[Order Status]]="Cancelled", CleanedSalesData[[#This Row],[Order Status]]="Returned"), TRUE, FALSE)</f>
        <v>0</v>
      </c>
      <c r="W132" t="str" cm="1">
        <f t="array" ref="W13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3" spans="1:23" x14ac:dyDescent="0.35">
      <c r="A133" t="s">
        <v>233</v>
      </c>
      <c r="B133" s="7">
        <v>46178</v>
      </c>
      <c r="C133" t="s">
        <v>945</v>
      </c>
      <c r="D133">
        <v>6</v>
      </c>
      <c r="E133" t="s">
        <v>39</v>
      </c>
      <c r="F133" t="s">
        <v>31</v>
      </c>
      <c r="G133" t="s">
        <v>81</v>
      </c>
      <c r="H133" t="s">
        <v>33</v>
      </c>
      <c r="I133" t="s">
        <v>78</v>
      </c>
      <c r="J133" t="s">
        <v>79</v>
      </c>
      <c r="K133" t="s">
        <v>62</v>
      </c>
      <c r="L133">
        <v>8</v>
      </c>
      <c r="M133" s="10">
        <v>0.05</v>
      </c>
      <c r="N133" s="11">
        <v>646000</v>
      </c>
      <c r="O133" s="11">
        <v>344000</v>
      </c>
      <c r="P133" s="11">
        <v>302000</v>
      </c>
      <c r="Q133" t="s">
        <v>45</v>
      </c>
      <c r="R133" t="b">
        <f>COUNTIF($A$6     : CleanedSalesData[[#This Row],[Order ID]], CleanedSalesData[[#This Row],[Order ID]])&gt;1</f>
        <v>0</v>
      </c>
      <c r="S133" t="b">
        <f>IF(ISBLANK(CleanedSalesData[[#This Row],[Quantity]]), TRUE, FALSE)</f>
        <v>0</v>
      </c>
      <c r="T133" t="b">
        <f>IF(ISBLANK(CleanedSalesData[[#This Row],[Order Date]]), TRUE, FALSE)</f>
        <v>0</v>
      </c>
      <c r="U133" t="b">
        <f>IF(ISBLANK(CleanedSalesData[[#This Row],[Revenue]]), TRUE, FALSE)</f>
        <v>0</v>
      </c>
      <c r="V133" t="b">
        <f>IF(OR(CleanedSalesData[[#This Row],[Order Status]]="Cancelled", CleanedSalesData[[#This Row],[Order Status]]="Returned"), TRUE, FALSE)</f>
        <v>0</v>
      </c>
      <c r="W133" t="str" cm="1">
        <f t="array" ref="W13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4" spans="1:23" x14ac:dyDescent="0.35">
      <c r="A134" t="s">
        <v>234</v>
      </c>
      <c r="B134" s="7">
        <v>46181</v>
      </c>
      <c r="C134" t="s">
        <v>945</v>
      </c>
      <c r="D134">
        <v>6</v>
      </c>
      <c r="E134" t="s">
        <v>95</v>
      </c>
      <c r="F134" t="s">
        <v>31</v>
      </c>
      <c r="G134" t="s">
        <v>41</v>
      </c>
      <c r="H134" t="s">
        <v>33</v>
      </c>
      <c r="I134" t="s">
        <v>82</v>
      </c>
      <c r="J134" t="s">
        <v>83</v>
      </c>
      <c r="K134" t="s">
        <v>44</v>
      </c>
      <c r="L134">
        <v>5</v>
      </c>
      <c r="M134" s="10">
        <v>0.15</v>
      </c>
      <c r="N134" s="11">
        <v>6162500</v>
      </c>
      <c r="O134" s="11">
        <v>4900000</v>
      </c>
      <c r="P134" s="11">
        <v>1262500</v>
      </c>
      <c r="Q134" t="s">
        <v>57</v>
      </c>
      <c r="R134" t="b">
        <f>COUNTIF($A$6     : CleanedSalesData[[#This Row],[Order ID]], CleanedSalesData[[#This Row],[Order ID]])&gt;1</f>
        <v>0</v>
      </c>
      <c r="S134" t="b">
        <f>IF(ISBLANK(CleanedSalesData[[#This Row],[Quantity]]), TRUE, FALSE)</f>
        <v>0</v>
      </c>
      <c r="T134" t="b">
        <f>IF(ISBLANK(CleanedSalesData[[#This Row],[Order Date]]), TRUE, FALSE)</f>
        <v>0</v>
      </c>
      <c r="U134" t="b">
        <f>IF(ISBLANK(CleanedSalesData[[#This Row],[Revenue]]), TRUE, FALSE)</f>
        <v>0</v>
      </c>
      <c r="V134" t="b">
        <f>IF(OR(CleanedSalesData[[#This Row],[Order Status]]="Cancelled", CleanedSalesData[[#This Row],[Order Status]]="Returned"), TRUE, FALSE)</f>
        <v>0</v>
      </c>
      <c r="W134" t="str" cm="1">
        <f t="array" ref="W13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5" spans="1:23" x14ac:dyDescent="0.35">
      <c r="A135" t="s">
        <v>236</v>
      </c>
      <c r="B135" s="7">
        <v>46135</v>
      </c>
      <c r="C135" t="s">
        <v>949</v>
      </c>
      <c r="D135">
        <v>4</v>
      </c>
      <c r="E135" t="s">
        <v>76</v>
      </c>
      <c r="F135" t="s">
        <v>31</v>
      </c>
      <c r="G135" t="s">
        <v>41</v>
      </c>
      <c r="H135" t="s">
        <v>33</v>
      </c>
      <c r="I135" t="s">
        <v>86</v>
      </c>
      <c r="J135" t="s">
        <v>87</v>
      </c>
      <c r="K135" t="s">
        <v>36</v>
      </c>
      <c r="L135">
        <v>1</v>
      </c>
      <c r="M135" s="10">
        <v>0.1</v>
      </c>
      <c r="N135" s="11">
        <v>315000</v>
      </c>
      <c r="O135" s="11">
        <v>210000</v>
      </c>
      <c r="P135" s="11">
        <v>105000</v>
      </c>
      <c r="Q135" t="s">
        <v>63</v>
      </c>
      <c r="R135" t="b">
        <f>COUNTIF($A$6     : CleanedSalesData[[#This Row],[Order ID]], CleanedSalesData[[#This Row],[Order ID]])&gt;1</f>
        <v>0</v>
      </c>
      <c r="S135" t="b">
        <f>IF(ISBLANK(CleanedSalesData[[#This Row],[Quantity]]), TRUE, FALSE)</f>
        <v>0</v>
      </c>
      <c r="T135" t="b">
        <f>IF(ISBLANK(CleanedSalesData[[#This Row],[Order Date]]), TRUE, FALSE)</f>
        <v>0</v>
      </c>
      <c r="U135" t="b">
        <f>IF(ISBLANK(CleanedSalesData[[#This Row],[Revenue]]), TRUE, FALSE)</f>
        <v>0</v>
      </c>
      <c r="V135" t="b">
        <f>IF(OR(CleanedSalesData[[#This Row],[Order Status]]="Cancelled", CleanedSalesData[[#This Row],[Order Status]]="Returned"), TRUE, FALSE)</f>
        <v>0</v>
      </c>
      <c r="W135" t="str" cm="1">
        <f t="array" ref="W13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6" spans="1:23" x14ac:dyDescent="0.35">
      <c r="A136" t="s">
        <v>237</v>
      </c>
      <c r="B136" s="7">
        <v>46129</v>
      </c>
      <c r="C136" t="s">
        <v>949</v>
      </c>
      <c r="D136">
        <v>4</v>
      </c>
      <c r="E136" t="s">
        <v>76</v>
      </c>
      <c r="F136" t="s">
        <v>47</v>
      </c>
      <c r="G136" t="s">
        <v>81</v>
      </c>
      <c r="H136" t="s">
        <v>33</v>
      </c>
      <c r="I136" t="s">
        <v>34</v>
      </c>
      <c r="J136" t="s">
        <v>35</v>
      </c>
      <c r="K136" t="s">
        <v>36</v>
      </c>
      <c r="L136">
        <v>3</v>
      </c>
      <c r="M136" s="10">
        <v>0.03</v>
      </c>
      <c r="N136" s="11">
        <v>1382250</v>
      </c>
      <c r="O136" s="11">
        <v>855000</v>
      </c>
      <c r="P136" s="11">
        <v>527250</v>
      </c>
      <c r="Q136" t="s">
        <v>84</v>
      </c>
      <c r="R136" t="b">
        <f>COUNTIF($A$6     : CleanedSalesData[[#This Row],[Order ID]], CleanedSalesData[[#This Row],[Order ID]])&gt;1</f>
        <v>0</v>
      </c>
      <c r="S136" t="b">
        <f>IF(ISBLANK(CleanedSalesData[[#This Row],[Quantity]]), TRUE, FALSE)</f>
        <v>0</v>
      </c>
      <c r="T136" t="b">
        <f>IF(ISBLANK(CleanedSalesData[[#This Row],[Order Date]]), TRUE, FALSE)</f>
        <v>0</v>
      </c>
      <c r="U136" t="b">
        <f>IF(ISBLANK(CleanedSalesData[[#This Row],[Revenue]]), TRUE, FALSE)</f>
        <v>0</v>
      </c>
      <c r="V136" t="b">
        <f>IF(OR(CleanedSalesData[[#This Row],[Order Status]]="Cancelled", CleanedSalesData[[#This Row],[Order Status]]="Returned"), TRUE, FALSE)</f>
        <v>0</v>
      </c>
      <c r="W136" t="str" cm="1">
        <f t="array" ref="W13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7" spans="1:23" x14ac:dyDescent="0.35">
      <c r="A137" t="s">
        <v>238</v>
      </c>
      <c r="B137" s="7">
        <v>46088</v>
      </c>
      <c r="C137" t="s">
        <v>947</v>
      </c>
      <c r="D137">
        <v>3</v>
      </c>
      <c r="E137" t="s">
        <v>111</v>
      </c>
      <c r="F137" t="s">
        <v>70</v>
      </c>
      <c r="G137" t="s">
        <v>41</v>
      </c>
      <c r="H137" t="s">
        <v>33</v>
      </c>
      <c r="I137" t="s">
        <v>42</v>
      </c>
      <c r="J137" t="s">
        <v>43</v>
      </c>
      <c r="K137" t="s">
        <v>44</v>
      </c>
      <c r="L137">
        <v>8</v>
      </c>
      <c r="M137" s="10">
        <v>0.05</v>
      </c>
      <c r="N137" s="11">
        <v>2090000</v>
      </c>
      <c r="O137" s="11">
        <v>1240000</v>
      </c>
      <c r="P137" s="11">
        <v>850000</v>
      </c>
      <c r="Q137" t="s">
        <v>37</v>
      </c>
      <c r="R137" t="b">
        <f>COUNTIF($A$6     : CleanedSalesData[[#This Row],[Order ID]], CleanedSalesData[[#This Row],[Order ID]])&gt;1</f>
        <v>0</v>
      </c>
      <c r="S137" t="b">
        <f>IF(ISBLANK(CleanedSalesData[[#This Row],[Quantity]]), TRUE, FALSE)</f>
        <v>0</v>
      </c>
      <c r="T137" t="b">
        <f>IF(ISBLANK(CleanedSalesData[[#This Row],[Order Date]]), TRUE, FALSE)</f>
        <v>0</v>
      </c>
      <c r="U137" t="b">
        <f>IF(ISBLANK(CleanedSalesData[[#This Row],[Revenue]]), TRUE, FALSE)</f>
        <v>0</v>
      </c>
      <c r="V137" t="b">
        <f>IF(OR(CleanedSalesData[[#This Row],[Order Status]]="Cancelled", CleanedSalesData[[#This Row],[Order Status]]="Returned"), TRUE, FALSE)</f>
        <v>0</v>
      </c>
      <c r="W137" t="str" cm="1">
        <f t="array" ref="W13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8" spans="1:23" x14ac:dyDescent="0.35">
      <c r="A138" t="s">
        <v>239</v>
      </c>
      <c r="B138" s="7">
        <v>46059</v>
      </c>
      <c r="C138" t="s">
        <v>944</v>
      </c>
      <c r="D138">
        <v>2</v>
      </c>
      <c r="E138" t="s">
        <v>69</v>
      </c>
      <c r="F138" t="s">
        <v>59</v>
      </c>
      <c r="G138" t="s">
        <v>81</v>
      </c>
      <c r="H138" t="s">
        <v>33</v>
      </c>
      <c r="I138" t="s">
        <v>49</v>
      </c>
      <c r="J138" t="s">
        <v>50</v>
      </c>
      <c r="K138" t="s">
        <v>51</v>
      </c>
      <c r="L138">
        <v>4</v>
      </c>
      <c r="M138" s="10">
        <v>0.15</v>
      </c>
      <c r="N138" s="11">
        <v>833000</v>
      </c>
      <c r="O138" s="11">
        <v>580000</v>
      </c>
      <c r="P138" s="11">
        <v>253000</v>
      </c>
      <c r="Q138" t="s">
        <v>93</v>
      </c>
      <c r="R138" t="b">
        <f>COUNTIF($A$6     : CleanedSalesData[[#This Row],[Order ID]], CleanedSalesData[[#This Row],[Order ID]])&gt;1</f>
        <v>0</v>
      </c>
      <c r="S138" t="b">
        <f>IF(ISBLANK(CleanedSalesData[[#This Row],[Quantity]]), TRUE, FALSE)</f>
        <v>0</v>
      </c>
      <c r="T138" t="b">
        <f>IF(ISBLANK(CleanedSalesData[[#This Row],[Order Date]]), TRUE, FALSE)</f>
        <v>0</v>
      </c>
      <c r="U138" t="b">
        <f>IF(ISBLANK(CleanedSalesData[[#This Row],[Revenue]]), TRUE, FALSE)</f>
        <v>0</v>
      </c>
      <c r="V138" t="b">
        <f>IF(OR(CleanedSalesData[[#This Row],[Order Status]]="Cancelled", CleanedSalesData[[#This Row],[Order Status]]="Returned"), TRUE, FALSE)</f>
        <v>0</v>
      </c>
      <c r="W138" t="str" cm="1">
        <f t="array" ref="W13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39" spans="1:23" x14ac:dyDescent="0.35">
      <c r="A139" t="s">
        <v>240</v>
      </c>
      <c r="B139" s="7">
        <v>46026</v>
      </c>
      <c r="C139" t="s">
        <v>948</v>
      </c>
      <c r="D139">
        <v>1</v>
      </c>
      <c r="E139" t="s">
        <v>65</v>
      </c>
      <c r="F139" t="s">
        <v>70</v>
      </c>
      <c r="G139" t="s">
        <v>81</v>
      </c>
      <c r="H139" t="s">
        <v>33</v>
      </c>
      <c r="I139" t="s">
        <v>55</v>
      </c>
      <c r="J139" t="s">
        <v>56</v>
      </c>
      <c r="K139" t="s">
        <v>36</v>
      </c>
      <c r="L139">
        <v>5</v>
      </c>
      <c r="M139" s="10">
        <v>0.1</v>
      </c>
      <c r="O139" s="11">
        <v>6600000</v>
      </c>
      <c r="P139" s="11">
        <v>1725000</v>
      </c>
      <c r="Q139" t="s">
        <v>63</v>
      </c>
      <c r="R139" t="b">
        <f>COUNTIF($A$6     : CleanedSalesData[[#This Row],[Order ID]], CleanedSalesData[[#This Row],[Order ID]])&gt;1</f>
        <v>0</v>
      </c>
      <c r="S139" t="b">
        <f>IF(ISBLANK(CleanedSalesData[[#This Row],[Quantity]]), TRUE, FALSE)</f>
        <v>0</v>
      </c>
      <c r="T139" t="b">
        <f>IF(ISBLANK(CleanedSalesData[[#This Row],[Order Date]]), TRUE, FALSE)</f>
        <v>0</v>
      </c>
      <c r="U139" t="b">
        <f>IF(ISBLANK(CleanedSalesData[[#This Row],[Revenue]]), TRUE, FALSE)</f>
        <v>1</v>
      </c>
      <c r="V139" t="b">
        <f>IF(OR(CleanedSalesData[[#This Row],[Order Status]]="Cancelled", CleanedSalesData[[#This Row],[Order Status]]="Returned"), TRUE, FALSE)</f>
        <v>0</v>
      </c>
      <c r="W139" t="str" cm="1">
        <f t="array" ref="W13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140" spans="1:23" x14ac:dyDescent="0.35">
      <c r="A140" t="s">
        <v>241</v>
      </c>
      <c r="B140" s="7">
        <v>46050</v>
      </c>
      <c r="C140" t="s">
        <v>948</v>
      </c>
      <c r="D140">
        <v>1</v>
      </c>
      <c r="E140" t="s">
        <v>39</v>
      </c>
      <c r="F140" t="s">
        <v>47</v>
      </c>
      <c r="G140" t="s">
        <v>81</v>
      </c>
      <c r="H140" t="s">
        <v>33</v>
      </c>
      <c r="I140" t="s">
        <v>60</v>
      </c>
      <c r="J140" t="s">
        <v>61</v>
      </c>
      <c r="K140" t="s">
        <v>62</v>
      </c>
      <c r="L140">
        <v>4</v>
      </c>
      <c r="M140" s="10">
        <v>0.08</v>
      </c>
      <c r="N140" s="11">
        <v>239200</v>
      </c>
      <c r="O140" s="11">
        <v>124000</v>
      </c>
      <c r="P140" s="11">
        <v>115200</v>
      </c>
      <c r="Q140" t="s">
        <v>37</v>
      </c>
      <c r="R140" t="b">
        <f>COUNTIF($A$6     : CleanedSalesData[[#This Row],[Order ID]], CleanedSalesData[[#This Row],[Order ID]])&gt;1</f>
        <v>0</v>
      </c>
      <c r="S140" t="b">
        <f>IF(ISBLANK(CleanedSalesData[[#This Row],[Quantity]]), TRUE, FALSE)</f>
        <v>0</v>
      </c>
      <c r="T140" t="b">
        <f>IF(ISBLANK(CleanedSalesData[[#This Row],[Order Date]]), TRUE, FALSE)</f>
        <v>0</v>
      </c>
      <c r="U140" t="b">
        <f>IF(ISBLANK(CleanedSalesData[[#This Row],[Revenue]]), TRUE, FALSE)</f>
        <v>0</v>
      </c>
      <c r="V140" t="b">
        <f>IF(OR(CleanedSalesData[[#This Row],[Order Status]]="Cancelled", CleanedSalesData[[#This Row],[Order Status]]="Returned"), TRUE, FALSE)</f>
        <v>0</v>
      </c>
      <c r="W140" t="str" cm="1">
        <f t="array" ref="W14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41" spans="1:23" x14ac:dyDescent="0.35">
      <c r="A141" t="s">
        <v>242</v>
      </c>
      <c r="B141" s="7">
        <v>46185</v>
      </c>
      <c r="C141" t="s">
        <v>945</v>
      </c>
      <c r="D141">
        <v>6</v>
      </c>
      <c r="E141" t="s">
        <v>30</v>
      </c>
      <c r="F141" t="s">
        <v>59</v>
      </c>
      <c r="G141" t="s">
        <v>41</v>
      </c>
      <c r="H141" t="s">
        <v>33</v>
      </c>
      <c r="I141" t="s">
        <v>66</v>
      </c>
      <c r="J141" t="s">
        <v>67</v>
      </c>
      <c r="K141" t="s">
        <v>51</v>
      </c>
      <c r="L141">
        <v>8</v>
      </c>
      <c r="M141" s="10">
        <v>0.15</v>
      </c>
      <c r="N141" s="11">
        <v>2108000</v>
      </c>
      <c r="O141" s="11">
        <v>1520000</v>
      </c>
      <c r="P141" s="11">
        <v>588000</v>
      </c>
      <c r="Q141" t="s">
        <v>74</v>
      </c>
      <c r="R141" t="b">
        <f>COUNTIF($A$6     : CleanedSalesData[[#This Row],[Order ID]], CleanedSalesData[[#This Row],[Order ID]])&gt;1</f>
        <v>0</v>
      </c>
      <c r="S141" t="b">
        <f>IF(ISBLANK(CleanedSalesData[[#This Row],[Quantity]]), TRUE, FALSE)</f>
        <v>0</v>
      </c>
      <c r="T141" t="b">
        <f>IF(ISBLANK(CleanedSalesData[[#This Row],[Order Date]]), TRUE, FALSE)</f>
        <v>0</v>
      </c>
      <c r="U141" t="b">
        <f>IF(ISBLANK(CleanedSalesData[[#This Row],[Revenue]]), TRUE, FALSE)</f>
        <v>0</v>
      </c>
      <c r="V141" t="b">
        <f>IF(OR(CleanedSalesData[[#This Row],[Order Status]]="Cancelled", CleanedSalesData[[#This Row],[Order Status]]="Returned"), TRUE, FALSE)</f>
        <v>0</v>
      </c>
      <c r="W141" t="str" cm="1">
        <f t="array" ref="W14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42" spans="1:23" x14ac:dyDescent="0.35">
      <c r="A142" t="s">
        <v>243</v>
      </c>
      <c r="B142" s="7">
        <v>46032</v>
      </c>
      <c r="C142" t="s">
        <v>948</v>
      </c>
      <c r="D142">
        <v>1</v>
      </c>
      <c r="E142" t="s">
        <v>65</v>
      </c>
      <c r="F142" t="s">
        <v>31</v>
      </c>
      <c r="G142" t="s">
        <v>32</v>
      </c>
      <c r="H142" t="s">
        <v>33</v>
      </c>
      <c r="I142" t="s">
        <v>71</v>
      </c>
      <c r="J142" t="s">
        <v>72</v>
      </c>
      <c r="K142" t="s">
        <v>73</v>
      </c>
      <c r="L142">
        <v>5</v>
      </c>
      <c r="M142" s="10">
        <v>0.08</v>
      </c>
      <c r="N142" s="11">
        <v>575000</v>
      </c>
      <c r="O142" s="11">
        <v>350000</v>
      </c>
      <c r="P142" s="11">
        <v>225000</v>
      </c>
      <c r="Q142" t="s">
        <v>52</v>
      </c>
      <c r="R142" t="b">
        <f>COUNTIF($A$6     : CleanedSalesData[[#This Row],[Order ID]], CleanedSalesData[[#This Row],[Order ID]])&gt;1</f>
        <v>0</v>
      </c>
      <c r="S142" t="b">
        <f>IF(ISBLANK(CleanedSalesData[[#This Row],[Quantity]]), TRUE, FALSE)</f>
        <v>0</v>
      </c>
      <c r="T142" t="b">
        <f>IF(ISBLANK(CleanedSalesData[[#This Row],[Order Date]]), TRUE, FALSE)</f>
        <v>0</v>
      </c>
      <c r="U142" t="b">
        <f>IF(ISBLANK(CleanedSalesData[[#This Row],[Revenue]]), TRUE, FALSE)</f>
        <v>0</v>
      </c>
      <c r="V142" t="b">
        <f>IF(OR(CleanedSalesData[[#This Row],[Order Status]]="Cancelled", CleanedSalesData[[#This Row],[Order Status]]="Returned"), TRUE, FALSE)</f>
        <v>0</v>
      </c>
      <c r="W142" t="str" cm="1">
        <f t="array" ref="W14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43" spans="1:23" x14ac:dyDescent="0.35">
      <c r="A143" t="s">
        <v>244</v>
      </c>
      <c r="B143" s="7">
        <v>46117</v>
      </c>
      <c r="C143" t="s">
        <v>949</v>
      </c>
      <c r="D143">
        <v>4</v>
      </c>
      <c r="E143" t="s">
        <v>69</v>
      </c>
      <c r="F143" t="s">
        <v>31</v>
      </c>
      <c r="G143" t="s">
        <v>48</v>
      </c>
      <c r="H143" t="s">
        <v>33</v>
      </c>
      <c r="I143" t="s">
        <v>78</v>
      </c>
      <c r="J143" t="s">
        <v>79</v>
      </c>
      <c r="K143" t="s">
        <v>62</v>
      </c>
      <c r="L143">
        <v>7</v>
      </c>
      <c r="M143" s="10">
        <v>0.1</v>
      </c>
      <c r="N143" s="11">
        <v>535500</v>
      </c>
      <c r="O143" s="11">
        <v>301000</v>
      </c>
      <c r="P143" s="11">
        <v>234500</v>
      </c>
      <c r="Q143" t="s">
        <v>52</v>
      </c>
      <c r="R143" t="b">
        <f>COUNTIF($A$6     : CleanedSalesData[[#This Row],[Order ID]], CleanedSalesData[[#This Row],[Order ID]])&gt;1</f>
        <v>0</v>
      </c>
      <c r="S143" t="b">
        <f>IF(ISBLANK(CleanedSalesData[[#This Row],[Quantity]]), TRUE, FALSE)</f>
        <v>0</v>
      </c>
      <c r="T143" t="b">
        <f>IF(ISBLANK(CleanedSalesData[[#This Row],[Order Date]]), TRUE, FALSE)</f>
        <v>0</v>
      </c>
      <c r="U143" t="b">
        <f>IF(ISBLANK(CleanedSalesData[[#This Row],[Revenue]]), TRUE, FALSE)</f>
        <v>0</v>
      </c>
      <c r="V143" t="b">
        <f>IF(OR(CleanedSalesData[[#This Row],[Order Status]]="Cancelled", CleanedSalesData[[#This Row],[Order Status]]="Returned"), TRUE, FALSE)</f>
        <v>0</v>
      </c>
      <c r="W143" t="str" cm="1">
        <f t="array" ref="W14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44" spans="1:23" x14ac:dyDescent="0.35">
      <c r="A144" t="s">
        <v>245</v>
      </c>
      <c r="B144" s="7">
        <v>46180</v>
      </c>
      <c r="C144" t="s">
        <v>945</v>
      </c>
      <c r="D144">
        <v>6</v>
      </c>
      <c r="E144" t="s">
        <v>111</v>
      </c>
      <c r="F144" t="s">
        <v>70</v>
      </c>
      <c r="G144" t="s">
        <v>32</v>
      </c>
      <c r="H144" t="s">
        <v>33</v>
      </c>
      <c r="I144" t="s">
        <v>82</v>
      </c>
      <c r="J144" t="s">
        <v>83</v>
      </c>
      <c r="K144" t="s">
        <v>44</v>
      </c>
      <c r="L144">
        <v>7</v>
      </c>
      <c r="M144" s="10">
        <v>0.05</v>
      </c>
      <c r="N144" s="11">
        <v>9642500</v>
      </c>
      <c r="O144" s="11">
        <v>6860000</v>
      </c>
      <c r="P144" s="11">
        <v>2782500</v>
      </c>
      <c r="Q144" t="s">
        <v>52</v>
      </c>
      <c r="R144" t="b">
        <f>COUNTIF($A$6     : CleanedSalesData[[#This Row],[Order ID]], CleanedSalesData[[#This Row],[Order ID]])&gt;1</f>
        <v>0</v>
      </c>
      <c r="S144" t="b">
        <f>IF(ISBLANK(CleanedSalesData[[#This Row],[Quantity]]), TRUE, FALSE)</f>
        <v>0</v>
      </c>
      <c r="T144" t="b">
        <f>IF(ISBLANK(CleanedSalesData[[#This Row],[Order Date]]), TRUE, FALSE)</f>
        <v>0</v>
      </c>
      <c r="U144" t="b">
        <f>IF(ISBLANK(CleanedSalesData[[#This Row],[Revenue]]), TRUE, FALSE)</f>
        <v>0</v>
      </c>
      <c r="V144" t="b">
        <f>IF(OR(CleanedSalesData[[#This Row],[Order Status]]="Cancelled", CleanedSalesData[[#This Row],[Order Status]]="Returned"), TRUE, FALSE)</f>
        <v>0</v>
      </c>
      <c r="W144" t="str" cm="1">
        <f t="array" ref="W14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45" spans="1:23" x14ac:dyDescent="0.35">
      <c r="A145" t="s">
        <v>246</v>
      </c>
      <c r="B145" s="7">
        <v>46083</v>
      </c>
      <c r="C145" t="s">
        <v>947</v>
      </c>
      <c r="D145">
        <v>3</v>
      </c>
      <c r="E145" t="s">
        <v>95</v>
      </c>
      <c r="F145" t="s">
        <v>47</v>
      </c>
      <c r="G145" t="s">
        <v>81</v>
      </c>
      <c r="H145" t="s">
        <v>77</v>
      </c>
      <c r="I145" t="s">
        <v>86</v>
      </c>
      <c r="J145" t="s">
        <v>87</v>
      </c>
      <c r="K145" t="s">
        <v>36</v>
      </c>
      <c r="L145">
        <v>6</v>
      </c>
      <c r="M145" s="10">
        <v>0</v>
      </c>
      <c r="N145" s="11">
        <v>525000</v>
      </c>
      <c r="O145" s="11">
        <v>1260000</v>
      </c>
      <c r="P145" s="11">
        <v>-735000</v>
      </c>
      <c r="Q145" t="s">
        <v>93</v>
      </c>
      <c r="R145" t="b">
        <f>COUNTIF($A$6     : CleanedSalesData[[#This Row],[Order ID]], CleanedSalesData[[#This Row],[Order ID]])&gt;1</f>
        <v>0</v>
      </c>
      <c r="S145" t="b">
        <f>IF(ISBLANK(CleanedSalesData[[#This Row],[Quantity]]), TRUE, FALSE)</f>
        <v>0</v>
      </c>
      <c r="T145" t="b">
        <f>IF(ISBLANK(CleanedSalesData[[#This Row],[Order Date]]), TRUE, FALSE)</f>
        <v>0</v>
      </c>
      <c r="U145" t="b">
        <f>IF(ISBLANK(CleanedSalesData[[#This Row],[Revenue]]), TRUE, FALSE)</f>
        <v>0</v>
      </c>
      <c r="V145" t="b">
        <f>IF(OR(CleanedSalesData[[#This Row],[Order Status]]="Cancelled", CleanedSalesData[[#This Row],[Order Status]]="Returned"), TRUE, FALSE)</f>
        <v>1</v>
      </c>
      <c r="W145" t="str" cm="1">
        <f t="array" ref="W14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46" spans="1:23" x14ac:dyDescent="0.35">
      <c r="A146" t="s">
        <v>247</v>
      </c>
      <c r="B146" s="7">
        <v>46093</v>
      </c>
      <c r="C146" t="s">
        <v>947</v>
      </c>
      <c r="D146">
        <v>3</v>
      </c>
      <c r="E146" t="s">
        <v>95</v>
      </c>
      <c r="F146" t="s">
        <v>40</v>
      </c>
      <c r="G146" t="s">
        <v>32</v>
      </c>
      <c r="H146" t="s">
        <v>112</v>
      </c>
      <c r="I146" t="s">
        <v>34</v>
      </c>
      <c r="J146" t="s">
        <v>35</v>
      </c>
      <c r="K146" t="s">
        <v>36</v>
      </c>
      <c r="L146">
        <v>4</v>
      </c>
      <c r="M146" s="10">
        <v>0</v>
      </c>
      <c r="N146" s="11">
        <v>475000</v>
      </c>
      <c r="O146" s="11">
        <v>1140000</v>
      </c>
      <c r="P146" s="11">
        <v>-665000</v>
      </c>
      <c r="Q146" t="s">
        <v>74</v>
      </c>
      <c r="R146" t="b">
        <f>COUNTIF($A$6     : CleanedSalesData[[#This Row],[Order ID]], CleanedSalesData[[#This Row],[Order ID]])&gt;1</f>
        <v>0</v>
      </c>
      <c r="S146" t="b">
        <f>IF(ISBLANK(CleanedSalesData[[#This Row],[Quantity]]), TRUE, FALSE)</f>
        <v>0</v>
      </c>
      <c r="T146" t="b">
        <f>IF(ISBLANK(CleanedSalesData[[#This Row],[Order Date]]), TRUE, FALSE)</f>
        <v>0</v>
      </c>
      <c r="U146" t="b">
        <f>IF(ISBLANK(CleanedSalesData[[#This Row],[Revenue]]), TRUE, FALSE)</f>
        <v>0</v>
      </c>
      <c r="V146" t="b">
        <f>IF(OR(CleanedSalesData[[#This Row],[Order Status]]="Cancelled", CleanedSalesData[[#This Row],[Order Status]]="Returned"), TRUE, FALSE)</f>
        <v>1</v>
      </c>
      <c r="W146" t="str" cm="1">
        <f t="array" ref="W14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47" spans="1:23" x14ac:dyDescent="0.35">
      <c r="A147" t="s">
        <v>249</v>
      </c>
      <c r="B147" s="7">
        <v>46108</v>
      </c>
      <c r="C147" t="s">
        <v>947</v>
      </c>
      <c r="D147">
        <v>3</v>
      </c>
      <c r="E147" t="s">
        <v>39</v>
      </c>
      <c r="F147" t="s">
        <v>31</v>
      </c>
      <c r="G147" t="s">
        <v>41</v>
      </c>
      <c r="H147" t="s">
        <v>90</v>
      </c>
      <c r="I147" t="s">
        <v>250</v>
      </c>
      <c r="J147" t="s">
        <v>43</v>
      </c>
      <c r="K147" t="s">
        <v>44</v>
      </c>
      <c r="L147">
        <v>4</v>
      </c>
      <c r="M147" s="10">
        <v>0.03</v>
      </c>
      <c r="N147" s="11">
        <v>1067000</v>
      </c>
      <c r="O147" s="11">
        <v>620000</v>
      </c>
      <c r="P147" s="11">
        <v>447000</v>
      </c>
      <c r="Q147" t="s">
        <v>45</v>
      </c>
      <c r="R147" t="b">
        <f>COUNTIF($A$6     : CleanedSalesData[[#This Row],[Order ID]], CleanedSalesData[[#This Row],[Order ID]])&gt;1</f>
        <v>0</v>
      </c>
      <c r="S147" t="b">
        <f>IF(ISBLANK(CleanedSalesData[[#This Row],[Quantity]]), TRUE, FALSE)</f>
        <v>0</v>
      </c>
      <c r="T147" t="b">
        <f>IF(ISBLANK(CleanedSalesData[[#This Row],[Order Date]]), TRUE, FALSE)</f>
        <v>0</v>
      </c>
      <c r="U147" t="b">
        <f>IF(ISBLANK(CleanedSalesData[[#This Row],[Revenue]]), TRUE, FALSE)</f>
        <v>0</v>
      </c>
      <c r="V147" t="b">
        <f>IF(OR(CleanedSalesData[[#This Row],[Order Status]]="Cancelled", CleanedSalesData[[#This Row],[Order Status]]="Returned"), TRUE, FALSE)</f>
        <v>0</v>
      </c>
      <c r="W147" t="str" cm="1">
        <f t="array" ref="W14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48" spans="1:23" x14ac:dyDescent="0.35">
      <c r="A148" t="s">
        <v>251</v>
      </c>
      <c r="B148" s="7">
        <v>46082</v>
      </c>
      <c r="C148" t="s">
        <v>947</v>
      </c>
      <c r="D148">
        <v>3</v>
      </c>
      <c r="E148" t="s">
        <v>76</v>
      </c>
      <c r="F148" t="s">
        <v>47</v>
      </c>
      <c r="G148" t="s">
        <v>41</v>
      </c>
      <c r="H148" t="s">
        <v>90</v>
      </c>
      <c r="I148" t="s">
        <v>49</v>
      </c>
      <c r="J148" t="s">
        <v>50</v>
      </c>
      <c r="K148" t="s">
        <v>51</v>
      </c>
      <c r="L148">
        <v>6</v>
      </c>
      <c r="M148" s="10">
        <v>0.03</v>
      </c>
      <c r="N148" s="11">
        <v>1425900</v>
      </c>
      <c r="O148" s="11">
        <v>870000</v>
      </c>
      <c r="P148" s="11">
        <v>555900</v>
      </c>
      <c r="Q148" t="s">
        <v>84</v>
      </c>
      <c r="R148" t="b">
        <f>COUNTIF($A$6     : CleanedSalesData[[#This Row],[Order ID]], CleanedSalesData[[#This Row],[Order ID]])&gt;1</f>
        <v>0</v>
      </c>
      <c r="S148" t="b">
        <f>IF(ISBLANK(CleanedSalesData[[#This Row],[Quantity]]), TRUE, FALSE)</f>
        <v>0</v>
      </c>
      <c r="T148" t="b">
        <f>IF(ISBLANK(CleanedSalesData[[#This Row],[Order Date]]), TRUE, FALSE)</f>
        <v>0</v>
      </c>
      <c r="U148" t="b">
        <f>IF(ISBLANK(CleanedSalesData[[#This Row],[Revenue]]), TRUE, FALSE)</f>
        <v>0</v>
      </c>
      <c r="V148" t="b">
        <f>IF(OR(CleanedSalesData[[#This Row],[Order Status]]="Cancelled", CleanedSalesData[[#This Row],[Order Status]]="Returned"), TRUE, FALSE)</f>
        <v>0</v>
      </c>
      <c r="W148" t="str" cm="1">
        <f t="array" ref="W14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49" spans="1:23" x14ac:dyDescent="0.35">
      <c r="A149" t="s">
        <v>252</v>
      </c>
      <c r="B149" s="7">
        <v>46056</v>
      </c>
      <c r="C149" t="s">
        <v>944</v>
      </c>
      <c r="D149">
        <v>2</v>
      </c>
      <c r="E149" t="s">
        <v>95</v>
      </c>
      <c r="F149" t="s">
        <v>40</v>
      </c>
      <c r="G149" t="s">
        <v>32</v>
      </c>
      <c r="H149" t="s">
        <v>33</v>
      </c>
      <c r="I149" t="s">
        <v>55</v>
      </c>
      <c r="J149" t="s">
        <v>56</v>
      </c>
      <c r="K149" t="s">
        <v>36</v>
      </c>
      <c r="L149">
        <v>5</v>
      </c>
      <c r="M149" s="10">
        <v>0.03</v>
      </c>
      <c r="N149" s="11">
        <v>8972500</v>
      </c>
      <c r="O149" s="11">
        <v>6600000</v>
      </c>
      <c r="P149" s="11">
        <v>2372500</v>
      </c>
      <c r="Q149" t="s">
        <v>63</v>
      </c>
      <c r="R149" t="b">
        <f>COUNTIF($A$6     : CleanedSalesData[[#This Row],[Order ID]], CleanedSalesData[[#This Row],[Order ID]])&gt;1</f>
        <v>0</v>
      </c>
      <c r="S149" t="b">
        <f>IF(ISBLANK(CleanedSalesData[[#This Row],[Quantity]]), TRUE, FALSE)</f>
        <v>0</v>
      </c>
      <c r="T149" t="b">
        <f>IF(ISBLANK(CleanedSalesData[[#This Row],[Order Date]]), TRUE, FALSE)</f>
        <v>0</v>
      </c>
      <c r="U149" t="b">
        <f>IF(ISBLANK(CleanedSalesData[[#This Row],[Revenue]]), TRUE, FALSE)</f>
        <v>0</v>
      </c>
      <c r="V149" t="b">
        <f>IF(OR(CleanedSalesData[[#This Row],[Order Status]]="Cancelled", CleanedSalesData[[#This Row],[Order Status]]="Returned"), TRUE, FALSE)</f>
        <v>0</v>
      </c>
      <c r="W149" t="str" cm="1">
        <f t="array" ref="W14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0" spans="1:23" x14ac:dyDescent="0.35">
      <c r="A150" t="s">
        <v>253</v>
      </c>
      <c r="B150" s="7">
        <v>46083</v>
      </c>
      <c r="C150" t="s">
        <v>947</v>
      </c>
      <c r="D150">
        <v>3</v>
      </c>
      <c r="E150" t="s">
        <v>65</v>
      </c>
      <c r="F150" t="s">
        <v>40</v>
      </c>
      <c r="G150" t="s">
        <v>32</v>
      </c>
      <c r="H150" t="s">
        <v>33</v>
      </c>
      <c r="I150" t="s">
        <v>60</v>
      </c>
      <c r="J150" t="s">
        <v>61</v>
      </c>
      <c r="K150" t="s">
        <v>62</v>
      </c>
      <c r="L150">
        <v>6</v>
      </c>
      <c r="M150" s="10">
        <v>0</v>
      </c>
      <c r="N150" s="11">
        <v>390000</v>
      </c>
      <c r="O150" s="11">
        <v>186000</v>
      </c>
      <c r="P150" s="11">
        <v>204000</v>
      </c>
      <c r="Q150" t="s">
        <v>37</v>
      </c>
      <c r="R150" t="b">
        <f>COUNTIF($A$6     : CleanedSalesData[[#This Row],[Order ID]], CleanedSalesData[[#This Row],[Order ID]])&gt;1</f>
        <v>0</v>
      </c>
      <c r="S150" t="b">
        <f>IF(ISBLANK(CleanedSalesData[[#This Row],[Quantity]]), TRUE, FALSE)</f>
        <v>0</v>
      </c>
      <c r="T150" t="b">
        <f>IF(ISBLANK(CleanedSalesData[[#This Row],[Order Date]]), TRUE, FALSE)</f>
        <v>0</v>
      </c>
      <c r="U150" t="b">
        <f>IF(ISBLANK(CleanedSalesData[[#This Row],[Revenue]]), TRUE, FALSE)</f>
        <v>0</v>
      </c>
      <c r="V150" t="b">
        <f>IF(OR(CleanedSalesData[[#This Row],[Order Status]]="Cancelled", CleanedSalesData[[#This Row],[Order Status]]="Returned"), TRUE, FALSE)</f>
        <v>0</v>
      </c>
      <c r="W150" t="str" cm="1">
        <f t="array" ref="W15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1" spans="1:23" x14ac:dyDescent="0.35">
      <c r="A151" t="s">
        <v>254</v>
      </c>
      <c r="B151" s="7">
        <v>46039</v>
      </c>
      <c r="C151" t="s">
        <v>948</v>
      </c>
      <c r="D151">
        <v>1</v>
      </c>
      <c r="E151" t="s">
        <v>111</v>
      </c>
      <c r="F151" t="s">
        <v>47</v>
      </c>
      <c r="G151" t="s">
        <v>41</v>
      </c>
      <c r="H151" t="s">
        <v>33</v>
      </c>
      <c r="I151" t="s">
        <v>66</v>
      </c>
      <c r="J151" t="s">
        <v>67</v>
      </c>
      <c r="K151" t="s">
        <v>51</v>
      </c>
      <c r="L151">
        <v>8</v>
      </c>
      <c r="M151" s="10">
        <v>0.08</v>
      </c>
      <c r="N151" s="11">
        <v>2281600</v>
      </c>
      <c r="O151" s="11">
        <v>1520000</v>
      </c>
      <c r="P151" s="11">
        <v>761600</v>
      </c>
      <c r="Q151" t="s">
        <v>45</v>
      </c>
      <c r="R151" t="b">
        <f>COUNTIF($A$6     : CleanedSalesData[[#This Row],[Order ID]], CleanedSalesData[[#This Row],[Order ID]])&gt;1</f>
        <v>0</v>
      </c>
      <c r="S151" t="b">
        <f>IF(ISBLANK(CleanedSalesData[[#This Row],[Quantity]]), TRUE, FALSE)</f>
        <v>0</v>
      </c>
      <c r="T151" t="b">
        <f>IF(ISBLANK(CleanedSalesData[[#This Row],[Order Date]]), TRUE, FALSE)</f>
        <v>0</v>
      </c>
      <c r="U151" t="b">
        <f>IF(ISBLANK(CleanedSalesData[[#This Row],[Revenue]]), TRUE, FALSE)</f>
        <v>0</v>
      </c>
      <c r="V151" t="b">
        <f>IF(OR(CleanedSalesData[[#This Row],[Order Status]]="Cancelled", CleanedSalesData[[#This Row],[Order Status]]="Returned"), TRUE, FALSE)</f>
        <v>0</v>
      </c>
      <c r="W151" t="str" cm="1">
        <f t="array" ref="W15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2" spans="1:23" x14ac:dyDescent="0.35">
      <c r="A152" t="s">
        <v>255</v>
      </c>
      <c r="B152" s="7">
        <v>46180</v>
      </c>
      <c r="C152" t="s">
        <v>945</v>
      </c>
      <c r="D152">
        <v>6</v>
      </c>
      <c r="E152" t="s">
        <v>111</v>
      </c>
      <c r="F152" t="s">
        <v>47</v>
      </c>
      <c r="G152" t="s">
        <v>81</v>
      </c>
      <c r="H152" t="s">
        <v>90</v>
      </c>
      <c r="I152" t="s">
        <v>71</v>
      </c>
      <c r="J152" t="s">
        <v>72</v>
      </c>
      <c r="K152" t="s">
        <v>73</v>
      </c>
      <c r="L152">
        <v>1</v>
      </c>
      <c r="M152" s="10">
        <v>0.15</v>
      </c>
      <c r="N152" s="11">
        <v>106250</v>
      </c>
      <c r="O152" s="11">
        <v>70000</v>
      </c>
      <c r="P152" s="11">
        <v>36250</v>
      </c>
      <c r="Q152" t="s">
        <v>74</v>
      </c>
      <c r="R152" t="b">
        <f>COUNTIF($A$6     : CleanedSalesData[[#This Row],[Order ID]], CleanedSalesData[[#This Row],[Order ID]])&gt;1</f>
        <v>0</v>
      </c>
      <c r="S152" t="b">
        <f>IF(ISBLANK(CleanedSalesData[[#This Row],[Quantity]]), TRUE, FALSE)</f>
        <v>0</v>
      </c>
      <c r="T152" t="b">
        <f>IF(ISBLANK(CleanedSalesData[[#This Row],[Order Date]]), TRUE, FALSE)</f>
        <v>0</v>
      </c>
      <c r="U152" t="b">
        <f>IF(ISBLANK(CleanedSalesData[[#This Row],[Revenue]]), TRUE, FALSE)</f>
        <v>0</v>
      </c>
      <c r="V152" t="b">
        <f>IF(OR(CleanedSalesData[[#This Row],[Order Status]]="Cancelled", CleanedSalesData[[#This Row],[Order Status]]="Returned"), TRUE, FALSE)</f>
        <v>0</v>
      </c>
      <c r="W152" t="str" cm="1">
        <f t="array" ref="W15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3" spans="1:23" x14ac:dyDescent="0.35">
      <c r="A153" t="s">
        <v>256</v>
      </c>
      <c r="B153" s="7">
        <v>46038</v>
      </c>
      <c r="C153" t="s">
        <v>948</v>
      </c>
      <c r="D153">
        <v>1</v>
      </c>
      <c r="E153" t="s">
        <v>111</v>
      </c>
      <c r="F153" t="s">
        <v>40</v>
      </c>
      <c r="G153" t="s">
        <v>48</v>
      </c>
      <c r="H153" t="s">
        <v>33</v>
      </c>
      <c r="I153" t="s">
        <v>78</v>
      </c>
      <c r="J153" t="s">
        <v>79</v>
      </c>
      <c r="K153" t="s">
        <v>62</v>
      </c>
      <c r="L153">
        <v>8</v>
      </c>
      <c r="M153" s="10">
        <v>0.08</v>
      </c>
      <c r="N153" s="11">
        <v>625600</v>
      </c>
      <c r="O153" s="11">
        <v>344000</v>
      </c>
      <c r="P153" s="11">
        <v>281600</v>
      </c>
      <c r="Q153" t="s">
        <v>37</v>
      </c>
      <c r="R153" t="b">
        <f>COUNTIF($A$6     : CleanedSalesData[[#This Row],[Order ID]], CleanedSalesData[[#This Row],[Order ID]])&gt;1</f>
        <v>0</v>
      </c>
      <c r="S153" t="b">
        <f>IF(ISBLANK(CleanedSalesData[[#This Row],[Quantity]]), TRUE, FALSE)</f>
        <v>0</v>
      </c>
      <c r="T153" t="b">
        <f>IF(ISBLANK(CleanedSalesData[[#This Row],[Order Date]]), TRUE, FALSE)</f>
        <v>0</v>
      </c>
      <c r="U153" t="b">
        <f>IF(ISBLANK(CleanedSalesData[[#This Row],[Revenue]]), TRUE, FALSE)</f>
        <v>0</v>
      </c>
      <c r="V153" t="b">
        <f>IF(OR(CleanedSalesData[[#This Row],[Order Status]]="Cancelled", CleanedSalesData[[#This Row],[Order Status]]="Returned"), TRUE, FALSE)</f>
        <v>0</v>
      </c>
      <c r="W153" t="str" cm="1">
        <f t="array" ref="W15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4" spans="1:23" x14ac:dyDescent="0.35">
      <c r="A154" t="s">
        <v>257</v>
      </c>
      <c r="B154" s="7">
        <v>46043</v>
      </c>
      <c r="C154" t="s">
        <v>948</v>
      </c>
      <c r="D154">
        <v>1</v>
      </c>
      <c r="E154" t="s">
        <v>54</v>
      </c>
      <c r="F154" t="s">
        <v>31</v>
      </c>
      <c r="G154" t="s">
        <v>81</v>
      </c>
      <c r="H154" t="s">
        <v>33</v>
      </c>
      <c r="I154" t="s">
        <v>82</v>
      </c>
      <c r="J154" t="s">
        <v>83</v>
      </c>
      <c r="K154" t="s">
        <v>44</v>
      </c>
      <c r="L154">
        <v>6</v>
      </c>
      <c r="M154" s="10">
        <v>0.1</v>
      </c>
      <c r="N154" s="11">
        <v>7830000</v>
      </c>
      <c r="O154" s="11">
        <v>5880000</v>
      </c>
      <c r="P154" s="11">
        <v>1950000</v>
      </c>
      <c r="Q154" t="s">
        <v>93</v>
      </c>
      <c r="R154" t="b">
        <f>COUNTIF($A$6     : CleanedSalesData[[#This Row],[Order ID]], CleanedSalesData[[#This Row],[Order ID]])&gt;1</f>
        <v>0</v>
      </c>
      <c r="S154" t="b">
        <f>IF(ISBLANK(CleanedSalesData[[#This Row],[Quantity]]), TRUE, FALSE)</f>
        <v>0</v>
      </c>
      <c r="T154" t="b">
        <f>IF(ISBLANK(CleanedSalesData[[#This Row],[Order Date]]), TRUE, FALSE)</f>
        <v>0</v>
      </c>
      <c r="U154" t="b">
        <f>IF(ISBLANK(CleanedSalesData[[#This Row],[Revenue]]), TRUE, FALSE)</f>
        <v>0</v>
      </c>
      <c r="V154" t="b">
        <f>IF(OR(CleanedSalesData[[#This Row],[Order Status]]="Cancelled", CleanedSalesData[[#This Row],[Order Status]]="Returned"), TRUE, FALSE)</f>
        <v>0</v>
      </c>
      <c r="W154" t="str" cm="1">
        <f t="array" ref="W15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5" spans="1:23" x14ac:dyDescent="0.35">
      <c r="A155" t="s">
        <v>258</v>
      </c>
      <c r="B155" s="7">
        <v>46175</v>
      </c>
      <c r="C155" t="s">
        <v>945</v>
      </c>
      <c r="D155">
        <v>6</v>
      </c>
      <c r="E155" t="s">
        <v>69</v>
      </c>
      <c r="F155" t="s">
        <v>59</v>
      </c>
      <c r="G155" t="s">
        <v>41</v>
      </c>
      <c r="H155" t="s">
        <v>33</v>
      </c>
      <c r="I155" t="s">
        <v>86</v>
      </c>
      <c r="J155" t="s">
        <v>87</v>
      </c>
      <c r="K155" t="s">
        <v>36</v>
      </c>
      <c r="L155">
        <v>5</v>
      </c>
      <c r="M155" s="10">
        <v>0.08</v>
      </c>
      <c r="N155" s="11">
        <v>1610000</v>
      </c>
      <c r="O155" s="11">
        <v>1050000</v>
      </c>
      <c r="P155" s="11">
        <v>560000</v>
      </c>
      <c r="Q155" t="s">
        <v>45</v>
      </c>
      <c r="R155" t="b">
        <f>COUNTIF($A$6     : CleanedSalesData[[#This Row],[Order ID]], CleanedSalesData[[#This Row],[Order ID]])&gt;1</f>
        <v>0</v>
      </c>
      <c r="S155" t="b">
        <f>IF(ISBLANK(CleanedSalesData[[#This Row],[Quantity]]), TRUE, FALSE)</f>
        <v>0</v>
      </c>
      <c r="T155" t="b">
        <f>IF(ISBLANK(CleanedSalesData[[#This Row],[Order Date]]), TRUE, FALSE)</f>
        <v>0</v>
      </c>
      <c r="U155" t="b">
        <f>IF(ISBLANK(CleanedSalesData[[#This Row],[Revenue]]), TRUE, FALSE)</f>
        <v>0</v>
      </c>
      <c r="V155" t="b">
        <f>IF(OR(CleanedSalesData[[#This Row],[Order Status]]="Cancelled", CleanedSalesData[[#This Row],[Order Status]]="Returned"), TRUE, FALSE)</f>
        <v>0</v>
      </c>
      <c r="W155" t="str" cm="1">
        <f t="array" ref="W15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6" spans="1:23" x14ac:dyDescent="0.35">
      <c r="A156" t="s">
        <v>259</v>
      </c>
      <c r="B156" s="7">
        <v>46133</v>
      </c>
      <c r="C156" t="s">
        <v>949</v>
      </c>
      <c r="D156">
        <v>4</v>
      </c>
      <c r="E156" t="s">
        <v>65</v>
      </c>
      <c r="F156" t="s">
        <v>59</v>
      </c>
      <c r="G156" t="s">
        <v>48</v>
      </c>
      <c r="H156" t="s">
        <v>33</v>
      </c>
      <c r="I156" t="s">
        <v>34</v>
      </c>
      <c r="J156" t="s">
        <v>35</v>
      </c>
      <c r="K156" t="s">
        <v>36</v>
      </c>
      <c r="L156">
        <v>8</v>
      </c>
      <c r="M156" s="10">
        <v>0.03</v>
      </c>
      <c r="N156" s="11">
        <v>3686000</v>
      </c>
      <c r="O156" s="11">
        <v>2280000</v>
      </c>
      <c r="P156" s="11">
        <v>1406000</v>
      </c>
      <c r="Q156" t="s">
        <v>37</v>
      </c>
      <c r="R156" t="b">
        <f>COUNTIF($A$6     : CleanedSalesData[[#This Row],[Order ID]], CleanedSalesData[[#This Row],[Order ID]])&gt;1</f>
        <v>0</v>
      </c>
      <c r="S156" t="b">
        <f>IF(ISBLANK(CleanedSalesData[[#This Row],[Quantity]]), TRUE, FALSE)</f>
        <v>0</v>
      </c>
      <c r="T156" t="b">
        <f>IF(ISBLANK(CleanedSalesData[[#This Row],[Order Date]]), TRUE, FALSE)</f>
        <v>0</v>
      </c>
      <c r="U156" t="b">
        <f>IF(ISBLANK(CleanedSalesData[[#This Row],[Revenue]]), TRUE, FALSE)</f>
        <v>0</v>
      </c>
      <c r="V156" t="b">
        <f>IF(OR(CleanedSalesData[[#This Row],[Order Status]]="Cancelled", CleanedSalesData[[#This Row],[Order Status]]="Returned"), TRUE, FALSE)</f>
        <v>0</v>
      </c>
      <c r="W156" t="str" cm="1">
        <f t="array" ref="W15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7" spans="1:23" x14ac:dyDescent="0.35">
      <c r="A157" t="s">
        <v>260</v>
      </c>
      <c r="B157" s="7">
        <v>46103</v>
      </c>
      <c r="C157" t="s">
        <v>947</v>
      </c>
      <c r="D157">
        <v>3</v>
      </c>
      <c r="E157" t="s">
        <v>111</v>
      </c>
      <c r="F157" t="s">
        <v>70</v>
      </c>
      <c r="G157" t="s">
        <v>32</v>
      </c>
      <c r="H157" t="s">
        <v>33</v>
      </c>
      <c r="I157" t="s">
        <v>42</v>
      </c>
      <c r="J157" t="s">
        <v>43</v>
      </c>
      <c r="K157" t="s">
        <v>44</v>
      </c>
      <c r="L157">
        <v>7</v>
      </c>
      <c r="M157" s="10">
        <v>0.05</v>
      </c>
      <c r="N157" s="11">
        <v>1828750</v>
      </c>
      <c r="O157" s="11">
        <v>1085000</v>
      </c>
      <c r="P157" s="11">
        <v>743750</v>
      </c>
      <c r="Q157" t="s">
        <v>37</v>
      </c>
      <c r="R157" t="b">
        <f>COUNTIF($A$6     : CleanedSalesData[[#This Row],[Order ID]], CleanedSalesData[[#This Row],[Order ID]])&gt;1</f>
        <v>0</v>
      </c>
      <c r="S157" t="b">
        <f>IF(ISBLANK(CleanedSalesData[[#This Row],[Quantity]]), TRUE, FALSE)</f>
        <v>0</v>
      </c>
      <c r="T157" t="b">
        <f>IF(ISBLANK(CleanedSalesData[[#This Row],[Order Date]]), TRUE, FALSE)</f>
        <v>0</v>
      </c>
      <c r="U157" t="b">
        <f>IF(ISBLANK(CleanedSalesData[[#This Row],[Revenue]]), TRUE, FALSE)</f>
        <v>0</v>
      </c>
      <c r="V157" t="b">
        <f>IF(OR(CleanedSalesData[[#This Row],[Order Status]]="Cancelled", CleanedSalesData[[#This Row],[Order Status]]="Returned"), TRUE, FALSE)</f>
        <v>0</v>
      </c>
      <c r="W157" t="str" cm="1">
        <f t="array" ref="W15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8" spans="1:23" x14ac:dyDescent="0.35">
      <c r="A158" t="s">
        <v>261</v>
      </c>
      <c r="B158" s="7">
        <v>46046</v>
      </c>
      <c r="C158" t="s">
        <v>948</v>
      </c>
      <c r="D158">
        <v>1</v>
      </c>
      <c r="E158" t="s">
        <v>95</v>
      </c>
      <c r="F158" t="s">
        <v>70</v>
      </c>
      <c r="G158" t="s">
        <v>32</v>
      </c>
      <c r="H158" t="s">
        <v>33</v>
      </c>
      <c r="I158" t="s">
        <v>49</v>
      </c>
      <c r="J158" t="s">
        <v>50</v>
      </c>
      <c r="K158" t="s">
        <v>51</v>
      </c>
      <c r="L158">
        <v>2</v>
      </c>
      <c r="M158" s="10">
        <v>0</v>
      </c>
      <c r="N158" s="11">
        <v>490000</v>
      </c>
      <c r="O158" s="11">
        <v>290000</v>
      </c>
      <c r="P158" s="11">
        <v>200000</v>
      </c>
      <c r="Q158" t="s">
        <v>63</v>
      </c>
      <c r="R158" t="b">
        <f>COUNTIF($A$6     : CleanedSalesData[[#This Row],[Order ID]], CleanedSalesData[[#This Row],[Order ID]])&gt;1</f>
        <v>0</v>
      </c>
      <c r="S158" t="b">
        <f>IF(ISBLANK(CleanedSalesData[[#This Row],[Quantity]]), TRUE, FALSE)</f>
        <v>0</v>
      </c>
      <c r="T158" t="b">
        <f>IF(ISBLANK(CleanedSalesData[[#This Row],[Order Date]]), TRUE, FALSE)</f>
        <v>0</v>
      </c>
      <c r="U158" t="b">
        <f>IF(ISBLANK(CleanedSalesData[[#This Row],[Revenue]]), TRUE, FALSE)</f>
        <v>0</v>
      </c>
      <c r="V158" t="b">
        <f>IF(OR(CleanedSalesData[[#This Row],[Order Status]]="Cancelled", CleanedSalesData[[#This Row],[Order Status]]="Returned"), TRUE, FALSE)</f>
        <v>0</v>
      </c>
      <c r="W158" t="str" cm="1">
        <f t="array" ref="W15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59" spans="1:23" x14ac:dyDescent="0.35">
      <c r="A159" t="s">
        <v>262</v>
      </c>
      <c r="B159" s="7">
        <v>46194</v>
      </c>
      <c r="C159" t="s">
        <v>945</v>
      </c>
      <c r="D159">
        <v>6</v>
      </c>
      <c r="E159" t="s">
        <v>76</v>
      </c>
      <c r="F159" t="s">
        <v>59</v>
      </c>
      <c r="G159" t="s">
        <v>41</v>
      </c>
      <c r="H159" t="s">
        <v>33</v>
      </c>
      <c r="I159" t="s">
        <v>55</v>
      </c>
      <c r="J159" t="s">
        <v>56</v>
      </c>
      <c r="K159" t="s">
        <v>36</v>
      </c>
      <c r="L159">
        <v>2</v>
      </c>
      <c r="M159" s="10">
        <v>0.08</v>
      </c>
      <c r="N159" s="11">
        <v>3404000</v>
      </c>
      <c r="O159" s="11">
        <v>2640000</v>
      </c>
      <c r="P159" s="11">
        <v>764000</v>
      </c>
      <c r="Q159" t="s">
        <v>57</v>
      </c>
      <c r="R159" t="b">
        <f>COUNTIF($A$6     : CleanedSalesData[[#This Row],[Order ID]], CleanedSalesData[[#This Row],[Order ID]])&gt;1</f>
        <v>0</v>
      </c>
      <c r="S159" t="b">
        <f>IF(ISBLANK(CleanedSalesData[[#This Row],[Quantity]]), TRUE, FALSE)</f>
        <v>0</v>
      </c>
      <c r="T159" t="b">
        <f>IF(ISBLANK(CleanedSalesData[[#This Row],[Order Date]]), TRUE, FALSE)</f>
        <v>0</v>
      </c>
      <c r="U159" t="b">
        <f>IF(ISBLANK(CleanedSalesData[[#This Row],[Revenue]]), TRUE, FALSE)</f>
        <v>0</v>
      </c>
      <c r="V159" t="b">
        <f>IF(OR(CleanedSalesData[[#This Row],[Order Status]]="Cancelled", CleanedSalesData[[#This Row],[Order Status]]="Returned"), TRUE, FALSE)</f>
        <v>0</v>
      </c>
      <c r="W159" t="str" cm="1">
        <f t="array" ref="W15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0" spans="1:23" x14ac:dyDescent="0.35">
      <c r="A160" t="s">
        <v>263</v>
      </c>
      <c r="B160" s="7">
        <v>46113</v>
      </c>
      <c r="C160" t="s">
        <v>949</v>
      </c>
      <c r="D160">
        <v>4</v>
      </c>
      <c r="E160" t="s">
        <v>39</v>
      </c>
      <c r="F160" t="s">
        <v>31</v>
      </c>
      <c r="G160" t="s">
        <v>48</v>
      </c>
      <c r="H160" t="s">
        <v>33</v>
      </c>
      <c r="I160" t="s">
        <v>60</v>
      </c>
      <c r="J160" t="s">
        <v>61</v>
      </c>
      <c r="K160" t="s">
        <v>62</v>
      </c>
      <c r="L160">
        <v>2</v>
      </c>
      <c r="M160" s="10">
        <v>0.1</v>
      </c>
      <c r="N160" s="11">
        <v>117000</v>
      </c>
      <c r="O160" s="11">
        <v>62000</v>
      </c>
      <c r="P160" s="11">
        <v>55000</v>
      </c>
      <c r="Q160" t="s">
        <v>37</v>
      </c>
      <c r="R160" t="b">
        <f>COUNTIF($A$6     : CleanedSalesData[[#This Row],[Order ID]], CleanedSalesData[[#This Row],[Order ID]])&gt;1</f>
        <v>0</v>
      </c>
      <c r="S160" t="b">
        <f>IF(ISBLANK(CleanedSalesData[[#This Row],[Quantity]]), TRUE, FALSE)</f>
        <v>0</v>
      </c>
      <c r="T160" t="b">
        <f>IF(ISBLANK(CleanedSalesData[[#This Row],[Order Date]]), TRUE, FALSE)</f>
        <v>0</v>
      </c>
      <c r="U160" t="b">
        <f>IF(ISBLANK(CleanedSalesData[[#This Row],[Revenue]]), TRUE, FALSE)</f>
        <v>0</v>
      </c>
      <c r="V160" t="b">
        <f>IF(OR(CleanedSalesData[[#This Row],[Order Status]]="Cancelled", CleanedSalesData[[#This Row],[Order Status]]="Returned"), TRUE, FALSE)</f>
        <v>0</v>
      </c>
      <c r="W160" t="str" cm="1">
        <f t="array" ref="W16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1" spans="1:23" x14ac:dyDescent="0.35">
      <c r="A161" t="s">
        <v>264</v>
      </c>
      <c r="B161" s="7">
        <v>46112</v>
      </c>
      <c r="C161" t="s">
        <v>947</v>
      </c>
      <c r="D161">
        <v>3</v>
      </c>
      <c r="E161" t="s">
        <v>65</v>
      </c>
      <c r="F161" t="s">
        <v>47</v>
      </c>
      <c r="G161" t="s">
        <v>32</v>
      </c>
      <c r="H161" t="s">
        <v>33</v>
      </c>
      <c r="I161" t="s">
        <v>66</v>
      </c>
      <c r="J161" t="s">
        <v>67</v>
      </c>
      <c r="K161" t="s">
        <v>51</v>
      </c>
      <c r="L161">
        <v>6</v>
      </c>
      <c r="M161" s="10">
        <v>0</v>
      </c>
      <c r="N161" s="11">
        <v>1860000</v>
      </c>
      <c r="O161" s="11">
        <v>1140000</v>
      </c>
      <c r="P161" s="11">
        <v>720000</v>
      </c>
      <c r="Q161" t="s">
        <v>74</v>
      </c>
      <c r="R161" t="b">
        <f>COUNTIF($A$6     : CleanedSalesData[[#This Row],[Order ID]], CleanedSalesData[[#This Row],[Order ID]])&gt;1</f>
        <v>0</v>
      </c>
      <c r="S161" t="b">
        <f>IF(ISBLANK(CleanedSalesData[[#This Row],[Quantity]]), TRUE, FALSE)</f>
        <v>0</v>
      </c>
      <c r="T161" t="b">
        <f>IF(ISBLANK(CleanedSalesData[[#This Row],[Order Date]]), TRUE, FALSE)</f>
        <v>0</v>
      </c>
      <c r="U161" t="b">
        <f>IF(ISBLANK(CleanedSalesData[[#This Row],[Revenue]]), TRUE, FALSE)</f>
        <v>0</v>
      </c>
      <c r="V161" t="b">
        <f>IF(OR(CleanedSalesData[[#This Row],[Order Status]]="Cancelled", CleanedSalesData[[#This Row],[Order Status]]="Returned"), TRUE, FALSE)</f>
        <v>0</v>
      </c>
      <c r="W161" t="str" cm="1">
        <f t="array" ref="W16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2" spans="1:23" x14ac:dyDescent="0.35">
      <c r="A162" t="s">
        <v>265</v>
      </c>
      <c r="B162" s="7">
        <v>46178</v>
      </c>
      <c r="C162" t="s">
        <v>945</v>
      </c>
      <c r="D162">
        <v>6</v>
      </c>
      <c r="E162" t="s">
        <v>54</v>
      </c>
      <c r="F162" t="s">
        <v>70</v>
      </c>
      <c r="G162" t="s">
        <v>81</v>
      </c>
      <c r="H162" t="s">
        <v>33</v>
      </c>
      <c r="I162" t="s">
        <v>71</v>
      </c>
      <c r="J162" t="s">
        <v>72</v>
      </c>
      <c r="K162" t="s">
        <v>73</v>
      </c>
      <c r="L162">
        <v>5</v>
      </c>
      <c r="M162" s="10">
        <v>0</v>
      </c>
      <c r="N162" s="11">
        <v>625000</v>
      </c>
      <c r="O162" s="11">
        <v>350000</v>
      </c>
      <c r="P162" s="11">
        <v>275000</v>
      </c>
      <c r="Q162" t="s">
        <v>74</v>
      </c>
      <c r="R162" t="b">
        <f>COUNTIF($A$6     : CleanedSalesData[[#This Row],[Order ID]], CleanedSalesData[[#This Row],[Order ID]])&gt;1</f>
        <v>0</v>
      </c>
      <c r="S162" t="b">
        <f>IF(ISBLANK(CleanedSalesData[[#This Row],[Quantity]]), TRUE, FALSE)</f>
        <v>0</v>
      </c>
      <c r="T162" t="b">
        <f>IF(ISBLANK(CleanedSalesData[[#This Row],[Order Date]]), TRUE, FALSE)</f>
        <v>0</v>
      </c>
      <c r="U162" t="b">
        <f>IF(ISBLANK(CleanedSalesData[[#This Row],[Revenue]]), TRUE, FALSE)</f>
        <v>0</v>
      </c>
      <c r="V162" t="b">
        <f>IF(OR(CleanedSalesData[[#This Row],[Order Status]]="Cancelled", CleanedSalesData[[#This Row],[Order Status]]="Returned"), TRUE, FALSE)</f>
        <v>0</v>
      </c>
      <c r="W162" t="str" cm="1">
        <f t="array" ref="W16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3" spans="1:23" x14ac:dyDescent="0.35">
      <c r="A163" t="s">
        <v>266</v>
      </c>
      <c r="B163" s="7">
        <v>46069</v>
      </c>
      <c r="C163" t="s">
        <v>944</v>
      </c>
      <c r="D163">
        <v>2</v>
      </c>
      <c r="E163" t="s">
        <v>95</v>
      </c>
      <c r="F163" t="s">
        <v>40</v>
      </c>
      <c r="G163" t="s">
        <v>32</v>
      </c>
      <c r="H163" t="s">
        <v>33</v>
      </c>
      <c r="I163" t="s">
        <v>78</v>
      </c>
      <c r="J163" t="s">
        <v>79</v>
      </c>
      <c r="K163" t="s">
        <v>62</v>
      </c>
      <c r="L163">
        <v>3</v>
      </c>
      <c r="M163" s="10">
        <v>0.1</v>
      </c>
      <c r="N163" s="11">
        <v>229500</v>
      </c>
      <c r="O163" s="11">
        <v>129000</v>
      </c>
      <c r="P163" s="11">
        <v>100500</v>
      </c>
      <c r="Q163" t="s">
        <v>37</v>
      </c>
      <c r="R163" t="b">
        <f>COUNTIF($A$6     : CleanedSalesData[[#This Row],[Order ID]], CleanedSalesData[[#This Row],[Order ID]])&gt;1</f>
        <v>0</v>
      </c>
      <c r="S163" t="b">
        <f>IF(ISBLANK(CleanedSalesData[[#This Row],[Quantity]]), TRUE, FALSE)</f>
        <v>0</v>
      </c>
      <c r="T163" t="b">
        <f>IF(ISBLANK(CleanedSalesData[[#This Row],[Order Date]]), TRUE, FALSE)</f>
        <v>0</v>
      </c>
      <c r="U163" t="b">
        <f>IF(ISBLANK(CleanedSalesData[[#This Row],[Revenue]]), TRUE, FALSE)</f>
        <v>0</v>
      </c>
      <c r="V163" t="b">
        <f>IF(OR(CleanedSalesData[[#This Row],[Order Status]]="Cancelled", CleanedSalesData[[#This Row],[Order Status]]="Returned"), TRUE, FALSE)</f>
        <v>0</v>
      </c>
      <c r="W163" t="str" cm="1">
        <f t="array" ref="W16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4" spans="1:23" x14ac:dyDescent="0.35">
      <c r="A164" t="s">
        <v>267</v>
      </c>
      <c r="B164" s="7">
        <v>46158</v>
      </c>
      <c r="C164" t="s">
        <v>946</v>
      </c>
      <c r="D164">
        <v>5</v>
      </c>
      <c r="E164" t="s">
        <v>54</v>
      </c>
      <c r="F164" t="s">
        <v>70</v>
      </c>
      <c r="G164" t="s">
        <v>32</v>
      </c>
      <c r="H164" t="s">
        <v>33</v>
      </c>
      <c r="I164" t="s">
        <v>82</v>
      </c>
      <c r="J164" t="s">
        <v>83</v>
      </c>
      <c r="K164" t="s">
        <v>44</v>
      </c>
      <c r="L164">
        <v>4</v>
      </c>
      <c r="M164" s="10">
        <v>0.08</v>
      </c>
      <c r="N164" s="11">
        <v>5336000</v>
      </c>
      <c r="O164" s="11">
        <v>3920000</v>
      </c>
      <c r="P164" s="11">
        <v>1416000</v>
      </c>
      <c r="Q164" t="s">
        <v>57</v>
      </c>
      <c r="R164" t="b">
        <f>COUNTIF($A$6     : CleanedSalesData[[#This Row],[Order ID]], CleanedSalesData[[#This Row],[Order ID]])&gt;1</f>
        <v>0</v>
      </c>
      <c r="S164" t="b">
        <f>IF(ISBLANK(CleanedSalesData[[#This Row],[Quantity]]), TRUE, FALSE)</f>
        <v>0</v>
      </c>
      <c r="T164" t="b">
        <f>IF(ISBLANK(CleanedSalesData[[#This Row],[Order Date]]), TRUE, FALSE)</f>
        <v>0</v>
      </c>
      <c r="U164" t="b">
        <f>IF(ISBLANK(CleanedSalesData[[#This Row],[Revenue]]), TRUE, FALSE)</f>
        <v>0</v>
      </c>
      <c r="V164" t="b">
        <f>IF(OR(CleanedSalesData[[#This Row],[Order Status]]="Cancelled", CleanedSalesData[[#This Row],[Order Status]]="Returned"), TRUE, FALSE)</f>
        <v>0</v>
      </c>
      <c r="W164" t="str" cm="1">
        <f t="array" ref="W16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5" spans="1:23" x14ac:dyDescent="0.35">
      <c r="A165" t="s">
        <v>268</v>
      </c>
      <c r="B165" s="7">
        <v>46106</v>
      </c>
      <c r="C165" t="s">
        <v>947</v>
      </c>
      <c r="D165">
        <v>3</v>
      </c>
      <c r="E165" t="s">
        <v>69</v>
      </c>
      <c r="F165" t="s">
        <v>47</v>
      </c>
      <c r="G165" t="s">
        <v>41</v>
      </c>
      <c r="H165" t="s">
        <v>33</v>
      </c>
      <c r="I165" t="s">
        <v>86</v>
      </c>
      <c r="J165" t="s">
        <v>87</v>
      </c>
      <c r="K165" t="s">
        <v>36</v>
      </c>
      <c r="L165">
        <v>2</v>
      </c>
      <c r="M165" s="10">
        <v>0</v>
      </c>
      <c r="N165" s="11">
        <v>700000</v>
      </c>
      <c r="O165" s="11">
        <v>420000</v>
      </c>
      <c r="P165" s="11">
        <v>280000</v>
      </c>
      <c r="Q165" t="s">
        <v>57</v>
      </c>
      <c r="R165" t="b">
        <f>COUNTIF($A$6     : CleanedSalesData[[#This Row],[Order ID]], CleanedSalesData[[#This Row],[Order ID]])&gt;1</f>
        <v>0</v>
      </c>
      <c r="S165" t="b">
        <f>IF(ISBLANK(CleanedSalesData[[#This Row],[Quantity]]), TRUE, FALSE)</f>
        <v>0</v>
      </c>
      <c r="T165" t="b">
        <f>IF(ISBLANK(CleanedSalesData[[#This Row],[Order Date]]), TRUE, FALSE)</f>
        <v>0</v>
      </c>
      <c r="U165" t="b">
        <f>IF(ISBLANK(CleanedSalesData[[#This Row],[Revenue]]), TRUE, FALSE)</f>
        <v>0</v>
      </c>
      <c r="V165" t="b">
        <f>IF(OR(CleanedSalesData[[#This Row],[Order Status]]="Cancelled", CleanedSalesData[[#This Row],[Order Status]]="Returned"), TRUE, FALSE)</f>
        <v>0</v>
      </c>
      <c r="W165" t="str" cm="1">
        <f t="array" ref="W16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6" spans="1:23" x14ac:dyDescent="0.35">
      <c r="A166" t="s">
        <v>269</v>
      </c>
      <c r="B166" s="7">
        <v>46136</v>
      </c>
      <c r="C166" t="s">
        <v>949</v>
      </c>
      <c r="D166">
        <v>4</v>
      </c>
      <c r="E166" t="s">
        <v>39</v>
      </c>
      <c r="F166" t="s">
        <v>59</v>
      </c>
      <c r="G166" t="s">
        <v>81</v>
      </c>
      <c r="H166" t="s">
        <v>33</v>
      </c>
      <c r="I166" t="s">
        <v>34</v>
      </c>
      <c r="J166" t="s">
        <v>35</v>
      </c>
      <c r="K166" t="s">
        <v>36</v>
      </c>
      <c r="L166">
        <v>7</v>
      </c>
      <c r="M166" s="10">
        <v>0.08</v>
      </c>
      <c r="N166" s="11">
        <v>3059000</v>
      </c>
      <c r="O166" s="11">
        <v>1995000</v>
      </c>
      <c r="P166" s="11">
        <v>1064000</v>
      </c>
      <c r="Q166" t="s">
        <v>37</v>
      </c>
      <c r="R166" t="b">
        <f>COUNTIF($A$6     : CleanedSalesData[[#This Row],[Order ID]], CleanedSalesData[[#This Row],[Order ID]])&gt;1</f>
        <v>0</v>
      </c>
      <c r="S166" t="b">
        <f>IF(ISBLANK(CleanedSalesData[[#This Row],[Quantity]]), TRUE, FALSE)</f>
        <v>0</v>
      </c>
      <c r="T166" t="b">
        <f>IF(ISBLANK(CleanedSalesData[[#This Row],[Order Date]]), TRUE, FALSE)</f>
        <v>0</v>
      </c>
      <c r="U166" t="b">
        <f>IF(ISBLANK(CleanedSalesData[[#This Row],[Revenue]]), TRUE, FALSE)</f>
        <v>0</v>
      </c>
      <c r="V166" t="b">
        <f>IF(OR(CleanedSalesData[[#This Row],[Order Status]]="Cancelled", CleanedSalesData[[#This Row],[Order Status]]="Returned"), TRUE, FALSE)</f>
        <v>0</v>
      </c>
      <c r="W166" t="str" cm="1">
        <f t="array" ref="W16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7" spans="1:23" x14ac:dyDescent="0.35">
      <c r="A167" t="s">
        <v>270</v>
      </c>
      <c r="B167" s="7">
        <v>46111</v>
      </c>
      <c r="C167" t="s">
        <v>947</v>
      </c>
      <c r="D167">
        <v>3</v>
      </c>
      <c r="E167" t="s">
        <v>76</v>
      </c>
      <c r="F167" t="s">
        <v>47</v>
      </c>
      <c r="G167" t="s">
        <v>48</v>
      </c>
      <c r="H167" t="s">
        <v>33</v>
      </c>
      <c r="I167" t="s">
        <v>42</v>
      </c>
      <c r="J167" t="s">
        <v>43</v>
      </c>
      <c r="K167" t="s">
        <v>44</v>
      </c>
      <c r="L167">
        <v>7</v>
      </c>
      <c r="M167" s="10">
        <v>0</v>
      </c>
      <c r="N167" s="11">
        <v>1925000</v>
      </c>
      <c r="O167" s="11">
        <v>1085000</v>
      </c>
      <c r="P167" s="11">
        <v>840000</v>
      </c>
      <c r="Q167" t="s">
        <v>74</v>
      </c>
      <c r="R167" t="b">
        <f>COUNTIF($A$6     : CleanedSalesData[[#This Row],[Order ID]], CleanedSalesData[[#This Row],[Order ID]])&gt;1</f>
        <v>0</v>
      </c>
      <c r="S167" t="b">
        <f>IF(ISBLANK(CleanedSalesData[[#This Row],[Quantity]]), TRUE, FALSE)</f>
        <v>0</v>
      </c>
      <c r="T167" t="b">
        <f>IF(ISBLANK(CleanedSalesData[[#This Row],[Order Date]]), TRUE, FALSE)</f>
        <v>0</v>
      </c>
      <c r="U167" t="b">
        <f>IF(ISBLANK(CleanedSalesData[[#This Row],[Revenue]]), TRUE, FALSE)</f>
        <v>0</v>
      </c>
      <c r="V167" t="b">
        <f>IF(OR(CleanedSalesData[[#This Row],[Order Status]]="Cancelled", CleanedSalesData[[#This Row],[Order Status]]="Returned"), TRUE, FALSE)</f>
        <v>0</v>
      </c>
      <c r="W167" t="str" cm="1">
        <f t="array" ref="W16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8" spans="1:23" x14ac:dyDescent="0.35">
      <c r="A168" t="s">
        <v>271</v>
      </c>
      <c r="B168" s="7">
        <v>46079</v>
      </c>
      <c r="C168" t="s">
        <v>944</v>
      </c>
      <c r="D168">
        <v>2</v>
      </c>
      <c r="E168" t="s">
        <v>39</v>
      </c>
      <c r="F168" t="s">
        <v>31</v>
      </c>
      <c r="G168" t="s">
        <v>81</v>
      </c>
      <c r="H168" t="s">
        <v>33</v>
      </c>
      <c r="I168" t="s">
        <v>49</v>
      </c>
      <c r="J168" t="s">
        <v>50</v>
      </c>
      <c r="K168" t="s">
        <v>51</v>
      </c>
      <c r="L168">
        <v>7</v>
      </c>
      <c r="M168" s="10">
        <v>0.1</v>
      </c>
      <c r="N168" s="11">
        <v>1543500</v>
      </c>
      <c r="O168" s="11">
        <v>1015000</v>
      </c>
      <c r="P168" s="11">
        <v>528500</v>
      </c>
      <c r="Q168" t="s">
        <v>84</v>
      </c>
      <c r="R168" t="b">
        <f>COUNTIF($A$6     : CleanedSalesData[[#This Row],[Order ID]], CleanedSalesData[[#This Row],[Order ID]])&gt;1</f>
        <v>0</v>
      </c>
      <c r="S168" t="b">
        <f>IF(ISBLANK(CleanedSalesData[[#This Row],[Quantity]]), TRUE, FALSE)</f>
        <v>0</v>
      </c>
      <c r="T168" t="b">
        <f>IF(ISBLANK(CleanedSalesData[[#This Row],[Order Date]]), TRUE, FALSE)</f>
        <v>0</v>
      </c>
      <c r="U168" t="b">
        <f>IF(ISBLANK(CleanedSalesData[[#This Row],[Revenue]]), TRUE, FALSE)</f>
        <v>0</v>
      </c>
      <c r="V168" t="b">
        <f>IF(OR(CleanedSalesData[[#This Row],[Order Status]]="Cancelled", CleanedSalesData[[#This Row],[Order Status]]="Returned"), TRUE, FALSE)</f>
        <v>0</v>
      </c>
      <c r="W168" t="str" cm="1">
        <f t="array" ref="W16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69" spans="1:23" x14ac:dyDescent="0.35">
      <c r="A169" t="s">
        <v>272</v>
      </c>
      <c r="B169" s="7">
        <v>46088</v>
      </c>
      <c r="C169" t="s">
        <v>947</v>
      </c>
      <c r="D169">
        <v>3</v>
      </c>
      <c r="E169" t="s">
        <v>30</v>
      </c>
      <c r="F169" t="s">
        <v>59</v>
      </c>
      <c r="G169" t="s">
        <v>48</v>
      </c>
      <c r="H169" t="s">
        <v>33</v>
      </c>
      <c r="I169" t="s">
        <v>55</v>
      </c>
      <c r="J169" t="s">
        <v>56</v>
      </c>
      <c r="K169" t="s">
        <v>36</v>
      </c>
      <c r="L169">
        <v>5</v>
      </c>
      <c r="M169" s="10">
        <v>0.05</v>
      </c>
      <c r="N169" s="11">
        <v>8787500</v>
      </c>
      <c r="O169" s="11">
        <v>6600000</v>
      </c>
      <c r="P169" s="11">
        <v>2187500</v>
      </c>
      <c r="Q169" t="s">
        <v>84</v>
      </c>
      <c r="R169" t="b">
        <f>COUNTIF($A$6     : CleanedSalesData[[#This Row],[Order ID]], CleanedSalesData[[#This Row],[Order ID]])&gt;1</f>
        <v>0</v>
      </c>
      <c r="S169" t="b">
        <f>IF(ISBLANK(CleanedSalesData[[#This Row],[Quantity]]), TRUE, FALSE)</f>
        <v>0</v>
      </c>
      <c r="T169" t="b">
        <f>IF(ISBLANK(CleanedSalesData[[#This Row],[Order Date]]), TRUE, FALSE)</f>
        <v>0</v>
      </c>
      <c r="U169" t="b">
        <f>IF(ISBLANK(CleanedSalesData[[#This Row],[Revenue]]), TRUE, FALSE)</f>
        <v>0</v>
      </c>
      <c r="V169" t="b">
        <f>IF(OR(CleanedSalesData[[#This Row],[Order Status]]="Cancelled", CleanedSalesData[[#This Row],[Order Status]]="Returned"), TRUE, FALSE)</f>
        <v>0</v>
      </c>
      <c r="W169" t="str" cm="1">
        <f t="array" ref="W16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70" spans="1:23" x14ac:dyDescent="0.35">
      <c r="A170" t="s">
        <v>274</v>
      </c>
      <c r="B170" s="7">
        <v>46120</v>
      </c>
      <c r="C170" t="s">
        <v>949</v>
      </c>
      <c r="D170">
        <v>4</v>
      </c>
      <c r="E170" t="s">
        <v>65</v>
      </c>
      <c r="F170" t="s">
        <v>70</v>
      </c>
      <c r="G170" t="s">
        <v>41</v>
      </c>
      <c r="H170" t="s">
        <v>33</v>
      </c>
      <c r="I170" t="s">
        <v>60</v>
      </c>
      <c r="J170" t="s">
        <v>61</v>
      </c>
      <c r="K170" t="s">
        <v>62</v>
      </c>
      <c r="L170">
        <v>4</v>
      </c>
      <c r="M170" s="10">
        <v>0.1</v>
      </c>
      <c r="N170" s="11">
        <v>234000</v>
      </c>
      <c r="O170" s="11">
        <v>124000</v>
      </c>
      <c r="P170" s="11">
        <v>110000</v>
      </c>
      <c r="Q170" t="s">
        <v>74</v>
      </c>
      <c r="R170" t="b">
        <f>COUNTIF($A$6     : CleanedSalesData[[#This Row],[Order ID]], CleanedSalesData[[#This Row],[Order ID]])&gt;1</f>
        <v>0</v>
      </c>
      <c r="S170" t="b">
        <f>IF(ISBLANK(CleanedSalesData[[#This Row],[Quantity]]), TRUE, FALSE)</f>
        <v>0</v>
      </c>
      <c r="T170" t="b">
        <f>IF(ISBLANK(CleanedSalesData[[#This Row],[Order Date]]), TRUE, FALSE)</f>
        <v>0</v>
      </c>
      <c r="U170" t="b">
        <f>IF(ISBLANK(CleanedSalesData[[#This Row],[Revenue]]), TRUE, FALSE)</f>
        <v>0</v>
      </c>
      <c r="V170" t="b">
        <f>IF(OR(CleanedSalesData[[#This Row],[Order Status]]="Cancelled", CleanedSalesData[[#This Row],[Order Status]]="Returned"), TRUE, FALSE)</f>
        <v>0</v>
      </c>
      <c r="W170" t="str" cm="1">
        <f t="array" ref="W17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71" spans="1:23" x14ac:dyDescent="0.35">
      <c r="A171" t="s">
        <v>275</v>
      </c>
      <c r="E171" t="s">
        <v>65</v>
      </c>
      <c r="F171" t="s">
        <v>47</v>
      </c>
      <c r="G171" t="s">
        <v>48</v>
      </c>
      <c r="H171" t="s">
        <v>112</v>
      </c>
      <c r="I171" t="s">
        <v>66</v>
      </c>
      <c r="J171" t="s">
        <v>67</v>
      </c>
      <c r="K171" t="s">
        <v>51</v>
      </c>
      <c r="L171">
        <v>1</v>
      </c>
      <c r="M171" s="10">
        <v>0.08</v>
      </c>
      <c r="N171" s="11">
        <v>71300</v>
      </c>
      <c r="O171" s="11">
        <v>190000</v>
      </c>
      <c r="P171" s="11">
        <v>-118700</v>
      </c>
      <c r="Q171" t="s">
        <v>93</v>
      </c>
      <c r="R171" t="b">
        <f>COUNTIF($A$6     : CleanedSalesData[[#This Row],[Order ID]], CleanedSalesData[[#This Row],[Order ID]])&gt;1</f>
        <v>0</v>
      </c>
      <c r="S171" t="b">
        <f>IF(ISBLANK(CleanedSalesData[[#This Row],[Quantity]]), TRUE, FALSE)</f>
        <v>0</v>
      </c>
      <c r="T171" t="b">
        <f>IF(ISBLANK(CleanedSalesData[[#This Row],[Order Date]]), TRUE, FALSE)</f>
        <v>1</v>
      </c>
      <c r="U171" t="b">
        <f>IF(ISBLANK(CleanedSalesData[[#This Row],[Revenue]]), TRUE, FALSE)</f>
        <v>0</v>
      </c>
      <c r="V171" t="b">
        <f>IF(OR(CleanedSalesData[[#This Row],[Order Status]]="Cancelled", CleanedSalesData[[#This Row],[Order Status]]="Returned"), TRUE, FALSE)</f>
        <v>1</v>
      </c>
      <c r="W171" t="str" cm="1">
        <f t="array" ref="W17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Date</v>
      </c>
    </row>
    <row r="172" spans="1:23" x14ac:dyDescent="0.35">
      <c r="A172" t="s">
        <v>276</v>
      </c>
      <c r="B172" s="7">
        <v>46097</v>
      </c>
      <c r="C172" t="s">
        <v>947</v>
      </c>
      <c r="D172">
        <v>3</v>
      </c>
      <c r="E172" t="s">
        <v>111</v>
      </c>
      <c r="F172" t="s">
        <v>70</v>
      </c>
      <c r="G172" t="s">
        <v>32</v>
      </c>
      <c r="H172" t="s">
        <v>33</v>
      </c>
      <c r="I172" t="s">
        <v>71</v>
      </c>
      <c r="J172" t="s">
        <v>72</v>
      </c>
      <c r="K172" t="s">
        <v>73</v>
      </c>
      <c r="L172">
        <v>2</v>
      </c>
      <c r="M172" s="10">
        <v>0.08</v>
      </c>
      <c r="N172" s="11">
        <v>230000</v>
      </c>
      <c r="O172" s="11">
        <v>140000</v>
      </c>
      <c r="P172" s="11">
        <v>90000</v>
      </c>
      <c r="Q172" t="s">
        <v>63</v>
      </c>
      <c r="R172" t="b">
        <f>COUNTIF($A$6     : CleanedSalesData[[#This Row],[Order ID]], CleanedSalesData[[#This Row],[Order ID]])&gt;1</f>
        <v>0</v>
      </c>
      <c r="S172" t="b">
        <f>IF(ISBLANK(CleanedSalesData[[#This Row],[Quantity]]), TRUE, FALSE)</f>
        <v>0</v>
      </c>
      <c r="T172" t="b">
        <f>IF(ISBLANK(CleanedSalesData[[#This Row],[Order Date]]), TRUE, FALSE)</f>
        <v>0</v>
      </c>
      <c r="U172" t="b">
        <f>IF(ISBLANK(CleanedSalesData[[#This Row],[Revenue]]), TRUE, FALSE)</f>
        <v>0</v>
      </c>
      <c r="V172" t="b">
        <f>IF(OR(CleanedSalesData[[#This Row],[Order Status]]="Cancelled", CleanedSalesData[[#This Row],[Order Status]]="Returned"), TRUE, FALSE)</f>
        <v>0</v>
      </c>
      <c r="W172" t="str" cm="1">
        <f t="array" ref="W17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73" spans="1:23" x14ac:dyDescent="0.35">
      <c r="A173" t="s">
        <v>277</v>
      </c>
      <c r="B173" s="7">
        <v>46045</v>
      </c>
      <c r="C173" t="s">
        <v>948</v>
      </c>
      <c r="D173">
        <v>1</v>
      </c>
      <c r="E173" t="s">
        <v>69</v>
      </c>
      <c r="F173" t="s">
        <v>47</v>
      </c>
      <c r="G173" t="s">
        <v>48</v>
      </c>
      <c r="H173" t="s">
        <v>33</v>
      </c>
      <c r="I173" t="s">
        <v>78</v>
      </c>
      <c r="J173" t="s">
        <v>79</v>
      </c>
      <c r="K173" t="s">
        <v>62</v>
      </c>
      <c r="L173">
        <v>7</v>
      </c>
      <c r="M173" s="10">
        <v>0</v>
      </c>
      <c r="N173" s="11">
        <v>595000</v>
      </c>
      <c r="O173" s="11">
        <v>301000</v>
      </c>
      <c r="P173" s="11">
        <v>294000</v>
      </c>
      <c r="Q173" t="s">
        <v>93</v>
      </c>
      <c r="R173" t="b">
        <f>COUNTIF($A$6     : CleanedSalesData[[#This Row],[Order ID]], CleanedSalesData[[#This Row],[Order ID]])&gt;1</f>
        <v>0</v>
      </c>
      <c r="S173" t="b">
        <f>IF(ISBLANK(CleanedSalesData[[#This Row],[Quantity]]), TRUE, FALSE)</f>
        <v>0</v>
      </c>
      <c r="T173" t="b">
        <f>IF(ISBLANK(CleanedSalesData[[#This Row],[Order Date]]), TRUE, FALSE)</f>
        <v>0</v>
      </c>
      <c r="U173" t="b">
        <f>IF(ISBLANK(CleanedSalesData[[#This Row],[Revenue]]), TRUE, FALSE)</f>
        <v>0</v>
      </c>
      <c r="V173" t="b">
        <f>IF(OR(CleanedSalesData[[#This Row],[Order Status]]="Cancelled", CleanedSalesData[[#This Row],[Order Status]]="Returned"), TRUE, FALSE)</f>
        <v>0</v>
      </c>
      <c r="W173" t="str" cm="1">
        <f t="array" ref="W17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74" spans="1:23" x14ac:dyDescent="0.35">
      <c r="A174" t="s">
        <v>278</v>
      </c>
      <c r="B174" s="7">
        <v>46102</v>
      </c>
      <c r="C174" t="s">
        <v>947</v>
      </c>
      <c r="D174">
        <v>3</v>
      </c>
      <c r="E174" t="s">
        <v>69</v>
      </c>
      <c r="F174" t="s">
        <v>31</v>
      </c>
      <c r="G174" t="s">
        <v>41</v>
      </c>
      <c r="H174" t="s">
        <v>33</v>
      </c>
      <c r="I174" t="s">
        <v>82</v>
      </c>
      <c r="J174" t="s">
        <v>83</v>
      </c>
      <c r="K174" t="s">
        <v>44</v>
      </c>
      <c r="L174">
        <v>6</v>
      </c>
      <c r="M174" s="10">
        <v>0.03</v>
      </c>
      <c r="N174" s="11">
        <v>8439000</v>
      </c>
      <c r="O174" s="11">
        <v>5880000</v>
      </c>
      <c r="P174" s="11">
        <v>2559000</v>
      </c>
      <c r="Q174" t="s">
        <v>45</v>
      </c>
      <c r="R174" t="b">
        <f>COUNTIF($A$6     : CleanedSalesData[[#This Row],[Order ID]], CleanedSalesData[[#This Row],[Order ID]])&gt;1</f>
        <v>0</v>
      </c>
      <c r="S174" t="b">
        <f>IF(ISBLANK(CleanedSalesData[[#This Row],[Quantity]]), TRUE, FALSE)</f>
        <v>0</v>
      </c>
      <c r="T174" t="b">
        <f>IF(ISBLANK(CleanedSalesData[[#This Row],[Order Date]]), TRUE, FALSE)</f>
        <v>0</v>
      </c>
      <c r="U174" t="b">
        <f>IF(ISBLANK(CleanedSalesData[[#This Row],[Revenue]]), TRUE, FALSE)</f>
        <v>0</v>
      </c>
      <c r="V174" t="b">
        <f>IF(OR(CleanedSalesData[[#This Row],[Order Status]]="Cancelled", CleanedSalesData[[#This Row],[Order Status]]="Returned"), TRUE, FALSE)</f>
        <v>0</v>
      </c>
      <c r="W174" t="str" cm="1">
        <f t="array" ref="W17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75" spans="1:23" x14ac:dyDescent="0.35">
      <c r="A175" t="s">
        <v>280</v>
      </c>
      <c r="B175" s="7">
        <v>46112</v>
      </c>
      <c r="C175" t="s">
        <v>947</v>
      </c>
      <c r="D175">
        <v>3</v>
      </c>
      <c r="E175" t="s">
        <v>69</v>
      </c>
      <c r="F175" t="s">
        <v>31</v>
      </c>
      <c r="G175" t="s">
        <v>32</v>
      </c>
      <c r="H175" t="s">
        <v>112</v>
      </c>
      <c r="I175" t="s">
        <v>86</v>
      </c>
      <c r="J175" t="s">
        <v>87</v>
      </c>
      <c r="K175" t="s">
        <v>36</v>
      </c>
      <c r="L175">
        <v>6</v>
      </c>
      <c r="M175" s="10">
        <v>0.15</v>
      </c>
      <c r="N175" s="11">
        <v>892500</v>
      </c>
      <c r="O175" s="11">
        <v>1260000</v>
      </c>
      <c r="P175" s="11">
        <v>-367500</v>
      </c>
      <c r="Q175" t="s">
        <v>84</v>
      </c>
      <c r="R175" t="b">
        <f>COUNTIF($A$6     : CleanedSalesData[[#This Row],[Order ID]], CleanedSalesData[[#This Row],[Order ID]])&gt;1</f>
        <v>0</v>
      </c>
      <c r="S175" t="b">
        <f>IF(ISBLANK(CleanedSalesData[[#This Row],[Quantity]]), TRUE, FALSE)</f>
        <v>0</v>
      </c>
      <c r="T175" t="b">
        <f>IF(ISBLANK(CleanedSalesData[[#This Row],[Order Date]]), TRUE, FALSE)</f>
        <v>0</v>
      </c>
      <c r="U175" t="b">
        <f>IF(ISBLANK(CleanedSalesData[[#This Row],[Revenue]]), TRUE, FALSE)</f>
        <v>0</v>
      </c>
      <c r="V175" t="b">
        <f>IF(OR(CleanedSalesData[[#This Row],[Order Status]]="Cancelled", CleanedSalesData[[#This Row],[Order Status]]="Returned"), TRUE, FALSE)</f>
        <v>1</v>
      </c>
      <c r="W175" t="str" cm="1">
        <f t="array" ref="W17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76" spans="1:23" x14ac:dyDescent="0.35">
      <c r="A176" t="s">
        <v>281</v>
      </c>
      <c r="B176" s="7">
        <v>46088</v>
      </c>
      <c r="C176" t="s">
        <v>947</v>
      </c>
      <c r="D176">
        <v>3</v>
      </c>
      <c r="E176" t="s">
        <v>111</v>
      </c>
      <c r="F176" t="s">
        <v>40</v>
      </c>
      <c r="G176" t="s">
        <v>32</v>
      </c>
      <c r="H176" t="s">
        <v>33</v>
      </c>
      <c r="I176" t="s">
        <v>34</v>
      </c>
      <c r="J176" t="s">
        <v>35</v>
      </c>
      <c r="K176" t="s">
        <v>36</v>
      </c>
      <c r="L176">
        <v>4</v>
      </c>
      <c r="M176" s="10">
        <v>0.03</v>
      </c>
      <c r="N176" s="11">
        <v>1843000</v>
      </c>
      <c r="O176" s="11">
        <v>1140000</v>
      </c>
      <c r="P176" s="11">
        <v>703000</v>
      </c>
      <c r="Q176" t="s">
        <v>52</v>
      </c>
      <c r="R176" t="b">
        <f>COUNTIF($A$6     : CleanedSalesData[[#This Row],[Order ID]], CleanedSalesData[[#This Row],[Order ID]])&gt;1</f>
        <v>0</v>
      </c>
      <c r="S176" t="b">
        <f>IF(ISBLANK(CleanedSalesData[[#This Row],[Quantity]]), TRUE, FALSE)</f>
        <v>0</v>
      </c>
      <c r="T176" t="b">
        <f>IF(ISBLANK(CleanedSalesData[[#This Row],[Order Date]]), TRUE, FALSE)</f>
        <v>0</v>
      </c>
      <c r="U176" t="b">
        <f>IF(ISBLANK(CleanedSalesData[[#This Row],[Revenue]]), TRUE, FALSE)</f>
        <v>0</v>
      </c>
      <c r="V176" t="b">
        <f>IF(OR(CleanedSalesData[[#This Row],[Order Status]]="Cancelled", CleanedSalesData[[#This Row],[Order Status]]="Returned"), TRUE, FALSE)</f>
        <v>0</v>
      </c>
      <c r="W176" t="str" cm="1">
        <f t="array" ref="W17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77" spans="1:23" x14ac:dyDescent="0.35">
      <c r="A177" t="s">
        <v>282</v>
      </c>
      <c r="B177" s="7">
        <v>46167</v>
      </c>
      <c r="C177" t="s">
        <v>946</v>
      </c>
      <c r="D177">
        <v>5</v>
      </c>
      <c r="E177" t="s">
        <v>54</v>
      </c>
      <c r="F177" t="s">
        <v>47</v>
      </c>
      <c r="G177" t="s">
        <v>81</v>
      </c>
      <c r="H177" t="s">
        <v>112</v>
      </c>
      <c r="I177" t="s">
        <v>42</v>
      </c>
      <c r="J177" t="s">
        <v>43</v>
      </c>
      <c r="K177" t="s">
        <v>44</v>
      </c>
      <c r="L177">
        <v>8</v>
      </c>
      <c r="M177" s="10">
        <v>0.15</v>
      </c>
      <c r="N177" s="11">
        <v>935000</v>
      </c>
      <c r="O177" s="11">
        <v>1240000</v>
      </c>
      <c r="P177" s="11">
        <v>-305000</v>
      </c>
      <c r="Q177" t="s">
        <v>84</v>
      </c>
      <c r="R177" t="b">
        <f>COUNTIF($A$6     : CleanedSalesData[[#This Row],[Order ID]], CleanedSalesData[[#This Row],[Order ID]])&gt;1</f>
        <v>0</v>
      </c>
      <c r="S177" t="b">
        <f>IF(ISBLANK(CleanedSalesData[[#This Row],[Quantity]]), TRUE, FALSE)</f>
        <v>0</v>
      </c>
      <c r="T177" t="b">
        <f>IF(ISBLANK(CleanedSalesData[[#This Row],[Order Date]]), TRUE, FALSE)</f>
        <v>0</v>
      </c>
      <c r="U177" t="b">
        <f>IF(ISBLANK(CleanedSalesData[[#This Row],[Revenue]]), TRUE, FALSE)</f>
        <v>0</v>
      </c>
      <c r="V177" t="b">
        <f>IF(OR(CleanedSalesData[[#This Row],[Order Status]]="Cancelled", CleanedSalesData[[#This Row],[Order Status]]="Returned"), TRUE, FALSE)</f>
        <v>1</v>
      </c>
      <c r="W177" t="str" cm="1">
        <f t="array" ref="W17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78" spans="1:23" x14ac:dyDescent="0.35">
      <c r="A178" t="s">
        <v>284</v>
      </c>
      <c r="B178" s="7">
        <v>46135</v>
      </c>
      <c r="C178" t="s">
        <v>949</v>
      </c>
      <c r="D178">
        <v>4</v>
      </c>
      <c r="E178" t="s">
        <v>95</v>
      </c>
      <c r="F178" t="s">
        <v>70</v>
      </c>
      <c r="G178" t="s">
        <v>81</v>
      </c>
      <c r="H178" t="s">
        <v>33</v>
      </c>
      <c r="I178" t="s">
        <v>49</v>
      </c>
      <c r="J178" t="s">
        <v>50</v>
      </c>
      <c r="K178" t="s">
        <v>51</v>
      </c>
      <c r="L178">
        <v>2</v>
      </c>
      <c r="M178" s="10">
        <v>0.08</v>
      </c>
      <c r="N178" s="11">
        <v>450800</v>
      </c>
      <c r="O178" s="11">
        <v>290000</v>
      </c>
      <c r="P178" s="11">
        <v>160800</v>
      </c>
      <c r="Q178" t="s">
        <v>63</v>
      </c>
      <c r="R178" t="b">
        <f>COUNTIF($A$6     : CleanedSalesData[[#This Row],[Order ID]], CleanedSalesData[[#This Row],[Order ID]])&gt;1</f>
        <v>0</v>
      </c>
      <c r="S178" t="b">
        <f>IF(ISBLANK(CleanedSalesData[[#This Row],[Quantity]]), TRUE, FALSE)</f>
        <v>0</v>
      </c>
      <c r="T178" t="b">
        <f>IF(ISBLANK(CleanedSalesData[[#This Row],[Order Date]]), TRUE, FALSE)</f>
        <v>0</v>
      </c>
      <c r="U178" t="b">
        <f>IF(ISBLANK(CleanedSalesData[[#This Row],[Revenue]]), TRUE, FALSE)</f>
        <v>0</v>
      </c>
      <c r="V178" t="b">
        <f>IF(OR(CleanedSalesData[[#This Row],[Order Status]]="Cancelled", CleanedSalesData[[#This Row],[Order Status]]="Returned"), TRUE, FALSE)</f>
        <v>0</v>
      </c>
      <c r="W178" t="str" cm="1">
        <f t="array" ref="W17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79" spans="1:23" x14ac:dyDescent="0.35">
      <c r="A179" t="s">
        <v>285</v>
      </c>
      <c r="B179" s="7">
        <v>46152</v>
      </c>
      <c r="C179" t="s">
        <v>946</v>
      </c>
      <c r="D179">
        <v>5</v>
      </c>
      <c r="E179" t="s">
        <v>54</v>
      </c>
      <c r="F179" t="s">
        <v>40</v>
      </c>
      <c r="G179" t="s">
        <v>41</v>
      </c>
      <c r="H179" t="s">
        <v>33</v>
      </c>
      <c r="I179" t="s">
        <v>55</v>
      </c>
      <c r="J179" t="s">
        <v>56</v>
      </c>
      <c r="K179" t="s">
        <v>36</v>
      </c>
      <c r="L179">
        <v>2</v>
      </c>
      <c r="M179" s="10">
        <v>0.05</v>
      </c>
      <c r="N179" s="11">
        <v>3515000</v>
      </c>
      <c r="O179" s="11">
        <v>2640000</v>
      </c>
      <c r="P179" s="11">
        <v>875000</v>
      </c>
      <c r="Q179" t="s">
        <v>57</v>
      </c>
      <c r="R179" t="b">
        <f>COUNTIF($A$6     : CleanedSalesData[[#This Row],[Order ID]], CleanedSalesData[[#This Row],[Order ID]])&gt;1</f>
        <v>0</v>
      </c>
      <c r="S179" t="b">
        <f>IF(ISBLANK(CleanedSalesData[[#This Row],[Quantity]]), TRUE, FALSE)</f>
        <v>0</v>
      </c>
      <c r="T179" t="b">
        <f>IF(ISBLANK(CleanedSalesData[[#This Row],[Order Date]]), TRUE, FALSE)</f>
        <v>0</v>
      </c>
      <c r="U179" t="b">
        <f>IF(ISBLANK(CleanedSalesData[[#This Row],[Revenue]]), TRUE, FALSE)</f>
        <v>0</v>
      </c>
      <c r="V179" t="b">
        <f>IF(OR(CleanedSalesData[[#This Row],[Order Status]]="Cancelled", CleanedSalesData[[#This Row],[Order Status]]="Returned"), TRUE, FALSE)</f>
        <v>0</v>
      </c>
      <c r="W179" t="str" cm="1">
        <f t="array" ref="W17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0" spans="1:23" x14ac:dyDescent="0.35">
      <c r="A180" t="s">
        <v>286</v>
      </c>
      <c r="B180" s="7">
        <v>46042</v>
      </c>
      <c r="C180" t="s">
        <v>948</v>
      </c>
      <c r="D180">
        <v>1</v>
      </c>
      <c r="E180" t="s">
        <v>95</v>
      </c>
      <c r="F180" t="s">
        <v>59</v>
      </c>
      <c r="G180" t="s">
        <v>48</v>
      </c>
      <c r="H180" t="s">
        <v>33</v>
      </c>
      <c r="I180" t="s">
        <v>60</v>
      </c>
      <c r="J180" t="s">
        <v>61</v>
      </c>
      <c r="K180" t="s">
        <v>62</v>
      </c>
      <c r="L180">
        <v>2</v>
      </c>
      <c r="M180" s="10">
        <v>0.1</v>
      </c>
      <c r="N180" s="11">
        <v>117000</v>
      </c>
      <c r="O180" s="11">
        <v>62000</v>
      </c>
      <c r="P180" s="11">
        <v>55000</v>
      </c>
      <c r="Q180" t="s">
        <v>52</v>
      </c>
      <c r="R180" t="b">
        <f>COUNTIF($A$6     : CleanedSalesData[[#This Row],[Order ID]], CleanedSalesData[[#This Row],[Order ID]])&gt;1</f>
        <v>0</v>
      </c>
      <c r="S180" t="b">
        <f>IF(ISBLANK(CleanedSalesData[[#This Row],[Quantity]]), TRUE, FALSE)</f>
        <v>0</v>
      </c>
      <c r="T180" t="b">
        <f>IF(ISBLANK(CleanedSalesData[[#This Row],[Order Date]]), TRUE, FALSE)</f>
        <v>0</v>
      </c>
      <c r="U180" t="b">
        <f>IF(ISBLANK(CleanedSalesData[[#This Row],[Revenue]]), TRUE, FALSE)</f>
        <v>0</v>
      </c>
      <c r="V180" t="b">
        <f>IF(OR(CleanedSalesData[[#This Row],[Order Status]]="Cancelled", CleanedSalesData[[#This Row],[Order Status]]="Returned"), TRUE, FALSE)</f>
        <v>0</v>
      </c>
      <c r="W180" t="str" cm="1">
        <f t="array" ref="W18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1" spans="1:23" x14ac:dyDescent="0.35">
      <c r="A181" t="s">
        <v>287</v>
      </c>
      <c r="B181" s="7">
        <v>46169</v>
      </c>
      <c r="C181" t="s">
        <v>946</v>
      </c>
      <c r="D181">
        <v>5</v>
      </c>
      <c r="E181" t="s">
        <v>95</v>
      </c>
      <c r="F181" t="s">
        <v>47</v>
      </c>
      <c r="G181" t="s">
        <v>32</v>
      </c>
      <c r="H181" t="s">
        <v>33</v>
      </c>
      <c r="I181" t="s">
        <v>66</v>
      </c>
      <c r="J181" t="s">
        <v>67</v>
      </c>
      <c r="K181" t="s">
        <v>51</v>
      </c>
      <c r="L181">
        <v>4</v>
      </c>
      <c r="M181" s="10">
        <v>0.05</v>
      </c>
      <c r="N181" s="11">
        <v>1178000</v>
      </c>
      <c r="O181" s="11">
        <v>760000</v>
      </c>
      <c r="P181" s="11">
        <v>418000</v>
      </c>
      <c r="Q181" t="s">
        <v>52</v>
      </c>
      <c r="R181" t="b">
        <f>COUNTIF($A$6     : CleanedSalesData[[#This Row],[Order ID]], CleanedSalesData[[#This Row],[Order ID]])&gt;1</f>
        <v>0</v>
      </c>
      <c r="S181" t="b">
        <f>IF(ISBLANK(CleanedSalesData[[#This Row],[Quantity]]), TRUE, FALSE)</f>
        <v>0</v>
      </c>
      <c r="T181" t="b">
        <f>IF(ISBLANK(CleanedSalesData[[#This Row],[Order Date]]), TRUE, FALSE)</f>
        <v>0</v>
      </c>
      <c r="U181" t="b">
        <f>IF(ISBLANK(CleanedSalesData[[#This Row],[Revenue]]), TRUE, FALSE)</f>
        <v>0</v>
      </c>
      <c r="V181" t="b">
        <f>IF(OR(CleanedSalesData[[#This Row],[Order Status]]="Cancelled", CleanedSalesData[[#This Row],[Order Status]]="Returned"), TRUE, FALSE)</f>
        <v>0</v>
      </c>
      <c r="W181" t="str" cm="1">
        <f t="array" ref="W18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2" spans="1:23" x14ac:dyDescent="0.35">
      <c r="A182" t="s">
        <v>288</v>
      </c>
      <c r="B182" s="7">
        <v>32874</v>
      </c>
      <c r="C182" t="s">
        <v>948</v>
      </c>
      <c r="D182">
        <v>1</v>
      </c>
      <c r="E182" t="s">
        <v>39</v>
      </c>
      <c r="F182" t="s">
        <v>31</v>
      </c>
      <c r="G182" t="s">
        <v>41</v>
      </c>
      <c r="H182" t="s">
        <v>33</v>
      </c>
      <c r="I182" t="s">
        <v>71</v>
      </c>
      <c r="J182" t="s">
        <v>72</v>
      </c>
      <c r="K182" t="s">
        <v>73</v>
      </c>
      <c r="L182">
        <v>6</v>
      </c>
      <c r="M182" s="10">
        <v>0.15</v>
      </c>
      <c r="N182" s="11">
        <v>637500</v>
      </c>
      <c r="O182" s="11">
        <v>420000</v>
      </c>
      <c r="P182" s="11">
        <v>217500</v>
      </c>
      <c r="Q182" t="s">
        <v>52</v>
      </c>
      <c r="R182" t="b">
        <f>COUNTIF($A$6     : CleanedSalesData[[#This Row],[Order ID]], CleanedSalesData[[#This Row],[Order ID]])&gt;1</f>
        <v>0</v>
      </c>
      <c r="S182" t="b">
        <f>IF(ISBLANK(CleanedSalesData[[#This Row],[Quantity]]), TRUE, FALSE)</f>
        <v>0</v>
      </c>
      <c r="T182" t="b">
        <f>IF(ISBLANK(CleanedSalesData[[#This Row],[Order Date]]), TRUE, FALSE)</f>
        <v>0</v>
      </c>
      <c r="U182" t="b">
        <f>IF(ISBLANK(CleanedSalesData[[#This Row],[Revenue]]), TRUE, FALSE)</f>
        <v>0</v>
      </c>
      <c r="V182" t="b">
        <f>IF(OR(CleanedSalesData[[#This Row],[Order Status]]="Cancelled", CleanedSalesData[[#This Row],[Order Status]]="Returned"), TRUE, FALSE)</f>
        <v>0</v>
      </c>
      <c r="W182" t="str" cm="1">
        <f t="array" ref="W18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3" spans="1:23" x14ac:dyDescent="0.35">
      <c r="A183" t="s">
        <v>290</v>
      </c>
      <c r="B183" s="7">
        <v>46135</v>
      </c>
      <c r="C183" t="s">
        <v>949</v>
      </c>
      <c r="D183">
        <v>4</v>
      </c>
      <c r="E183" t="s">
        <v>65</v>
      </c>
      <c r="F183" t="s">
        <v>70</v>
      </c>
      <c r="G183" t="s">
        <v>48</v>
      </c>
      <c r="H183" t="s">
        <v>33</v>
      </c>
      <c r="I183" t="s">
        <v>78</v>
      </c>
      <c r="J183" t="s">
        <v>79</v>
      </c>
      <c r="K183" t="s">
        <v>62</v>
      </c>
      <c r="M183" s="10">
        <v>0.05</v>
      </c>
      <c r="N183" s="11">
        <v>242250</v>
      </c>
      <c r="O183" s="11">
        <v>129000</v>
      </c>
      <c r="P183" s="11">
        <v>113250</v>
      </c>
      <c r="Q183" t="s">
        <v>63</v>
      </c>
      <c r="R183" t="b">
        <f>COUNTIF($A$6     : CleanedSalesData[[#This Row],[Order ID]], CleanedSalesData[[#This Row],[Order ID]])&gt;1</f>
        <v>0</v>
      </c>
      <c r="S183" t="b">
        <f>IF(ISBLANK(CleanedSalesData[[#This Row],[Quantity]]), TRUE, FALSE)</f>
        <v>1</v>
      </c>
      <c r="T183" t="b">
        <f>IF(ISBLANK(CleanedSalesData[[#This Row],[Order Date]]), TRUE, FALSE)</f>
        <v>0</v>
      </c>
      <c r="U183" t="b">
        <f>IF(ISBLANK(CleanedSalesData[[#This Row],[Revenue]]), TRUE, FALSE)</f>
        <v>0</v>
      </c>
      <c r="V183" t="b">
        <f>IF(OR(CleanedSalesData[[#This Row],[Order Status]]="Cancelled", CleanedSalesData[[#This Row],[Order Status]]="Returned"), TRUE, FALSE)</f>
        <v>0</v>
      </c>
      <c r="W183" t="str" cm="1">
        <f t="array" ref="W18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Quantity</v>
      </c>
    </row>
    <row r="184" spans="1:23" x14ac:dyDescent="0.35">
      <c r="A184" t="s">
        <v>291</v>
      </c>
      <c r="B184" s="7">
        <v>46196</v>
      </c>
      <c r="C184" t="s">
        <v>945</v>
      </c>
      <c r="D184">
        <v>6</v>
      </c>
      <c r="E184" t="s">
        <v>69</v>
      </c>
      <c r="F184" t="s">
        <v>40</v>
      </c>
      <c r="G184" t="s">
        <v>81</v>
      </c>
      <c r="H184" t="s">
        <v>33</v>
      </c>
      <c r="I184" t="s">
        <v>82</v>
      </c>
      <c r="J184" t="s">
        <v>83</v>
      </c>
      <c r="K184" t="s">
        <v>44</v>
      </c>
      <c r="L184">
        <v>1</v>
      </c>
      <c r="M184" s="10">
        <v>0.15</v>
      </c>
      <c r="N184" s="11">
        <v>1232500</v>
      </c>
      <c r="O184" s="11">
        <v>980000</v>
      </c>
      <c r="P184" s="11">
        <v>252500</v>
      </c>
      <c r="Q184" t="s">
        <v>93</v>
      </c>
      <c r="R184" t="b">
        <f>COUNTIF($A$6     : CleanedSalesData[[#This Row],[Order ID]], CleanedSalesData[[#This Row],[Order ID]])&gt;1</f>
        <v>0</v>
      </c>
      <c r="S184" t="b">
        <f>IF(ISBLANK(CleanedSalesData[[#This Row],[Quantity]]), TRUE, FALSE)</f>
        <v>0</v>
      </c>
      <c r="T184" t="b">
        <f>IF(ISBLANK(CleanedSalesData[[#This Row],[Order Date]]), TRUE, FALSE)</f>
        <v>0</v>
      </c>
      <c r="U184" t="b">
        <f>IF(ISBLANK(CleanedSalesData[[#This Row],[Revenue]]), TRUE, FALSE)</f>
        <v>0</v>
      </c>
      <c r="V184" t="b">
        <f>IF(OR(CleanedSalesData[[#This Row],[Order Status]]="Cancelled", CleanedSalesData[[#This Row],[Order Status]]="Returned"), TRUE, FALSE)</f>
        <v>0</v>
      </c>
      <c r="W184" t="str" cm="1">
        <f t="array" ref="W18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5" spans="1:23" x14ac:dyDescent="0.35">
      <c r="A185" t="s">
        <v>292</v>
      </c>
      <c r="B185" s="7">
        <v>46095</v>
      </c>
      <c r="C185" t="s">
        <v>947</v>
      </c>
      <c r="D185">
        <v>3</v>
      </c>
      <c r="E185" t="s">
        <v>54</v>
      </c>
      <c r="F185" t="s">
        <v>47</v>
      </c>
      <c r="G185" t="s">
        <v>32</v>
      </c>
      <c r="H185" t="s">
        <v>90</v>
      </c>
      <c r="I185" t="s">
        <v>86</v>
      </c>
      <c r="J185" t="s">
        <v>87</v>
      </c>
      <c r="K185" t="s">
        <v>36</v>
      </c>
      <c r="L185">
        <v>5</v>
      </c>
      <c r="M185" s="10">
        <v>0.15</v>
      </c>
      <c r="N185" s="11">
        <v>1487500</v>
      </c>
      <c r="O185" s="11">
        <v>1050000</v>
      </c>
      <c r="P185" s="11">
        <v>437500</v>
      </c>
      <c r="Q185" t="s">
        <v>37</v>
      </c>
      <c r="R185" t="b">
        <f>COUNTIF($A$6     : CleanedSalesData[[#This Row],[Order ID]], CleanedSalesData[[#This Row],[Order ID]])&gt;1</f>
        <v>0</v>
      </c>
      <c r="S185" t="b">
        <f>IF(ISBLANK(CleanedSalesData[[#This Row],[Quantity]]), TRUE, FALSE)</f>
        <v>0</v>
      </c>
      <c r="T185" t="b">
        <f>IF(ISBLANK(CleanedSalesData[[#This Row],[Order Date]]), TRUE, FALSE)</f>
        <v>0</v>
      </c>
      <c r="U185" t="b">
        <f>IF(ISBLANK(CleanedSalesData[[#This Row],[Revenue]]), TRUE, FALSE)</f>
        <v>0</v>
      </c>
      <c r="V185" t="b">
        <f>IF(OR(CleanedSalesData[[#This Row],[Order Status]]="Cancelled", CleanedSalesData[[#This Row],[Order Status]]="Returned"), TRUE, FALSE)</f>
        <v>0</v>
      </c>
      <c r="W185" t="str" cm="1">
        <f t="array" ref="W18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6" spans="1:23" x14ac:dyDescent="0.35">
      <c r="A186" t="s">
        <v>294</v>
      </c>
      <c r="B186" s="7">
        <v>46172</v>
      </c>
      <c r="C186" t="s">
        <v>946</v>
      </c>
      <c r="D186">
        <v>5</v>
      </c>
      <c r="E186" t="s">
        <v>69</v>
      </c>
      <c r="F186" t="s">
        <v>59</v>
      </c>
      <c r="G186" t="s">
        <v>32</v>
      </c>
      <c r="H186" t="s">
        <v>33</v>
      </c>
      <c r="I186" t="s">
        <v>34</v>
      </c>
      <c r="J186" t="s">
        <v>35</v>
      </c>
      <c r="K186" t="s">
        <v>36</v>
      </c>
      <c r="L186">
        <v>3</v>
      </c>
      <c r="M186" s="10">
        <v>0.05</v>
      </c>
      <c r="N186" s="11">
        <v>1353750</v>
      </c>
      <c r="O186" s="11">
        <v>855000</v>
      </c>
      <c r="P186" s="11">
        <v>498750</v>
      </c>
      <c r="Q186" t="s">
        <v>57</v>
      </c>
      <c r="R186" t="b">
        <f>COUNTIF($A$6     : CleanedSalesData[[#This Row],[Order ID]], CleanedSalesData[[#This Row],[Order ID]])&gt;1</f>
        <v>0</v>
      </c>
      <c r="S186" t="b">
        <f>IF(ISBLANK(CleanedSalesData[[#This Row],[Quantity]]), TRUE, FALSE)</f>
        <v>0</v>
      </c>
      <c r="T186" t="b">
        <f>IF(ISBLANK(CleanedSalesData[[#This Row],[Order Date]]), TRUE, FALSE)</f>
        <v>0</v>
      </c>
      <c r="U186" t="b">
        <f>IF(ISBLANK(CleanedSalesData[[#This Row],[Revenue]]), TRUE, FALSE)</f>
        <v>0</v>
      </c>
      <c r="V186" t="b">
        <f>IF(OR(CleanedSalesData[[#This Row],[Order Status]]="Cancelled", CleanedSalesData[[#This Row],[Order Status]]="Returned"), TRUE, FALSE)</f>
        <v>0</v>
      </c>
      <c r="W186" t="str" cm="1">
        <f t="array" ref="W18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7" spans="1:23" x14ac:dyDescent="0.35">
      <c r="A187" t="s">
        <v>295</v>
      </c>
      <c r="B187" s="7">
        <v>46166</v>
      </c>
      <c r="C187" t="s">
        <v>946</v>
      </c>
      <c r="D187">
        <v>5</v>
      </c>
      <c r="E187" t="s">
        <v>65</v>
      </c>
      <c r="F187" t="s">
        <v>31</v>
      </c>
      <c r="G187" t="s">
        <v>41</v>
      </c>
      <c r="H187" t="s">
        <v>90</v>
      </c>
      <c r="I187" t="s">
        <v>42</v>
      </c>
      <c r="J187" t="s">
        <v>43</v>
      </c>
      <c r="K187" t="s">
        <v>44</v>
      </c>
      <c r="L187">
        <v>7</v>
      </c>
      <c r="M187" s="10">
        <v>0.15</v>
      </c>
      <c r="N187" s="11">
        <v>1636250</v>
      </c>
      <c r="O187" s="11">
        <v>1085000</v>
      </c>
      <c r="P187" s="11">
        <v>551250</v>
      </c>
      <c r="Q187" t="s">
        <v>63</v>
      </c>
      <c r="R187" t="b">
        <f>COUNTIF($A$6     : CleanedSalesData[[#This Row],[Order ID]], CleanedSalesData[[#This Row],[Order ID]])&gt;1</f>
        <v>0</v>
      </c>
      <c r="S187" t="b">
        <f>IF(ISBLANK(CleanedSalesData[[#This Row],[Quantity]]), TRUE, FALSE)</f>
        <v>0</v>
      </c>
      <c r="T187" t="b">
        <f>IF(ISBLANK(CleanedSalesData[[#This Row],[Order Date]]), TRUE, FALSE)</f>
        <v>0</v>
      </c>
      <c r="U187" t="b">
        <f>IF(ISBLANK(CleanedSalesData[[#This Row],[Revenue]]), TRUE, FALSE)</f>
        <v>0</v>
      </c>
      <c r="V187" t="b">
        <f>IF(OR(CleanedSalesData[[#This Row],[Order Status]]="Cancelled", CleanedSalesData[[#This Row],[Order Status]]="Returned"), TRUE, FALSE)</f>
        <v>0</v>
      </c>
      <c r="W187" t="str" cm="1">
        <f t="array" ref="W18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8" spans="1:23" x14ac:dyDescent="0.35">
      <c r="A188" t="s">
        <v>296</v>
      </c>
      <c r="B188" s="7">
        <v>46027</v>
      </c>
      <c r="C188" t="s">
        <v>948</v>
      </c>
      <c r="D188">
        <v>1</v>
      </c>
      <c r="E188" t="s">
        <v>111</v>
      </c>
      <c r="F188" t="s">
        <v>31</v>
      </c>
      <c r="G188" t="s">
        <v>81</v>
      </c>
      <c r="H188" t="s">
        <v>33</v>
      </c>
      <c r="I188" t="s">
        <v>49</v>
      </c>
      <c r="J188" t="s">
        <v>50</v>
      </c>
      <c r="K188" t="s">
        <v>51</v>
      </c>
      <c r="L188">
        <v>6</v>
      </c>
      <c r="M188" s="10">
        <v>0.05</v>
      </c>
      <c r="N188" s="11">
        <v>1396500</v>
      </c>
      <c r="O188" s="11">
        <v>870000</v>
      </c>
      <c r="P188" s="11">
        <v>526500</v>
      </c>
      <c r="Q188" t="s">
        <v>45</v>
      </c>
      <c r="R188" t="b">
        <f>COUNTIF($A$6     : CleanedSalesData[[#This Row],[Order ID]], CleanedSalesData[[#This Row],[Order ID]])&gt;1</f>
        <v>0</v>
      </c>
      <c r="S188" t="b">
        <f>IF(ISBLANK(CleanedSalesData[[#This Row],[Quantity]]), TRUE, FALSE)</f>
        <v>0</v>
      </c>
      <c r="T188" t="b">
        <f>IF(ISBLANK(CleanedSalesData[[#This Row],[Order Date]]), TRUE, FALSE)</f>
        <v>0</v>
      </c>
      <c r="U188" t="b">
        <f>IF(ISBLANK(CleanedSalesData[[#This Row],[Revenue]]), TRUE, FALSE)</f>
        <v>0</v>
      </c>
      <c r="V188" t="b">
        <f>IF(OR(CleanedSalesData[[#This Row],[Order Status]]="Cancelled", CleanedSalesData[[#This Row],[Order Status]]="Returned"), TRUE, FALSE)</f>
        <v>0</v>
      </c>
      <c r="W188" t="str" cm="1">
        <f t="array" ref="W18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89" spans="1:23" x14ac:dyDescent="0.35">
      <c r="A189" t="s">
        <v>298</v>
      </c>
      <c r="B189" s="7">
        <v>46080</v>
      </c>
      <c r="C189" t="s">
        <v>944</v>
      </c>
      <c r="D189">
        <v>2</v>
      </c>
      <c r="E189" t="s">
        <v>54</v>
      </c>
      <c r="F189" t="s">
        <v>40</v>
      </c>
      <c r="G189" t="s">
        <v>41</v>
      </c>
      <c r="H189" t="s">
        <v>33</v>
      </c>
      <c r="I189" t="s">
        <v>55</v>
      </c>
      <c r="J189" t="s">
        <v>56</v>
      </c>
      <c r="K189" t="s">
        <v>36</v>
      </c>
      <c r="L189">
        <v>3</v>
      </c>
      <c r="M189" s="10">
        <v>0.03</v>
      </c>
      <c r="N189" s="11">
        <v>5383500</v>
      </c>
      <c r="O189" s="11">
        <v>3960000</v>
      </c>
      <c r="P189" s="11">
        <v>1423500</v>
      </c>
      <c r="Q189" t="s">
        <v>84</v>
      </c>
      <c r="R189" t="b">
        <f>COUNTIF($A$6     : CleanedSalesData[[#This Row],[Order ID]], CleanedSalesData[[#This Row],[Order ID]])&gt;1</f>
        <v>0</v>
      </c>
      <c r="S189" t="b">
        <f>IF(ISBLANK(CleanedSalesData[[#This Row],[Quantity]]), TRUE, FALSE)</f>
        <v>0</v>
      </c>
      <c r="T189" t="b">
        <f>IF(ISBLANK(CleanedSalesData[[#This Row],[Order Date]]), TRUE, FALSE)</f>
        <v>0</v>
      </c>
      <c r="U189" t="b">
        <f>IF(ISBLANK(CleanedSalesData[[#This Row],[Revenue]]), TRUE, FALSE)</f>
        <v>0</v>
      </c>
      <c r="V189" t="b">
        <f>IF(OR(CleanedSalesData[[#This Row],[Order Status]]="Cancelled", CleanedSalesData[[#This Row],[Order Status]]="Returned"), TRUE, FALSE)</f>
        <v>0</v>
      </c>
      <c r="W189" t="str" cm="1">
        <f t="array" ref="W18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0" spans="1:23" x14ac:dyDescent="0.35">
      <c r="A190" t="s">
        <v>299</v>
      </c>
      <c r="B190" s="7">
        <v>46175</v>
      </c>
      <c r="C190" t="s">
        <v>945</v>
      </c>
      <c r="D190">
        <v>6</v>
      </c>
      <c r="E190" t="s">
        <v>111</v>
      </c>
      <c r="F190" t="s">
        <v>47</v>
      </c>
      <c r="G190" t="s">
        <v>32</v>
      </c>
      <c r="H190" t="s">
        <v>33</v>
      </c>
      <c r="I190" t="s">
        <v>60</v>
      </c>
      <c r="J190" t="s">
        <v>61</v>
      </c>
      <c r="K190" t="s">
        <v>62</v>
      </c>
      <c r="L190">
        <v>7</v>
      </c>
      <c r="M190" s="10">
        <v>0.03</v>
      </c>
      <c r="N190" s="11">
        <v>441350</v>
      </c>
      <c r="O190" s="11">
        <v>217000</v>
      </c>
      <c r="P190" s="11">
        <v>224350</v>
      </c>
      <c r="Q190" t="s">
        <v>74</v>
      </c>
      <c r="R190" t="b">
        <f>COUNTIF($A$6     : CleanedSalesData[[#This Row],[Order ID]], CleanedSalesData[[#This Row],[Order ID]])&gt;1</f>
        <v>0</v>
      </c>
      <c r="S190" t="b">
        <f>IF(ISBLANK(CleanedSalesData[[#This Row],[Quantity]]), TRUE, FALSE)</f>
        <v>0</v>
      </c>
      <c r="T190" t="b">
        <f>IF(ISBLANK(CleanedSalesData[[#This Row],[Order Date]]), TRUE, FALSE)</f>
        <v>0</v>
      </c>
      <c r="U190" t="b">
        <f>IF(ISBLANK(CleanedSalesData[[#This Row],[Revenue]]), TRUE, FALSE)</f>
        <v>0</v>
      </c>
      <c r="V190" t="b">
        <f>IF(OR(CleanedSalesData[[#This Row],[Order Status]]="Cancelled", CleanedSalesData[[#This Row],[Order Status]]="Returned"), TRUE, FALSE)</f>
        <v>0</v>
      </c>
      <c r="W190" t="str" cm="1">
        <f t="array" ref="W19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1" spans="1:23" x14ac:dyDescent="0.35">
      <c r="A191" t="s">
        <v>300</v>
      </c>
      <c r="B191" s="7">
        <v>46128</v>
      </c>
      <c r="C191" t="s">
        <v>949</v>
      </c>
      <c r="D191">
        <v>4</v>
      </c>
      <c r="E191" t="s">
        <v>111</v>
      </c>
      <c r="F191" t="s">
        <v>59</v>
      </c>
      <c r="G191" t="s">
        <v>81</v>
      </c>
      <c r="H191" t="s">
        <v>33</v>
      </c>
      <c r="I191" t="s">
        <v>66</v>
      </c>
      <c r="J191" t="s">
        <v>67</v>
      </c>
      <c r="K191" t="s">
        <v>51</v>
      </c>
      <c r="L191">
        <v>6</v>
      </c>
      <c r="M191" s="10">
        <v>0.15</v>
      </c>
      <c r="N191" s="11">
        <v>1581000</v>
      </c>
      <c r="O191" s="11">
        <v>1140000</v>
      </c>
      <c r="P191" s="11">
        <v>441000</v>
      </c>
      <c r="Q191" t="s">
        <v>45</v>
      </c>
      <c r="R191" t="b">
        <f>COUNTIF($A$6     : CleanedSalesData[[#This Row],[Order ID]], CleanedSalesData[[#This Row],[Order ID]])&gt;1</f>
        <v>0</v>
      </c>
      <c r="S191" t="b">
        <f>IF(ISBLANK(CleanedSalesData[[#This Row],[Quantity]]), TRUE, FALSE)</f>
        <v>0</v>
      </c>
      <c r="T191" t="b">
        <f>IF(ISBLANK(CleanedSalesData[[#This Row],[Order Date]]), TRUE, FALSE)</f>
        <v>0</v>
      </c>
      <c r="U191" t="b">
        <f>IF(ISBLANK(CleanedSalesData[[#This Row],[Revenue]]), TRUE, FALSE)</f>
        <v>0</v>
      </c>
      <c r="V191" t="b">
        <f>IF(OR(CleanedSalesData[[#This Row],[Order Status]]="Cancelled", CleanedSalesData[[#This Row],[Order Status]]="Returned"), TRUE, FALSE)</f>
        <v>0</v>
      </c>
      <c r="W191" t="str" cm="1">
        <f t="array" ref="W19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2" spans="1:23" x14ac:dyDescent="0.35">
      <c r="A192" t="s">
        <v>301</v>
      </c>
      <c r="B192" s="7">
        <v>46159</v>
      </c>
      <c r="C192" t="s">
        <v>946</v>
      </c>
      <c r="D192">
        <v>5</v>
      </c>
      <c r="E192" t="s">
        <v>111</v>
      </c>
      <c r="F192" t="s">
        <v>31</v>
      </c>
      <c r="G192" t="s">
        <v>81</v>
      </c>
      <c r="H192" t="s">
        <v>77</v>
      </c>
      <c r="I192" t="s">
        <v>71</v>
      </c>
      <c r="J192" t="s">
        <v>72</v>
      </c>
      <c r="K192" t="s">
        <v>73</v>
      </c>
      <c r="L192">
        <v>4</v>
      </c>
      <c r="M192" s="10">
        <v>0.05</v>
      </c>
      <c r="N192" s="11">
        <v>118750</v>
      </c>
      <c r="O192" s="11">
        <v>280000</v>
      </c>
      <c r="P192" s="11">
        <v>-161250</v>
      </c>
      <c r="Q192" t="s">
        <v>52</v>
      </c>
      <c r="R192" t="b">
        <f>COUNTIF($A$6     : CleanedSalesData[[#This Row],[Order ID]], CleanedSalesData[[#This Row],[Order ID]])&gt;1</f>
        <v>0</v>
      </c>
      <c r="S192" t="b">
        <f>IF(ISBLANK(CleanedSalesData[[#This Row],[Quantity]]), TRUE, FALSE)</f>
        <v>0</v>
      </c>
      <c r="T192" t="b">
        <f>IF(ISBLANK(CleanedSalesData[[#This Row],[Order Date]]), TRUE, FALSE)</f>
        <v>0</v>
      </c>
      <c r="U192" t="b">
        <f>IF(ISBLANK(CleanedSalesData[[#This Row],[Revenue]]), TRUE, FALSE)</f>
        <v>0</v>
      </c>
      <c r="V192" t="b">
        <f>IF(OR(CleanedSalesData[[#This Row],[Order Status]]="Cancelled", CleanedSalesData[[#This Row],[Order Status]]="Returned"), TRUE, FALSE)</f>
        <v>1</v>
      </c>
      <c r="W192" t="str" cm="1">
        <f t="array" ref="W19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93" spans="1:23" x14ac:dyDescent="0.35">
      <c r="A193" t="s">
        <v>302</v>
      </c>
      <c r="B193" s="7">
        <v>46095</v>
      </c>
      <c r="C193" t="s">
        <v>947</v>
      </c>
      <c r="D193">
        <v>3</v>
      </c>
      <c r="E193" t="s">
        <v>30</v>
      </c>
      <c r="F193" t="s">
        <v>31</v>
      </c>
      <c r="G193" t="s">
        <v>32</v>
      </c>
      <c r="H193" t="s">
        <v>33</v>
      </c>
      <c r="I193" t="s">
        <v>78</v>
      </c>
      <c r="J193" t="s">
        <v>79</v>
      </c>
      <c r="K193" t="s">
        <v>62</v>
      </c>
      <c r="L193">
        <v>7</v>
      </c>
      <c r="M193" s="10">
        <v>0.1</v>
      </c>
      <c r="N193" s="11">
        <v>535500</v>
      </c>
      <c r="O193" s="11">
        <v>301000</v>
      </c>
      <c r="P193" s="11">
        <v>234500</v>
      </c>
      <c r="Q193" t="s">
        <v>57</v>
      </c>
      <c r="R193" t="b">
        <f>COUNTIF($A$6     : CleanedSalesData[[#This Row],[Order ID]], CleanedSalesData[[#This Row],[Order ID]])&gt;1</f>
        <v>0</v>
      </c>
      <c r="S193" t="b">
        <f>IF(ISBLANK(CleanedSalesData[[#This Row],[Quantity]]), TRUE, FALSE)</f>
        <v>0</v>
      </c>
      <c r="T193" t="b">
        <f>IF(ISBLANK(CleanedSalesData[[#This Row],[Order Date]]), TRUE, FALSE)</f>
        <v>0</v>
      </c>
      <c r="U193" t="b">
        <f>IF(ISBLANK(CleanedSalesData[[#This Row],[Revenue]]), TRUE, FALSE)</f>
        <v>0</v>
      </c>
      <c r="V193" t="b">
        <f>IF(OR(CleanedSalesData[[#This Row],[Order Status]]="Cancelled", CleanedSalesData[[#This Row],[Order Status]]="Returned"), TRUE, FALSE)</f>
        <v>0</v>
      </c>
      <c r="W193" t="str" cm="1">
        <f t="array" ref="W19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4" spans="1:23" x14ac:dyDescent="0.35">
      <c r="A194" t="s">
        <v>304</v>
      </c>
      <c r="B194" s="7">
        <v>46036</v>
      </c>
      <c r="C194" t="s">
        <v>948</v>
      </c>
      <c r="D194">
        <v>1</v>
      </c>
      <c r="E194" t="s">
        <v>76</v>
      </c>
      <c r="F194" t="s">
        <v>40</v>
      </c>
      <c r="G194" t="s">
        <v>41</v>
      </c>
      <c r="H194" t="s">
        <v>33</v>
      </c>
      <c r="I194" t="s">
        <v>82</v>
      </c>
      <c r="J194" t="s">
        <v>83</v>
      </c>
      <c r="K194" t="s">
        <v>44</v>
      </c>
      <c r="L194">
        <v>8</v>
      </c>
      <c r="M194" s="10">
        <v>0.05</v>
      </c>
      <c r="N194" s="11">
        <v>11020000</v>
      </c>
      <c r="O194" s="11">
        <v>7840000</v>
      </c>
      <c r="P194" s="11">
        <v>3180000</v>
      </c>
      <c r="Q194" t="s">
        <v>37</v>
      </c>
      <c r="R194" t="b">
        <f>COUNTIF($A$6     : CleanedSalesData[[#This Row],[Order ID]], CleanedSalesData[[#This Row],[Order ID]])&gt;1</f>
        <v>0</v>
      </c>
      <c r="S194" t="b">
        <f>IF(ISBLANK(CleanedSalesData[[#This Row],[Quantity]]), TRUE, FALSE)</f>
        <v>0</v>
      </c>
      <c r="T194" t="b">
        <f>IF(ISBLANK(CleanedSalesData[[#This Row],[Order Date]]), TRUE, FALSE)</f>
        <v>0</v>
      </c>
      <c r="U194" t="b">
        <f>IF(ISBLANK(CleanedSalesData[[#This Row],[Revenue]]), TRUE, FALSE)</f>
        <v>0</v>
      </c>
      <c r="V194" t="b">
        <f>IF(OR(CleanedSalesData[[#This Row],[Order Status]]="Cancelled", CleanedSalesData[[#This Row],[Order Status]]="Returned"), TRUE, FALSE)</f>
        <v>0</v>
      </c>
      <c r="W194" t="str" cm="1">
        <f t="array" ref="W19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5" spans="1:23" x14ac:dyDescent="0.35">
      <c r="A195" t="s">
        <v>305</v>
      </c>
      <c r="B195" s="7">
        <v>46064</v>
      </c>
      <c r="C195" t="s">
        <v>944</v>
      </c>
      <c r="D195">
        <v>2</v>
      </c>
      <c r="E195" t="s">
        <v>39</v>
      </c>
      <c r="F195" t="s">
        <v>59</v>
      </c>
      <c r="G195" t="s">
        <v>41</v>
      </c>
      <c r="H195" t="s">
        <v>112</v>
      </c>
      <c r="I195" t="s">
        <v>86</v>
      </c>
      <c r="J195" t="s">
        <v>87</v>
      </c>
      <c r="K195" t="s">
        <v>36</v>
      </c>
      <c r="L195">
        <v>5</v>
      </c>
      <c r="M195" s="10">
        <v>0.08</v>
      </c>
      <c r="N195" s="11">
        <v>0</v>
      </c>
      <c r="O195" s="11">
        <v>1050000</v>
      </c>
      <c r="P195" s="11">
        <v>-1050000</v>
      </c>
      <c r="Q195" t="s">
        <v>52</v>
      </c>
      <c r="R195" t="b">
        <f>COUNTIF($A$6     : CleanedSalesData[[#This Row],[Order ID]], CleanedSalesData[[#This Row],[Order ID]])&gt;1</f>
        <v>0</v>
      </c>
      <c r="S195" t="b">
        <f>IF(ISBLANK(CleanedSalesData[[#This Row],[Quantity]]), TRUE, FALSE)</f>
        <v>0</v>
      </c>
      <c r="T195" t="b">
        <f>IF(ISBLANK(CleanedSalesData[[#This Row],[Order Date]]), TRUE, FALSE)</f>
        <v>0</v>
      </c>
      <c r="U195" t="b">
        <f>IF(ISBLANK(CleanedSalesData[[#This Row],[Revenue]]), TRUE, FALSE)</f>
        <v>0</v>
      </c>
      <c r="V195" t="b">
        <f>IF(OR(CleanedSalesData[[#This Row],[Order Status]]="Cancelled", CleanedSalesData[[#This Row],[Order Status]]="Returned"), TRUE, FALSE)</f>
        <v>1</v>
      </c>
      <c r="W195" t="str" cm="1">
        <f t="array" ref="W19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196" spans="1:23" x14ac:dyDescent="0.35">
      <c r="A196" t="s">
        <v>306</v>
      </c>
      <c r="B196" s="7">
        <v>46112</v>
      </c>
      <c r="C196" t="s">
        <v>947</v>
      </c>
      <c r="D196">
        <v>3</v>
      </c>
      <c r="E196" t="s">
        <v>39</v>
      </c>
      <c r="F196" t="s">
        <v>47</v>
      </c>
      <c r="G196" t="s">
        <v>81</v>
      </c>
      <c r="H196" t="s">
        <v>33</v>
      </c>
      <c r="I196" t="s">
        <v>34</v>
      </c>
      <c r="J196" t="s">
        <v>35</v>
      </c>
      <c r="K196" t="s">
        <v>36</v>
      </c>
      <c r="L196">
        <v>1</v>
      </c>
      <c r="M196" s="10">
        <v>0.08</v>
      </c>
      <c r="N196" s="11">
        <v>437000</v>
      </c>
      <c r="O196" s="11">
        <v>285000</v>
      </c>
      <c r="P196" s="11">
        <v>152000</v>
      </c>
      <c r="Q196" t="s">
        <v>93</v>
      </c>
      <c r="R196" t="b">
        <f>COUNTIF($A$6     : CleanedSalesData[[#This Row],[Order ID]], CleanedSalesData[[#This Row],[Order ID]])&gt;1</f>
        <v>0</v>
      </c>
      <c r="S196" t="b">
        <f>IF(ISBLANK(CleanedSalesData[[#This Row],[Quantity]]), TRUE, FALSE)</f>
        <v>0</v>
      </c>
      <c r="T196" t="b">
        <f>IF(ISBLANK(CleanedSalesData[[#This Row],[Order Date]]), TRUE, FALSE)</f>
        <v>0</v>
      </c>
      <c r="U196" t="b">
        <f>IF(ISBLANK(CleanedSalesData[[#This Row],[Revenue]]), TRUE, FALSE)</f>
        <v>0</v>
      </c>
      <c r="V196" t="b">
        <f>IF(OR(CleanedSalesData[[#This Row],[Order Status]]="Cancelled", CleanedSalesData[[#This Row],[Order Status]]="Returned"), TRUE, FALSE)</f>
        <v>0</v>
      </c>
      <c r="W196" t="str" cm="1">
        <f t="array" ref="W19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7" spans="1:23" x14ac:dyDescent="0.35">
      <c r="A197" t="s">
        <v>307</v>
      </c>
      <c r="B197" s="7">
        <v>46043</v>
      </c>
      <c r="C197" t="s">
        <v>948</v>
      </c>
      <c r="D197">
        <v>1</v>
      </c>
      <c r="E197" t="s">
        <v>30</v>
      </c>
      <c r="F197" t="s">
        <v>40</v>
      </c>
      <c r="G197" t="s">
        <v>81</v>
      </c>
      <c r="H197" t="s">
        <v>33</v>
      </c>
      <c r="I197" t="s">
        <v>42</v>
      </c>
      <c r="J197" t="s">
        <v>43</v>
      </c>
      <c r="K197" t="s">
        <v>44</v>
      </c>
      <c r="L197">
        <v>6</v>
      </c>
      <c r="M197" s="10">
        <v>0.03</v>
      </c>
      <c r="N197" s="11">
        <v>1600500</v>
      </c>
      <c r="O197" s="11">
        <v>930000</v>
      </c>
      <c r="P197" s="11">
        <v>670500</v>
      </c>
      <c r="Q197" t="s">
        <v>84</v>
      </c>
      <c r="R197" t="b">
        <f>COUNTIF($A$6     : CleanedSalesData[[#This Row],[Order ID]], CleanedSalesData[[#This Row],[Order ID]])&gt;1</f>
        <v>0</v>
      </c>
      <c r="S197" t="b">
        <f>IF(ISBLANK(CleanedSalesData[[#This Row],[Quantity]]), TRUE, FALSE)</f>
        <v>0</v>
      </c>
      <c r="T197" t="b">
        <f>IF(ISBLANK(CleanedSalesData[[#This Row],[Order Date]]), TRUE, FALSE)</f>
        <v>0</v>
      </c>
      <c r="U197" t="b">
        <f>IF(ISBLANK(CleanedSalesData[[#This Row],[Revenue]]), TRUE, FALSE)</f>
        <v>0</v>
      </c>
      <c r="V197" t="b">
        <f>IF(OR(CleanedSalesData[[#This Row],[Order Status]]="Cancelled", CleanedSalesData[[#This Row],[Order Status]]="Returned"), TRUE, FALSE)</f>
        <v>0</v>
      </c>
      <c r="W197" t="str" cm="1">
        <f t="array" ref="W19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8" spans="1:23" x14ac:dyDescent="0.35">
      <c r="A198" t="s">
        <v>308</v>
      </c>
      <c r="B198" s="7">
        <v>46032</v>
      </c>
      <c r="C198" t="s">
        <v>948</v>
      </c>
      <c r="D198">
        <v>1</v>
      </c>
      <c r="E198" t="s">
        <v>111</v>
      </c>
      <c r="F198" t="s">
        <v>31</v>
      </c>
      <c r="G198" t="s">
        <v>48</v>
      </c>
      <c r="H198" t="s">
        <v>33</v>
      </c>
      <c r="I198" t="s">
        <v>49</v>
      </c>
      <c r="J198" t="s">
        <v>50</v>
      </c>
      <c r="K198" t="s">
        <v>51</v>
      </c>
      <c r="L198">
        <v>5</v>
      </c>
      <c r="M198" s="10">
        <v>0.08</v>
      </c>
      <c r="N198" s="11">
        <v>1127000</v>
      </c>
      <c r="O198" s="11">
        <v>725000</v>
      </c>
      <c r="P198" s="11">
        <v>402000</v>
      </c>
      <c r="Q198" t="s">
        <v>74</v>
      </c>
      <c r="R198" t="b">
        <f>COUNTIF($A$6     : CleanedSalesData[[#This Row],[Order ID]], CleanedSalesData[[#This Row],[Order ID]])&gt;1</f>
        <v>0</v>
      </c>
      <c r="S198" t="b">
        <f>IF(ISBLANK(CleanedSalesData[[#This Row],[Quantity]]), TRUE, FALSE)</f>
        <v>0</v>
      </c>
      <c r="T198" t="b">
        <f>IF(ISBLANK(CleanedSalesData[[#This Row],[Order Date]]), TRUE, FALSE)</f>
        <v>0</v>
      </c>
      <c r="U198" t="b">
        <f>IF(ISBLANK(CleanedSalesData[[#This Row],[Revenue]]), TRUE, FALSE)</f>
        <v>0</v>
      </c>
      <c r="V198" t="b">
        <f>IF(OR(CleanedSalesData[[#This Row],[Order Status]]="Cancelled", CleanedSalesData[[#This Row],[Order Status]]="Returned"), TRUE, FALSE)</f>
        <v>0</v>
      </c>
      <c r="W198" t="str" cm="1">
        <f t="array" ref="W19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199" spans="1:23" x14ac:dyDescent="0.35">
      <c r="A199" t="s">
        <v>309</v>
      </c>
      <c r="B199" s="7">
        <v>46043</v>
      </c>
      <c r="C199" t="s">
        <v>948</v>
      </c>
      <c r="D199">
        <v>1</v>
      </c>
      <c r="E199" t="s">
        <v>69</v>
      </c>
      <c r="F199" t="s">
        <v>31</v>
      </c>
      <c r="G199" t="s">
        <v>48</v>
      </c>
      <c r="H199" t="s">
        <v>33</v>
      </c>
      <c r="I199" t="s">
        <v>55</v>
      </c>
      <c r="J199" t="s">
        <v>56</v>
      </c>
      <c r="K199" t="s">
        <v>36</v>
      </c>
      <c r="L199">
        <v>1</v>
      </c>
      <c r="M199" s="10">
        <v>0.05</v>
      </c>
      <c r="N199" s="11">
        <v>1757500</v>
      </c>
      <c r="O199" s="11">
        <v>1320000</v>
      </c>
      <c r="P199" s="11">
        <v>437500</v>
      </c>
      <c r="Q199" t="s">
        <v>57</v>
      </c>
      <c r="R199" t="b">
        <f>COUNTIF($A$6     : CleanedSalesData[[#This Row],[Order ID]], CleanedSalesData[[#This Row],[Order ID]])&gt;1</f>
        <v>0</v>
      </c>
      <c r="S199" t="b">
        <f>IF(ISBLANK(CleanedSalesData[[#This Row],[Quantity]]), TRUE, FALSE)</f>
        <v>0</v>
      </c>
      <c r="T199" t="b">
        <f>IF(ISBLANK(CleanedSalesData[[#This Row],[Order Date]]), TRUE, FALSE)</f>
        <v>0</v>
      </c>
      <c r="U199" t="b">
        <f>IF(ISBLANK(CleanedSalesData[[#This Row],[Revenue]]), TRUE, FALSE)</f>
        <v>0</v>
      </c>
      <c r="V199" t="b">
        <f>IF(OR(CleanedSalesData[[#This Row],[Order Status]]="Cancelled", CleanedSalesData[[#This Row],[Order Status]]="Returned"), TRUE, FALSE)</f>
        <v>0</v>
      </c>
      <c r="W199" t="str" cm="1">
        <f t="array" ref="W19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0" spans="1:23" x14ac:dyDescent="0.35">
      <c r="A200" t="s">
        <v>310</v>
      </c>
      <c r="B200" s="7">
        <v>46083</v>
      </c>
      <c r="C200" t="s">
        <v>947</v>
      </c>
      <c r="D200">
        <v>3</v>
      </c>
      <c r="E200" t="s">
        <v>69</v>
      </c>
      <c r="F200" t="s">
        <v>59</v>
      </c>
      <c r="G200" t="s">
        <v>48</v>
      </c>
      <c r="H200" t="s">
        <v>33</v>
      </c>
      <c r="I200" t="s">
        <v>60</v>
      </c>
      <c r="J200" t="s">
        <v>61</v>
      </c>
      <c r="K200" t="s">
        <v>62</v>
      </c>
      <c r="L200">
        <v>5</v>
      </c>
      <c r="M200" s="10">
        <v>0</v>
      </c>
      <c r="N200" s="11">
        <v>325000</v>
      </c>
      <c r="O200" s="11">
        <v>155000</v>
      </c>
      <c r="P200" s="11">
        <v>170000</v>
      </c>
      <c r="Q200" t="s">
        <v>37</v>
      </c>
      <c r="R200" t="b">
        <f>COUNTIF($A$6     : CleanedSalesData[[#This Row],[Order ID]], CleanedSalesData[[#This Row],[Order ID]])&gt;1</f>
        <v>0</v>
      </c>
      <c r="S200" t="b">
        <f>IF(ISBLANK(CleanedSalesData[[#This Row],[Quantity]]), TRUE, FALSE)</f>
        <v>0</v>
      </c>
      <c r="T200" t="b">
        <f>IF(ISBLANK(CleanedSalesData[[#This Row],[Order Date]]), TRUE, FALSE)</f>
        <v>0</v>
      </c>
      <c r="U200" t="b">
        <f>IF(ISBLANK(CleanedSalesData[[#This Row],[Revenue]]), TRUE, FALSE)</f>
        <v>0</v>
      </c>
      <c r="V200" t="b">
        <f>IF(OR(CleanedSalesData[[#This Row],[Order Status]]="Cancelled", CleanedSalesData[[#This Row],[Order Status]]="Returned"), TRUE, FALSE)</f>
        <v>0</v>
      </c>
      <c r="W200" t="str" cm="1">
        <f t="array" ref="W20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1" spans="1:23" x14ac:dyDescent="0.35">
      <c r="A201" t="s">
        <v>311</v>
      </c>
      <c r="B201" s="7">
        <v>46150</v>
      </c>
      <c r="C201" t="s">
        <v>946</v>
      </c>
      <c r="D201">
        <v>5</v>
      </c>
      <c r="E201" t="s">
        <v>76</v>
      </c>
      <c r="F201" t="s">
        <v>31</v>
      </c>
      <c r="G201" t="s">
        <v>32</v>
      </c>
      <c r="H201" t="s">
        <v>33</v>
      </c>
      <c r="I201" t="s">
        <v>66</v>
      </c>
      <c r="J201" t="s">
        <v>67</v>
      </c>
      <c r="K201" t="s">
        <v>51</v>
      </c>
      <c r="L201">
        <v>1</v>
      </c>
      <c r="M201" s="10">
        <v>0.15</v>
      </c>
      <c r="N201" s="11">
        <v>263500</v>
      </c>
      <c r="O201" s="11">
        <v>190000</v>
      </c>
      <c r="P201" s="11">
        <v>73500</v>
      </c>
      <c r="Q201" t="s">
        <v>93</v>
      </c>
      <c r="R201" t="b">
        <f>COUNTIF($A$6     : CleanedSalesData[[#This Row],[Order ID]], CleanedSalesData[[#This Row],[Order ID]])&gt;1</f>
        <v>0</v>
      </c>
      <c r="S201" t="b">
        <f>IF(ISBLANK(CleanedSalesData[[#This Row],[Quantity]]), TRUE, FALSE)</f>
        <v>0</v>
      </c>
      <c r="T201" t="b">
        <f>IF(ISBLANK(CleanedSalesData[[#This Row],[Order Date]]), TRUE, FALSE)</f>
        <v>0</v>
      </c>
      <c r="U201" t="b">
        <f>IF(ISBLANK(CleanedSalesData[[#This Row],[Revenue]]), TRUE, FALSE)</f>
        <v>0</v>
      </c>
      <c r="V201" t="b">
        <f>IF(OR(CleanedSalesData[[#This Row],[Order Status]]="Cancelled", CleanedSalesData[[#This Row],[Order Status]]="Returned"), TRUE, FALSE)</f>
        <v>0</v>
      </c>
      <c r="W201" t="str" cm="1">
        <f t="array" ref="W20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2" spans="1:23" x14ac:dyDescent="0.35">
      <c r="A202" t="s">
        <v>312</v>
      </c>
      <c r="B202" s="7">
        <v>46023</v>
      </c>
      <c r="C202" t="s">
        <v>948</v>
      </c>
      <c r="D202">
        <v>1</v>
      </c>
      <c r="E202" t="s">
        <v>54</v>
      </c>
      <c r="F202" t="s">
        <v>31</v>
      </c>
      <c r="G202" t="s">
        <v>41</v>
      </c>
      <c r="H202" t="s">
        <v>33</v>
      </c>
      <c r="I202" t="s">
        <v>71</v>
      </c>
      <c r="J202" t="s">
        <v>72</v>
      </c>
      <c r="K202" t="s">
        <v>73</v>
      </c>
      <c r="L202">
        <v>6</v>
      </c>
      <c r="M202" s="10">
        <v>0.03</v>
      </c>
      <c r="N202" s="11">
        <v>727500</v>
      </c>
      <c r="O202" s="11">
        <v>420000</v>
      </c>
      <c r="P202" s="11">
        <v>307500</v>
      </c>
      <c r="Q202" t="s">
        <v>37</v>
      </c>
      <c r="R202" t="b">
        <f>COUNTIF($A$6     : CleanedSalesData[[#This Row],[Order ID]], CleanedSalesData[[#This Row],[Order ID]])&gt;1</f>
        <v>0</v>
      </c>
      <c r="S202" t="b">
        <f>IF(ISBLANK(CleanedSalesData[[#This Row],[Quantity]]), TRUE, FALSE)</f>
        <v>0</v>
      </c>
      <c r="T202" t="b">
        <f>IF(ISBLANK(CleanedSalesData[[#This Row],[Order Date]]), TRUE, FALSE)</f>
        <v>0</v>
      </c>
      <c r="U202" t="b">
        <f>IF(ISBLANK(CleanedSalesData[[#This Row],[Revenue]]), TRUE, FALSE)</f>
        <v>0</v>
      </c>
      <c r="V202" t="b">
        <f>IF(OR(CleanedSalesData[[#This Row],[Order Status]]="Cancelled", CleanedSalesData[[#This Row],[Order Status]]="Returned"), TRUE, FALSE)</f>
        <v>0</v>
      </c>
      <c r="W202" t="str" cm="1">
        <f t="array" ref="W20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3" spans="1:23" x14ac:dyDescent="0.35">
      <c r="A203" t="s">
        <v>313</v>
      </c>
      <c r="B203" s="7">
        <v>46157</v>
      </c>
      <c r="C203" t="s">
        <v>946</v>
      </c>
      <c r="D203">
        <v>5</v>
      </c>
      <c r="E203" t="s">
        <v>54</v>
      </c>
      <c r="F203" t="s">
        <v>40</v>
      </c>
      <c r="G203" t="s">
        <v>48</v>
      </c>
      <c r="H203" t="s">
        <v>90</v>
      </c>
      <c r="I203" t="s">
        <v>78</v>
      </c>
      <c r="J203" t="s">
        <v>79</v>
      </c>
      <c r="K203" t="s">
        <v>62</v>
      </c>
      <c r="L203">
        <v>1</v>
      </c>
      <c r="M203" s="10">
        <v>0.08</v>
      </c>
      <c r="N203" s="11">
        <v>78200</v>
      </c>
      <c r="O203" s="11">
        <v>43000</v>
      </c>
      <c r="P203" s="11">
        <v>35200</v>
      </c>
      <c r="Q203" t="s">
        <v>57</v>
      </c>
      <c r="R203" t="b">
        <f>COUNTIF($A$6     : CleanedSalesData[[#This Row],[Order ID]], CleanedSalesData[[#This Row],[Order ID]])&gt;1</f>
        <v>0</v>
      </c>
      <c r="S203" t="b">
        <f>IF(ISBLANK(CleanedSalesData[[#This Row],[Quantity]]), TRUE, FALSE)</f>
        <v>0</v>
      </c>
      <c r="T203" t="b">
        <f>IF(ISBLANK(CleanedSalesData[[#This Row],[Order Date]]), TRUE, FALSE)</f>
        <v>0</v>
      </c>
      <c r="U203" t="b">
        <f>IF(ISBLANK(CleanedSalesData[[#This Row],[Revenue]]), TRUE, FALSE)</f>
        <v>0</v>
      </c>
      <c r="V203" t="b">
        <f>IF(OR(CleanedSalesData[[#This Row],[Order Status]]="Cancelled", CleanedSalesData[[#This Row],[Order Status]]="Returned"), TRUE, FALSE)</f>
        <v>0</v>
      </c>
      <c r="W203" t="str" cm="1">
        <f t="array" ref="W20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4" spans="1:23" x14ac:dyDescent="0.35">
      <c r="A204" t="s">
        <v>314</v>
      </c>
      <c r="B204" s="7">
        <v>46027</v>
      </c>
      <c r="C204" t="s">
        <v>948</v>
      </c>
      <c r="D204">
        <v>1</v>
      </c>
      <c r="E204" t="s">
        <v>30</v>
      </c>
      <c r="F204" t="s">
        <v>40</v>
      </c>
      <c r="G204" t="s">
        <v>81</v>
      </c>
      <c r="H204" t="s">
        <v>33</v>
      </c>
      <c r="I204" t="s">
        <v>82</v>
      </c>
      <c r="J204" t="s">
        <v>83</v>
      </c>
      <c r="K204" t="s">
        <v>44</v>
      </c>
      <c r="L204">
        <v>6</v>
      </c>
      <c r="M204" s="10">
        <v>0</v>
      </c>
      <c r="N204" s="11">
        <v>8700000</v>
      </c>
      <c r="O204" s="11">
        <v>5880000</v>
      </c>
      <c r="P204" s="11">
        <v>2820000</v>
      </c>
      <c r="Q204" t="s">
        <v>74</v>
      </c>
      <c r="R204" t="b">
        <f>COUNTIF($A$6     : CleanedSalesData[[#This Row],[Order ID]], CleanedSalesData[[#This Row],[Order ID]])&gt;1</f>
        <v>0</v>
      </c>
      <c r="S204" t="b">
        <f>IF(ISBLANK(CleanedSalesData[[#This Row],[Quantity]]), TRUE, FALSE)</f>
        <v>0</v>
      </c>
      <c r="T204" t="b">
        <f>IF(ISBLANK(CleanedSalesData[[#This Row],[Order Date]]), TRUE, FALSE)</f>
        <v>0</v>
      </c>
      <c r="U204" t="b">
        <f>IF(ISBLANK(CleanedSalesData[[#This Row],[Revenue]]), TRUE, FALSE)</f>
        <v>0</v>
      </c>
      <c r="V204" t="b">
        <f>IF(OR(CleanedSalesData[[#This Row],[Order Status]]="Cancelled", CleanedSalesData[[#This Row],[Order Status]]="Returned"), TRUE, FALSE)</f>
        <v>0</v>
      </c>
      <c r="W204" t="str" cm="1">
        <f t="array" ref="W20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5" spans="1:23" x14ac:dyDescent="0.35">
      <c r="A205" t="s">
        <v>315</v>
      </c>
      <c r="B205" s="7">
        <v>46113</v>
      </c>
      <c r="C205" t="s">
        <v>949</v>
      </c>
      <c r="D205">
        <v>4</v>
      </c>
      <c r="E205" t="s">
        <v>30</v>
      </c>
      <c r="F205" t="s">
        <v>59</v>
      </c>
      <c r="G205" t="s">
        <v>48</v>
      </c>
      <c r="H205" t="s">
        <v>33</v>
      </c>
      <c r="I205" t="s">
        <v>86</v>
      </c>
      <c r="J205" t="s">
        <v>87</v>
      </c>
      <c r="K205" t="s">
        <v>36</v>
      </c>
      <c r="L205">
        <v>6</v>
      </c>
      <c r="M205" s="10">
        <v>0.15</v>
      </c>
      <c r="N205" s="11">
        <v>1785000</v>
      </c>
      <c r="O205" s="11">
        <v>1260000</v>
      </c>
      <c r="P205" s="11">
        <v>525000</v>
      </c>
      <c r="Q205" t="s">
        <v>84</v>
      </c>
      <c r="R205" t="b">
        <f>COUNTIF($A$6     : CleanedSalesData[[#This Row],[Order ID]], CleanedSalesData[[#This Row],[Order ID]])&gt;1</f>
        <v>0</v>
      </c>
      <c r="S205" t="b">
        <f>IF(ISBLANK(CleanedSalesData[[#This Row],[Quantity]]), TRUE, FALSE)</f>
        <v>0</v>
      </c>
      <c r="T205" t="b">
        <f>IF(ISBLANK(CleanedSalesData[[#This Row],[Order Date]]), TRUE, FALSE)</f>
        <v>0</v>
      </c>
      <c r="U205" t="b">
        <f>IF(ISBLANK(CleanedSalesData[[#This Row],[Revenue]]), TRUE, FALSE)</f>
        <v>0</v>
      </c>
      <c r="V205" t="b">
        <f>IF(OR(CleanedSalesData[[#This Row],[Order Status]]="Cancelled", CleanedSalesData[[#This Row],[Order Status]]="Returned"), TRUE, FALSE)</f>
        <v>0</v>
      </c>
      <c r="W205" t="str" cm="1">
        <f t="array" ref="W20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6" spans="1:23" x14ac:dyDescent="0.35">
      <c r="A206" t="s">
        <v>316</v>
      </c>
      <c r="B206" s="7">
        <v>46039</v>
      </c>
      <c r="C206" t="s">
        <v>948</v>
      </c>
      <c r="D206">
        <v>1</v>
      </c>
      <c r="E206" t="s">
        <v>95</v>
      </c>
      <c r="F206" t="s">
        <v>40</v>
      </c>
      <c r="G206" t="s">
        <v>32</v>
      </c>
      <c r="H206" t="s">
        <v>33</v>
      </c>
      <c r="I206" t="s">
        <v>34</v>
      </c>
      <c r="J206" t="s">
        <v>35</v>
      </c>
      <c r="K206" t="s">
        <v>36</v>
      </c>
      <c r="L206">
        <v>8</v>
      </c>
      <c r="M206" s="10">
        <v>0</v>
      </c>
      <c r="O206" s="11">
        <v>2280000</v>
      </c>
      <c r="P206" s="11">
        <v>1520000</v>
      </c>
      <c r="Q206" t="s">
        <v>63</v>
      </c>
      <c r="R206" t="b">
        <f>COUNTIF($A$6     : CleanedSalesData[[#This Row],[Order ID]], CleanedSalesData[[#This Row],[Order ID]])&gt;1</f>
        <v>0</v>
      </c>
      <c r="S206" t="b">
        <f>IF(ISBLANK(CleanedSalesData[[#This Row],[Quantity]]), TRUE, FALSE)</f>
        <v>0</v>
      </c>
      <c r="T206" t="b">
        <f>IF(ISBLANK(CleanedSalesData[[#This Row],[Order Date]]), TRUE, FALSE)</f>
        <v>0</v>
      </c>
      <c r="U206" t="b">
        <f>IF(ISBLANK(CleanedSalesData[[#This Row],[Revenue]]), TRUE, FALSE)</f>
        <v>1</v>
      </c>
      <c r="V206" t="b">
        <f>IF(OR(CleanedSalesData[[#This Row],[Order Status]]="Cancelled", CleanedSalesData[[#This Row],[Order Status]]="Returned"), TRUE, FALSE)</f>
        <v>0</v>
      </c>
      <c r="W206" t="str" cm="1">
        <f t="array" ref="W20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207" spans="1:23" x14ac:dyDescent="0.35">
      <c r="A207" t="s">
        <v>317</v>
      </c>
      <c r="B207" s="7">
        <v>46102</v>
      </c>
      <c r="C207" t="s">
        <v>947</v>
      </c>
      <c r="D207">
        <v>3</v>
      </c>
      <c r="E207" t="s">
        <v>76</v>
      </c>
      <c r="F207" t="s">
        <v>40</v>
      </c>
      <c r="G207" t="s">
        <v>32</v>
      </c>
      <c r="H207" t="s">
        <v>33</v>
      </c>
      <c r="I207" t="s">
        <v>42</v>
      </c>
      <c r="J207" t="s">
        <v>43</v>
      </c>
      <c r="K207" t="s">
        <v>44</v>
      </c>
      <c r="L207">
        <v>7</v>
      </c>
      <c r="M207" s="10">
        <v>0.1</v>
      </c>
      <c r="N207" s="11">
        <v>1732500</v>
      </c>
      <c r="O207" s="11">
        <v>1085000</v>
      </c>
      <c r="P207" s="11">
        <v>647500</v>
      </c>
      <c r="Q207" t="s">
        <v>63</v>
      </c>
      <c r="R207" t="b">
        <f>COUNTIF($A$6     : CleanedSalesData[[#This Row],[Order ID]], CleanedSalesData[[#This Row],[Order ID]])&gt;1</f>
        <v>0</v>
      </c>
      <c r="S207" t="b">
        <f>IF(ISBLANK(CleanedSalesData[[#This Row],[Quantity]]), TRUE, FALSE)</f>
        <v>0</v>
      </c>
      <c r="T207" t="b">
        <f>IF(ISBLANK(CleanedSalesData[[#This Row],[Order Date]]), TRUE, FALSE)</f>
        <v>0</v>
      </c>
      <c r="U207" t="b">
        <f>IF(ISBLANK(CleanedSalesData[[#This Row],[Revenue]]), TRUE, FALSE)</f>
        <v>0</v>
      </c>
      <c r="V207" t="b">
        <f>IF(OR(CleanedSalesData[[#This Row],[Order Status]]="Cancelled", CleanedSalesData[[#This Row],[Order Status]]="Returned"), TRUE, FALSE)</f>
        <v>0</v>
      </c>
      <c r="W207" t="str" cm="1">
        <f t="array" ref="W20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8" spans="1:23" x14ac:dyDescent="0.35">
      <c r="A208" t="s">
        <v>318</v>
      </c>
      <c r="B208" s="7">
        <v>46035</v>
      </c>
      <c r="C208" t="s">
        <v>948</v>
      </c>
      <c r="D208">
        <v>1</v>
      </c>
      <c r="E208" t="s">
        <v>65</v>
      </c>
      <c r="F208" t="s">
        <v>70</v>
      </c>
      <c r="G208" t="s">
        <v>48</v>
      </c>
      <c r="H208" t="s">
        <v>33</v>
      </c>
      <c r="I208" t="s">
        <v>49</v>
      </c>
      <c r="J208" t="s">
        <v>50</v>
      </c>
      <c r="K208" t="s">
        <v>51</v>
      </c>
      <c r="L208">
        <v>6</v>
      </c>
      <c r="M208" s="10">
        <v>0.05</v>
      </c>
      <c r="N208" s="11">
        <v>1396500</v>
      </c>
      <c r="O208" s="11">
        <v>870000</v>
      </c>
      <c r="P208" s="11">
        <v>526500</v>
      </c>
      <c r="Q208" t="s">
        <v>52</v>
      </c>
      <c r="R208" t="b">
        <f>COUNTIF($A$6     : CleanedSalesData[[#This Row],[Order ID]], CleanedSalesData[[#This Row],[Order ID]])&gt;1</f>
        <v>0</v>
      </c>
      <c r="S208" t="b">
        <f>IF(ISBLANK(CleanedSalesData[[#This Row],[Quantity]]), TRUE, FALSE)</f>
        <v>0</v>
      </c>
      <c r="T208" t="b">
        <f>IF(ISBLANK(CleanedSalesData[[#This Row],[Order Date]]), TRUE, FALSE)</f>
        <v>0</v>
      </c>
      <c r="U208" t="b">
        <f>IF(ISBLANK(CleanedSalesData[[#This Row],[Revenue]]), TRUE, FALSE)</f>
        <v>0</v>
      </c>
      <c r="V208" t="b">
        <f>IF(OR(CleanedSalesData[[#This Row],[Order Status]]="Cancelled", CleanedSalesData[[#This Row],[Order Status]]="Returned"), TRUE, FALSE)</f>
        <v>0</v>
      </c>
      <c r="W208" t="str" cm="1">
        <f t="array" ref="W20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09" spans="1:23" x14ac:dyDescent="0.35">
      <c r="A209" t="s">
        <v>319</v>
      </c>
      <c r="B209" s="7">
        <v>46121</v>
      </c>
      <c r="C209" t="s">
        <v>949</v>
      </c>
      <c r="D209">
        <v>4</v>
      </c>
      <c r="E209" t="s">
        <v>76</v>
      </c>
      <c r="F209" t="s">
        <v>59</v>
      </c>
      <c r="G209" t="s">
        <v>81</v>
      </c>
      <c r="H209" t="s">
        <v>33</v>
      </c>
      <c r="I209" t="s">
        <v>55</v>
      </c>
      <c r="J209" t="s">
        <v>56</v>
      </c>
      <c r="K209" t="s">
        <v>36</v>
      </c>
      <c r="L209">
        <v>6</v>
      </c>
      <c r="M209" s="10">
        <v>0.03</v>
      </c>
      <c r="N209" s="11">
        <v>10767000</v>
      </c>
      <c r="O209" s="11">
        <v>7920000</v>
      </c>
      <c r="P209" s="11">
        <v>2847000</v>
      </c>
      <c r="Q209" t="s">
        <v>37</v>
      </c>
      <c r="R209" t="b">
        <f>COUNTIF($A$6     : CleanedSalesData[[#This Row],[Order ID]], CleanedSalesData[[#This Row],[Order ID]])&gt;1</f>
        <v>0</v>
      </c>
      <c r="S209" t="b">
        <f>IF(ISBLANK(CleanedSalesData[[#This Row],[Quantity]]), TRUE, FALSE)</f>
        <v>0</v>
      </c>
      <c r="T209" t="b">
        <f>IF(ISBLANK(CleanedSalesData[[#This Row],[Order Date]]), TRUE, FALSE)</f>
        <v>0</v>
      </c>
      <c r="U209" t="b">
        <f>IF(ISBLANK(CleanedSalesData[[#This Row],[Revenue]]), TRUE, FALSE)</f>
        <v>0</v>
      </c>
      <c r="V209" t="b">
        <f>IF(OR(CleanedSalesData[[#This Row],[Order Status]]="Cancelled", CleanedSalesData[[#This Row],[Order Status]]="Returned"), TRUE, FALSE)</f>
        <v>0</v>
      </c>
      <c r="W209" t="str" cm="1">
        <f t="array" ref="W20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0" spans="1:23" x14ac:dyDescent="0.35">
      <c r="A210" t="s">
        <v>320</v>
      </c>
      <c r="B210" s="7">
        <v>46131</v>
      </c>
      <c r="C210" t="s">
        <v>949</v>
      </c>
      <c r="D210">
        <v>4</v>
      </c>
      <c r="E210" t="s">
        <v>54</v>
      </c>
      <c r="F210" t="s">
        <v>31</v>
      </c>
      <c r="G210" t="s">
        <v>81</v>
      </c>
      <c r="H210" t="s">
        <v>33</v>
      </c>
      <c r="I210" t="s">
        <v>60</v>
      </c>
      <c r="J210" t="s">
        <v>61</v>
      </c>
      <c r="K210" t="s">
        <v>62</v>
      </c>
      <c r="L210">
        <v>2</v>
      </c>
      <c r="M210" s="10">
        <v>0.08</v>
      </c>
      <c r="N210" s="11">
        <v>119600</v>
      </c>
      <c r="O210" s="11">
        <v>62000</v>
      </c>
      <c r="P210" s="11">
        <v>57600</v>
      </c>
      <c r="Q210" t="s">
        <v>37</v>
      </c>
      <c r="R210" t="b">
        <f>COUNTIF($A$6     : CleanedSalesData[[#This Row],[Order ID]], CleanedSalesData[[#This Row],[Order ID]])&gt;1</f>
        <v>0</v>
      </c>
      <c r="S210" t="b">
        <f>IF(ISBLANK(CleanedSalesData[[#This Row],[Quantity]]), TRUE, FALSE)</f>
        <v>0</v>
      </c>
      <c r="T210" t="b">
        <f>IF(ISBLANK(CleanedSalesData[[#This Row],[Order Date]]), TRUE, FALSE)</f>
        <v>0</v>
      </c>
      <c r="U210" t="b">
        <f>IF(ISBLANK(CleanedSalesData[[#This Row],[Revenue]]), TRUE, FALSE)</f>
        <v>0</v>
      </c>
      <c r="V210" t="b">
        <f>IF(OR(CleanedSalesData[[#This Row],[Order Status]]="Cancelled", CleanedSalesData[[#This Row],[Order Status]]="Returned"), TRUE, FALSE)</f>
        <v>0</v>
      </c>
      <c r="W210" t="str" cm="1">
        <f t="array" ref="W21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1" spans="1:23" x14ac:dyDescent="0.35">
      <c r="A211" t="s">
        <v>322</v>
      </c>
      <c r="B211" s="7">
        <v>46043</v>
      </c>
      <c r="C211" t="s">
        <v>948</v>
      </c>
      <c r="D211">
        <v>1</v>
      </c>
      <c r="E211" t="s">
        <v>30</v>
      </c>
      <c r="F211" t="s">
        <v>59</v>
      </c>
      <c r="G211" t="s">
        <v>48</v>
      </c>
      <c r="H211" t="s">
        <v>33</v>
      </c>
      <c r="I211" t="s">
        <v>66</v>
      </c>
      <c r="J211" t="s">
        <v>67</v>
      </c>
      <c r="K211" t="s">
        <v>51</v>
      </c>
      <c r="L211">
        <v>6</v>
      </c>
      <c r="M211" s="10">
        <v>0.15</v>
      </c>
      <c r="N211" s="11">
        <v>1581000</v>
      </c>
      <c r="O211" s="11">
        <v>1140000</v>
      </c>
      <c r="P211" s="11">
        <v>441000</v>
      </c>
      <c r="Q211" t="s">
        <v>52</v>
      </c>
      <c r="R211" t="b">
        <f>COUNTIF($A$6     : CleanedSalesData[[#This Row],[Order ID]], CleanedSalesData[[#This Row],[Order ID]])&gt;1</f>
        <v>0</v>
      </c>
      <c r="S211" t="b">
        <f>IF(ISBLANK(CleanedSalesData[[#This Row],[Quantity]]), TRUE, FALSE)</f>
        <v>0</v>
      </c>
      <c r="T211" t="b">
        <f>IF(ISBLANK(CleanedSalesData[[#This Row],[Order Date]]), TRUE, FALSE)</f>
        <v>0</v>
      </c>
      <c r="U211" t="b">
        <f>IF(ISBLANK(CleanedSalesData[[#This Row],[Revenue]]), TRUE, FALSE)</f>
        <v>0</v>
      </c>
      <c r="V211" t="b">
        <f>IF(OR(CleanedSalesData[[#This Row],[Order Status]]="Cancelled", CleanedSalesData[[#This Row],[Order Status]]="Returned"), TRUE, FALSE)</f>
        <v>0</v>
      </c>
      <c r="W211" t="str" cm="1">
        <f t="array" ref="W21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2" spans="1:23" x14ac:dyDescent="0.35">
      <c r="A212" t="s">
        <v>323</v>
      </c>
      <c r="B212" s="7">
        <v>46112</v>
      </c>
      <c r="C212" t="s">
        <v>947</v>
      </c>
      <c r="D212">
        <v>3</v>
      </c>
      <c r="E212" t="s">
        <v>76</v>
      </c>
      <c r="F212" t="s">
        <v>70</v>
      </c>
      <c r="G212" t="s">
        <v>48</v>
      </c>
      <c r="H212" t="s">
        <v>33</v>
      </c>
      <c r="I212" t="s">
        <v>71</v>
      </c>
      <c r="J212" t="s">
        <v>72</v>
      </c>
      <c r="K212" t="s">
        <v>73</v>
      </c>
      <c r="L212">
        <v>8</v>
      </c>
      <c r="M212" s="10">
        <v>0</v>
      </c>
      <c r="N212" s="11">
        <v>1000000</v>
      </c>
      <c r="O212" s="11">
        <v>560000</v>
      </c>
      <c r="P212" s="11">
        <v>440000</v>
      </c>
      <c r="Q212" t="s">
        <v>74</v>
      </c>
      <c r="R212" t="b">
        <f>COUNTIF($A$6     : CleanedSalesData[[#This Row],[Order ID]], CleanedSalesData[[#This Row],[Order ID]])&gt;1</f>
        <v>0</v>
      </c>
      <c r="S212" t="b">
        <f>IF(ISBLANK(CleanedSalesData[[#This Row],[Quantity]]), TRUE, FALSE)</f>
        <v>0</v>
      </c>
      <c r="T212" t="b">
        <f>IF(ISBLANK(CleanedSalesData[[#This Row],[Order Date]]), TRUE, FALSE)</f>
        <v>0</v>
      </c>
      <c r="U212" t="b">
        <f>IF(ISBLANK(CleanedSalesData[[#This Row],[Revenue]]), TRUE, FALSE)</f>
        <v>0</v>
      </c>
      <c r="V212" t="b">
        <f>IF(OR(CleanedSalesData[[#This Row],[Order Status]]="Cancelled", CleanedSalesData[[#This Row],[Order Status]]="Returned"), TRUE, FALSE)</f>
        <v>0</v>
      </c>
      <c r="W212" t="str" cm="1">
        <f t="array" ref="W21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3" spans="1:23" x14ac:dyDescent="0.35">
      <c r="A213" t="s">
        <v>324</v>
      </c>
      <c r="B213" s="7">
        <v>46042</v>
      </c>
      <c r="C213" t="s">
        <v>948</v>
      </c>
      <c r="D213">
        <v>1</v>
      </c>
      <c r="E213" t="s">
        <v>30</v>
      </c>
      <c r="F213" t="s">
        <v>31</v>
      </c>
      <c r="G213" t="s">
        <v>41</v>
      </c>
      <c r="H213" t="s">
        <v>33</v>
      </c>
      <c r="I213" t="s">
        <v>78</v>
      </c>
      <c r="J213" t="s">
        <v>79</v>
      </c>
      <c r="K213" t="s">
        <v>62</v>
      </c>
      <c r="L213">
        <v>7</v>
      </c>
      <c r="M213" s="10">
        <v>0.05</v>
      </c>
      <c r="N213" s="11">
        <v>565250</v>
      </c>
      <c r="O213" s="11">
        <v>301000</v>
      </c>
      <c r="P213" s="11">
        <v>264250</v>
      </c>
      <c r="Q213" t="s">
        <v>52</v>
      </c>
      <c r="R213" t="b">
        <f>COUNTIF($A$6     : CleanedSalesData[[#This Row],[Order ID]], CleanedSalesData[[#This Row],[Order ID]])&gt;1</f>
        <v>0</v>
      </c>
      <c r="S213" t="b">
        <f>IF(ISBLANK(CleanedSalesData[[#This Row],[Quantity]]), TRUE, FALSE)</f>
        <v>0</v>
      </c>
      <c r="T213" t="b">
        <f>IF(ISBLANK(CleanedSalesData[[#This Row],[Order Date]]), TRUE, FALSE)</f>
        <v>0</v>
      </c>
      <c r="U213" t="b">
        <f>IF(ISBLANK(CleanedSalesData[[#This Row],[Revenue]]), TRUE, FALSE)</f>
        <v>0</v>
      </c>
      <c r="V213" t="b">
        <f>IF(OR(CleanedSalesData[[#This Row],[Order Status]]="Cancelled", CleanedSalesData[[#This Row],[Order Status]]="Returned"), TRUE, FALSE)</f>
        <v>0</v>
      </c>
      <c r="W213" t="str" cm="1">
        <f t="array" ref="W21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4" spans="1:23" x14ac:dyDescent="0.35">
      <c r="A214" t="s">
        <v>326</v>
      </c>
      <c r="B214" s="7">
        <v>46031</v>
      </c>
      <c r="C214" t="s">
        <v>948</v>
      </c>
      <c r="D214">
        <v>1</v>
      </c>
      <c r="E214" t="s">
        <v>65</v>
      </c>
      <c r="F214" t="s">
        <v>70</v>
      </c>
      <c r="G214" t="s">
        <v>81</v>
      </c>
      <c r="H214" t="s">
        <v>33</v>
      </c>
      <c r="I214" t="s">
        <v>82</v>
      </c>
      <c r="J214" t="s">
        <v>83</v>
      </c>
      <c r="K214" t="s">
        <v>44</v>
      </c>
      <c r="L214">
        <v>3</v>
      </c>
      <c r="M214" s="10">
        <v>0</v>
      </c>
      <c r="N214" s="11">
        <v>4350000</v>
      </c>
      <c r="O214" s="11">
        <v>2940000</v>
      </c>
      <c r="P214" s="11">
        <v>1410000</v>
      </c>
      <c r="Q214" t="s">
        <v>74</v>
      </c>
      <c r="R214" t="b">
        <f>COUNTIF($A$6     : CleanedSalesData[[#This Row],[Order ID]], CleanedSalesData[[#This Row],[Order ID]])&gt;1</f>
        <v>0</v>
      </c>
      <c r="S214" t="b">
        <f>IF(ISBLANK(CleanedSalesData[[#This Row],[Quantity]]), TRUE, FALSE)</f>
        <v>0</v>
      </c>
      <c r="T214" t="b">
        <f>IF(ISBLANK(CleanedSalesData[[#This Row],[Order Date]]), TRUE, FALSE)</f>
        <v>0</v>
      </c>
      <c r="U214" t="b">
        <f>IF(ISBLANK(CleanedSalesData[[#This Row],[Revenue]]), TRUE, FALSE)</f>
        <v>0</v>
      </c>
      <c r="V214" t="b">
        <f>IF(OR(CleanedSalesData[[#This Row],[Order Status]]="Cancelled", CleanedSalesData[[#This Row],[Order Status]]="Returned"), TRUE, FALSE)</f>
        <v>0</v>
      </c>
      <c r="W214" t="str" cm="1">
        <f t="array" ref="W21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5" spans="1:23" x14ac:dyDescent="0.35">
      <c r="A215" t="s">
        <v>327</v>
      </c>
      <c r="B215" s="7">
        <v>46177</v>
      </c>
      <c r="C215" t="s">
        <v>945</v>
      </c>
      <c r="D215">
        <v>6</v>
      </c>
      <c r="E215" t="s">
        <v>111</v>
      </c>
      <c r="F215" t="s">
        <v>70</v>
      </c>
      <c r="G215" t="s">
        <v>81</v>
      </c>
      <c r="H215" t="s">
        <v>33</v>
      </c>
      <c r="I215" t="s">
        <v>86</v>
      </c>
      <c r="J215" t="s">
        <v>87</v>
      </c>
      <c r="K215" t="s">
        <v>36</v>
      </c>
      <c r="L215">
        <v>3</v>
      </c>
      <c r="M215" s="10">
        <v>0.15</v>
      </c>
      <c r="N215" s="11">
        <v>892500</v>
      </c>
      <c r="O215" s="11">
        <v>630000</v>
      </c>
      <c r="P215" s="11">
        <v>262500</v>
      </c>
      <c r="Q215" t="s">
        <v>37</v>
      </c>
      <c r="R215" t="b">
        <f>COUNTIF($A$6     : CleanedSalesData[[#This Row],[Order ID]], CleanedSalesData[[#This Row],[Order ID]])&gt;1</f>
        <v>0</v>
      </c>
      <c r="S215" t="b">
        <f>IF(ISBLANK(CleanedSalesData[[#This Row],[Quantity]]), TRUE, FALSE)</f>
        <v>0</v>
      </c>
      <c r="T215" t="b">
        <f>IF(ISBLANK(CleanedSalesData[[#This Row],[Order Date]]), TRUE, FALSE)</f>
        <v>0</v>
      </c>
      <c r="U215" t="b">
        <f>IF(ISBLANK(CleanedSalesData[[#This Row],[Revenue]]), TRUE, FALSE)</f>
        <v>0</v>
      </c>
      <c r="V215" t="b">
        <f>IF(OR(CleanedSalesData[[#This Row],[Order Status]]="Cancelled", CleanedSalesData[[#This Row],[Order Status]]="Returned"), TRUE, FALSE)</f>
        <v>0</v>
      </c>
      <c r="W215" t="str" cm="1">
        <f t="array" ref="W21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6" spans="1:23" x14ac:dyDescent="0.35">
      <c r="A216" t="s">
        <v>328</v>
      </c>
      <c r="B216" s="7">
        <v>46169</v>
      </c>
      <c r="C216" t="s">
        <v>946</v>
      </c>
      <c r="D216">
        <v>5</v>
      </c>
      <c r="E216" t="s">
        <v>39</v>
      </c>
      <c r="F216" t="s">
        <v>70</v>
      </c>
      <c r="G216" t="s">
        <v>81</v>
      </c>
      <c r="H216" t="s">
        <v>33</v>
      </c>
      <c r="I216" t="s">
        <v>34</v>
      </c>
      <c r="J216" t="s">
        <v>35</v>
      </c>
      <c r="K216" t="s">
        <v>36</v>
      </c>
      <c r="L216">
        <v>3</v>
      </c>
      <c r="M216" s="10">
        <v>0.1</v>
      </c>
      <c r="N216" s="11">
        <v>1282500</v>
      </c>
      <c r="O216" s="11">
        <v>855000</v>
      </c>
      <c r="P216" s="11">
        <v>427500</v>
      </c>
      <c r="Q216" t="s">
        <v>37</v>
      </c>
      <c r="R216" t="b">
        <f>COUNTIF($A$6     : CleanedSalesData[[#This Row],[Order ID]], CleanedSalesData[[#This Row],[Order ID]])&gt;1</f>
        <v>0</v>
      </c>
      <c r="S216" t="b">
        <f>IF(ISBLANK(CleanedSalesData[[#This Row],[Quantity]]), TRUE, FALSE)</f>
        <v>0</v>
      </c>
      <c r="T216" t="b">
        <f>IF(ISBLANK(CleanedSalesData[[#This Row],[Order Date]]), TRUE, FALSE)</f>
        <v>0</v>
      </c>
      <c r="U216" t="b">
        <f>IF(ISBLANK(CleanedSalesData[[#This Row],[Revenue]]), TRUE, FALSE)</f>
        <v>0</v>
      </c>
      <c r="V216" t="b">
        <f>IF(OR(CleanedSalesData[[#This Row],[Order Status]]="Cancelled", CleanedSalesData[[#This Row],[Order Status]]="Returned"), TRUE, FALSE)</f>
        <v>0</v>
      </c>
      <c r="W216" t="str" cm="1">
        <f t="array" ref="W21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7" spans="1:23" x14ac:dyDescent="0.35">
      <c r="A217" t="s">
        <v>329</v>
      </c>
      <c r="B217" s="7">
        <v>46029</v>
      </c>
      <c r="C217" t="s">
        <v>948</v>
      </c>
      <c r="D217">
        <v>1</v>
      </c>
      <c r="E217" t="s">
        <v>76</v>
      </c>
      <c r="F217" t="s">
        <v>47</v>
      </c>
      <c r="G217" t="s">
        <v>41</v>
      </c>
      <c r="H217" t="s">
        <v>33</v>
      </c>
      <c r="I217" t="s">
        <v>42</v>
      </c>
      <c r="J217" t="s">
        <v>43</v>
      </c>
      <c r="K217" t="s">
        <v>44</v>
      </c>
      <c r="L217">
        <v>3</v>
      </c>
      <c r="M217" s="10">
        <v>0.08</v>
      </c>
      <c r="N217" s="11">
        <v>759000</v>
      </c>
      <c r="O217" s="11">
        <v>465000</v>
      </c>
      <c r="P217" s="11">
        <v>294000</v>
      </c>
      <c r="Q217" t="s">
        <v>57</v>
      </c>
      <c r="R217" t="b">
        <f>COUNTIF($A$6     : CleanedSalesData[[#This Row],[Order ID]], CleanedSalesData[[#This Row],[Order ID]])&gt;1</f>
        <v>0</v>
      </c>
      <c r="S217" t="b">
        <f>IF(ISBLANK(CleanedSalesData[[#This Row],[Quantity]]), TRUE, FALSE)</f>
        <v>0</v>
      </c>
      <c r="T217" t="b">
        <f>IF(ISBLANK(CleanedSalesData[[#This Row],[Order Date]]), TRUE, FALSE)</f>
        <v>0</v>
      </c>
      <c r="U217" t="b">
        <f>IF(ISBLANK(CleanedSalesData[[#This Row],[Revenue]]), TRUE, FALSE)</f>
        <v>0</v>
      </c>
      <c r="V217" t="b">
        <f>IF(OR(CleanedSalesData[[#This Row],[Order Status]]="Cancelled", CleanedSalesData[[#This Row],[Order Status]]="Returned"), TRUE, FALSE)</f>
        <v>0</v>
      </c>
      <c r="W217" t="str" cm="1">
        <f t="array" ref="W21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18" spans="1:23" x14ac:dyDescent="0.35">
      <c r="A218" t="s">
        <v>330</v>
      </c>
      <c r="B218" s="7">
        <v>46203</v>
      </c>
      <c r="C218" t="s">
        <v>945</v>
      </c>
      <c r="D218">
        <v>6</v>
      </c>
      <c r="E218" t="s">
        <v>69</v>
      </c>
      <c r="F218" t="s">
        <v>59</v>
      </c>
      <c r="G218" t="s">
        <v>32</v>
      </c>
      <c r="H218" t="s">
        <v>77</v>
      </c>
      <c r="I218" t="s">
        <v>331</v>
      </c>
      <c r="J218" t="s">
        <v>50</v>
      </c>
      <c r="K218" t="s">
        <v>51</v>
      </c>
      <c r="L218">
        <v>8</v>
      </c>
      <c r="M218" s="10">
        <v>0.03</v>
      </c>
      <c r="N218" s="11">
        <v>475300</v>
      </c>
      <c r="O218" s="11">
        <v>1160000</v>
      </c>
      <c r="P218" s="11">
        <v>-684700</v>
      </c>
      <c r="Q218" t="s">
        <v>84</v>
      </c>
      <c r="R218" t="b">
        <f>COUNTIF($A$6     : CleanedSalesData[[#This Row],[Order ID]], CleanedSalesData[[#This Row],[Order ID]])&gt;1</f>
        <v>0</v>
      </c>
      <c r="S218" t="b">
        <f>IF(ISBLANK(CleanedSalesData[[#This Row],[Quantity]]), TRUE, FALSE)</f>
        <v>0</v>
      </c>
      <c r="T218" t="b">
        <f>IF(ISBLANK(CleanedSalesData[[#This Row],[Order Date]]), TRUE, FALSE)</f>
        <v>0</v>
      </c>
      <c r="U218" t="b">
        <f>IF(ISBLANK(CleanedSalesData[[#This Row],[Revenue]]), TRUE, FALSE)</f>
        <v>0</v>
      </c>
      <c r="V218" t="b">
        <f>IF(OR(CleanedSalesData[[#This Row],[Order Status]]="Cancelled", CleanedSalesData[[#This Row],[Order Status]]="Returned"), TRUE, FALSE)</f>
        <v>1</v>
      </c>
      <c r="W218" t="str" cm="1">
        <f t="array" ref="W21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19" spans="1:23" x14ac:dyDescent="0.35">
      <c r="A219" t="s">
        <v>332</v>
      </c>
      <c r="B219" s="7">
        <v>46041</v>
      </c>
      <c r="C219" t="s">
        <v>948</v>
      </c>
      <c r="D219">
        <v>1</v>
      </c>
      <c r="E219" t="s">
        <v>54</v>
      </c>
      <c r="F219" t="s">
        <v>40</v>
      </c>
      <c r="G219" t="s">
        <v>81</v>
      </c>
      <c r="H219" t="s">
        <v>112</v>
      </c>
      <c r="I219" t="s">
        <v>55</v>
      </c>
      <c r="J219" t="s">
        <v>56</v>
      </c>
      <c r="K219" t="s">
        <v>36</v>
      </c>
      <c r="L219">
        <v>8</v>
      </c>
      <c r="M219" s="10">
        <v>0.03</v>
      </c>
      <c r="N219" s="11">
        <v>3589000</v>
      </c>
      <c r="O219" s="11">
        <v>10560000</v>
      </c>
      <c r="P219" s="11">
        <v>-6971000</v>
      </c>
      <c r="Q219" t="s">
        <v>37</v>
      </c>
      <c r="R219" t="b">
        <f>COUNTIF($A$6     : CleanedSalesData[[#This Row],[Order ID]], CleanedSalesData[[#This Row],[Order ID]])&gt;1</f>
        <v>0</v>
      </c>
      <c r="S219" t="b">
        <f>IF(ISBLANK(CleanedSalesData[[#This Row],[Quantity]]), TRUE, FALSE)</f>
        <v>0</v>
      </c>
      <c r="T219" t="b">
        <f>IF(ISBLANK(CleanedSalesData[[#This Row],[Order Date]]), TRUE, FALSE)</f>
        <v>0</v>
      </c>
      <c r="U219" t="b">
        <f>IF(ISBLANK(CleanedSalesData[[#This Row],[Revenue]]), TRUE, FALSE)</f>
        <v>0</v>
      </c>
      <c r="V219" t="b">
        <f>IF(OR(CleanedSalesData[[#This Row],[Order Status]]="Cancelled", CleanedSalesData[[#This Row],[Order Status]]="Returned"), TRUE, FALSE)</f>
        <v>1</v>
      </c>
      <c r="W219" t="str" cm="1">
        <f t="array" ref="W21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20" spans="1:23" x14ac:dyDescent="0.35">
      <c r="A220" t="s">
        <v>333</v>
      </c>
      <c r="B220" s="7">
        <v>46163</v>
      </c>
      <c r="C220" t="s">
        <v>946</v>
      </c>
      <c r="D220">
        <v>5</v>
      </c>
      <c r="E220" t="s">
        <v>39</v>
      </c>
      <c r="F220" t="s">
        <v>31</v>
      </c>
      <c r="G220" t="s">
        <v>81</v>
      </c>
      <c r="H220" t="s">
        <v>90</v>
      </c>
      <c r="I220" t="s">
        <v>60</v>
      </c>
      <c r="J220" t="s">
        <v>61</v>
      </c>
      <c r="K220" t="s">
        <v>62</v>
      </c>
      <c r="L220">
        <v>5</v>
      </c>
      <c r="M220" s="10">
        <v>0.05</v>
      </c>
      <c r="N220" s="11">
        <v>308750</v>
      </c>
      <c r="O220" s="11">
        <v>155000</v>
      </c>
      <c r="P220" s="11">
        <v>153750</v>
      </c>
      <c r="Q220" t="s">
        <v>37</v>
      </c>
      <c r="R220" t="b">
        <f>COUNTIF($A$6     : CleanedSalesData[[#This Row],[Order ID]], CleanedSalesData[[#This Row],[Order ID]])&gt;1</f>
        <v>0</v>
      </c>
      <c r="S220" t="b">
        <f>IF(ISBLANK(CleanedSalesData[[#This Row],[Quantity]]), TRUE, FALSE)</f>
        <v>0</v>
      </c>
      <c r="T220" t="b">
        <f>IF(ISBLANK(CleanedSalesData[[#This Row],[Order Date]]), TRUE, FALSE)</f>
        <v>0</v>
      </c>
      <c r="U220" t="b">
        <f>IF(ISBLANK(CleanedSalesData[[#This Row],[Revenue]]), TRUE, FALSE)</f>
        <v>0</v>
      </c>
      <c r="V220" t="b">
        <f>IF(OR(CleanedSalesData[[#This Row],[Order Status]]="Cancelled", CleanedSalesData[[#This Row],[Order Status]]="Returned"), TRUE, FALSE)</f>
        <v>0</v>
      </c>
      <c r="W220" t="str" cm="1">
        <f t="array" ref="W22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1" spans="1:23" x14ac:dyDescent="0.35">
      <c r="A221" t="s">
        <v>334</v>
      </c>
      <c r="B221" s="7">
        <v>46074</v>
      </c>
      <c r="C221" t="s">
        <v>944</v>
      </c>
      <c r="D221">
        <v>2</v>
      </c>
      <c r="E221" t="s">
        <v>54</v>
      </c>
      <c r="F221" t="s">
        <v>40</v>
      </c>
      <c r="G221" t="s">
        <v>81</v>
      </c>
      <c r="H221" t="s">
        <v>90</v>
      </c>
      <c r="I221" t="s">
        <v>66</v>
      </c>
      <c r="J221" t="s">
        <v>67</v>
      </c>
      <c r="K221" t="s">
        <v>51</v>
      </c>
      <c r="L221">
        <v>3</v>
      </c>
      <c r="M221" s="10">
        <v>0.03</v>
      </c>
      <c r="N221" s="11">
        <v>902100</v>
      </c>
      <c r="O221" s="11">
        <v>570000</v>
      </c>
      <c r="P221" s="11">
        <v>332100</v>
      </c>
      <c r="Q221" t="s">
        <v>52</v>
      </c>
      <c r="R221" t="b">
        <f>COUNTIF($A$6     : CleanedSalesData[[#This Row],[Order ID]], CleanedSalesData[[#This Row],[Order ID]])&gt;1</f>
        <v>0</v>
      </c>
      <c r="S221" t="b">
        <f>IF(ISBLANK(CleanedSalesData[[#This Row],[Quantity]]), TRUE, FALSE)</f>
        <v>0</v>
      </c>
      <c r="T221" t="b">
        <f>IF(ISBLANK(CleanedSalesData[[#This Row],[Order Date]]), TRUE, FALSE)</f>
        <v>0</v>
      </c>
      <c r="U221" t="b">
        <f>IF(ISBLANK(CleanedSalesData[[#This Row],[Revenue]]), TRUE, FALSE)</f>
        <v>0</v>
      </c>
      <c r="V221" t="b">
        <f>IF(OR(CleanedSalesData[[#This Row],[Order Status]]="Cancelled", CleanedSalesData[[#This Row],[Order Status]]="Returned"), TRUE, FALSE)</f>
        <v>0</v>
      </c>
      <c r="W221" t="str" cm="1">
        <f t="array" ref="W22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2" spans="1:23" x14ac:dyDescent="0.35">
      <c r="A222" t="s">
        <v>335</v>
      </c>
      <c r="B222" s="7">
        <v>46164</v>
      </c>
      <c r="C222" t="s">
        <v>946</v>
      </c>
      <c r="D222">
        <v>5</v>
      </c>
      <c r="E222" t="s">
        <v>65</v>
      </c>
      <c r="F222" t="s">
        <v>40</v>
      </c>
      <c r="G222" t="s">
        <v>81</v>
      </c>
      <c r="H222" t="s">
        <v>90</v>
      </c>
      <c r="I222" t="s">
        <v>71</v>
      </c>
      <c r="J222" t="s">
        <v>72</v>
      </c>
      <c r="K222" t="s">
        <v>73</v>
      </c>
      <c r="L222">
        <v>3</v>
      </c>
      <c r="M222" s="10">
        <v>0.1</v>
      </c>
      <c r="N222" s="11">
        <v>337500</v>
      </c>
      <c r="O222" s="11">
        <v>210000</v>
      </c>
      <c r="P222" s="11">
        <v>127500</v>
      </c>
      <c r="Q222" t="s">
        <v>52</v>
      </c>
      <c r="R222" t="b">
        <f>COUNTIF($A$6     : CleanedSalesData[[#This Row],[Order ID]], CleanedSalesData[[#This Row],[Order ID]])&gt;1</f>
        <v>0</v>
      </c>
      <c r="S222" t="b">
        <f>IF(ISBLANK(CleanedSalesData[[#This Row],[Quantity]]), TRUE, FALSE)</f>
        <v>0</v>
      </c>
      <c r="T222" t="b">
        <f>IF(ISBLANK(CleanedSalesData[[#This Row],[Order Date]]), TRUE, FALSE)</f>
        <v>0</v>
      </c>
      <c r="U222" t="b">
        <f>IF(ISBLANK(CleanedSalesData[[#This Row],[Revenue]]), TRUE, FALSE)</f>
        <v>0</v>
      </c>
      <c r="V222" t="b">
        <f>IF(OR(CleanedSalesData[[#This Row],[Order Status]]="Cancelled", CleanedSalesData[[#This Row],[Order Status]]="Returned"), TRUE, FALSE)</f>
        <v>0</v>
      </c>
      <c r="W222" t="str" cm="1">
        <f t="array" ref="W22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3" spans="1:23" x14ac:dyDescent="0.35">
      <c r="A223" t="s">
        <v>336</v>
      </c>
      <c r="B223" s="7">
        <v>46157</v>
      </c>
      <c r="C223" t="s">
        <v>946</v>
      </c>
      <c r="D223">
        <v>5</v>
      </c>
      <c r="E223" t="s">
        <v>54</v>
      </c>
      <c r="F223" t="s">
        <v>40</v>
      </c>
      <c r="G223" t="s">
        <v>32</v>
      </c>
      <c r="H223" t="s">
        <v>90</v>
      </c>
      <c r="I223" t="s">
        <v>78</v>
      </c>
      <c r="J223" t="s">
        <v>79</v>
      </c>
      <c r="K223" t="s">
        <v>62</v>
      </c>
      <c r="L223">
        <v>7</v>
      </c>
      <c r="M223" s="10">
        <v>0.08</v>
      </c>
      <c r="N223" s="11">
        <v>547400</v>
      </c>
      <c r="O223" s="11">
        <v>301000</v>
      </c>
      <c r="P223" s="11">
        <v>246400</v>
      </c>
      <c r="Q223" t="s">
        <v>37</v>
      </c>
      <c r="R223" t="b">
        <f>COUNTIF($A$6     : CleanedSalesData[[#This Row],[Order ID]], CleanedSalesData[[#This Row],[Order ID]])&gt;1</f>
        <v>0</v>
      </c>
      <c r="S223" t="b">
        <f>IF(ISBLANK(CleanedSalesData[[#This Row],[Quantity]]), TRUE, FALSE)</f>
        <v>0</v>
      </c>
      <c r="T223" t="b">
        <f>IF(ISBLANK(CleanedSalesData[[#This Row],[Order Date]]), TRUE, FALSE)</f>
        <v>0</v>
      </c>
      <c r="U223" t="b">
        <f>IF(ISBLANK(CleanedSalesData[[#This Row],[Revenue]]), TRUE, FALSE)</f>
        <v>0</v>
      </c>
      <c r="V223" t="b">
        <f>IF(OR(CleanedSalesData[[#This Row],[Order Status]]="Cancelled", CleanedSalesData[[#This Row],[Order Status]]="Returned"), TRUE, FALSE)</f>
        <v>0</v>
      </c>
      <c r="W223" t="str" cm="1">
        <f t="array" ref="W22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4" spans="1:23" x14ac:dyDescent="0.35">
      <c r="A224" t="s">
        <v>337</v>
      </c>
      <c r="B224" s="7">
        <v>46138</v>
      </c>
      <c r="C224" t="s">
        <v>949</v>
      </c>
      <c r="D224">
        <v>4</v>
      </c>
      <c r="E224" t="s">
        <v>30</v>
      </c>
      <c r="F224" t="s">
        <v>31</v>
      </c>
      <c r="G224" t="s">
        <v>32</v>
      </c>
      <c r="H224" t="s">
        <v>33</v>
      </c>
      <c r="I224" t="s">
        <v>82</v>
      </c>
      <c r="J224" t="s">
        <v>83</v>
      </c>
      <c r="K224" t="s">
        <v>44</v>
      </c>
      <c r="L224">
        <v>8</v>
      </c>
      <c r="M224" s="10">
        <v>0.15</v>
      </c>
      <c r="N224" s="11">
        <v>9860000</v>
      </c>
      <c r="O224" s="11">
        <v>7840000</v>
      </c>
      <c r="P224" s="11">
        <v>2020000</v>
      </c>
      <c r="Q224" t="s">
        <v>93</v>
      </c>
      <c r="R224" t="b">
        <f>COUNTIF($A$6     : CleanedSalesData[[#This Row],[Order ID]], CleanedSalesData[[#This Row],[Order ID]])&gt;1</f>
        <v>0</v>
      </c>
      <c r="S224" t="b">
        <f>IF(ISBLANK(CleanedSalesData[[#This Row],[Quantity]]), TRUE, FALSE)</f>
        <v>0</v>
      </c>
      <c r="T224" t="b">
        <f>IF(ISBLANK(CleanedSalesData[[#This Row],[Order Date]]), TRUE, FALSE)</f>
        <v>0</v>
      </c>
      <c r="U224" t="b">
        <f>IF(ISBLANK(CleanedSalesData[[#This Row],[Revenue]]), TRUE, FALSE)</f>
        <v>0</v>
      </c>
      <c r="V224" t="b">
        <f>IF(OR(CleanedSalesData[[#This Row],[Order Status]]="Cancelled", CleanedSalesData[[#This Row],[Order Status]]="Returned"), TRUE, FALSE)</f>
        <v>0</v>
      </c>
      <c r="W224" t="str" cm="1">
        <f t="array" ref="W22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5" spans="1:23" x14ac:dyDescent="0.35">
      <c r="A225" t="s">
        <v>338</v>
      </c>
      <c r="B225" s="7">
        <v>46151</v>
      </c>
      <c r="C225" t="s">
        <v>946</v>
      </c>
      <c r="D225">
        <v>5</v>
      </c>
      <c r="E225" t="s">
        <v>30</v>
      </c>
      <c r="F225" t="s">
        <v>70</v>
      </c>
      <c r="G225" t="s">
        <v>32</v>
      </c>
      <c r="H225" t="s">
        <v>33</v>
      </c>
      <c r="I225" t="s">
        <v>86</v>
      </c>
      <c r="J225" t="s">
        <v>87</v>
      </c>
      <c r="K225" t="s">
        <v>36</v>
      </c>
      <c r="L225">
        <v>1</v>
      </c>
      <c r="M225" s="10">
        <v>0</v>
      </c>
      <c r="N225" s="11">
        <v>350000</v>
      </c>
      <c r="O225" s="11">
        <v>210000</v>
      </c>
      <c r="P225" s="11">
        <v>140000</v>
      </c>
      <c r="Q225" t="s">
        <v>63</v>
      </c>
      <c r="R225" t="b">
        <f>COUNTIF($A$6     : CleanedSalesData[[#This Row],[Order ID]], CleanedSalesData[[#This Row],[Order ID]])&gt;1</f>
        <v>0</v>
      </c>
      <c r="S225" t="b">
        <f>IF(ISBLANK(CleanedSalesData[[#This Row],[Quantity]]), TRUE, FALSE)</f>
        <v>0</v>
      </c>
      <c r="T225" t="b">
        <f>IF(ISBLANK(CleanedSalesData[[#This Row],[Order Date]]), TRUE, FALSE)</f>
        <v>0</v>
      </c>
      <c r="U225" t="b">
        <f>IF(ISBLANK(CleanedSalesData[[#This Row],[Revenue]]), TRUE, FALSE)</f>
        <v>0</v>
      </c>
      <c r="V225" t="b">
        <f>IF(OR(CleanedSalesData[[#This Row],[Order Status]]="Cancelled", CleanedSalesData[[#This Row],[Order Status]]="Returned"), TRUE, FALSE)</f>
        <v>0</v>
      </c>
      <c r="W225" t="str" cm="1">
        <f t="array" ref="W22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6" spans="1:23" x14ac:dyDescent="0.35">
      <c r="A226" t="s">
        <v>339</v>
      </c>
      <c r="B226" s="7">
        <v>46080</v>
      </c>
      <c r="C226" t="s">
        <v>944</v>
      </c>
      <c r="D226">
        <v>2</v>
      </c>
      <c r="E226" t="s">
        <v>76</v>
      </c>
      <c r="F226" t="s">
        <v>70</v>
      </c>
      <c r="G226" t="s">
        <v>32</v>
      </c>
      <c r="H226" t="s">
        <v>112</v>
      </c>
      <c r="I226" t="s">
        <v>34</v>
      </c>
      <c r="J226" t="s">
        <v>35</v>
      </c>
      <c r="K226" t="s">
        <v>36</v>
      </c>
      <c r="L226">
        <v>6</v>
      </c>
      <c r="M226" s="10">
        <v>0.1</v>
      </c>
      <c r="N226" s="11">
        <v>0</v>
      </c>
      <c r="O226" s="11">
        <v>1710000</v>
      </c>
      <c r="P226" s="11">
        <v>-1710000</v>
      </c>
      <c r="Q226" t="s">
        <v>84</v>
      </c>
      <c r="R226" t="b">
        <f>COUNTIF($A$6     : CleanedSalesData[[#This Row],[Order ID]], CleanedSalesData[[#This Row],[Order ID]])&gt;1</f>
        <v>0</v>
      </c>
      <c r="S226" t="b">
        <f>IF(ISBLANK(CleanedSalesData[[#This Row],[Quantity]]), TRUE, FALSE)</f>
        <v>0</v>
      </c>
      <c r="T226" t="b">
        <f>IF(ISBLANK(CleanedSalesData[[#This Row],[Order Date]]), TRUE, FALSE)</f>
        <v>0</v>
      </c>
      <c r="U226" t="b">
        <f>IF(ISBLANK(CleanedSalesData[[#This Row],[Revenue]]), TRUE, FALSE)</f>
        <v>0</v>
      </c>
      <c r="V226" t="b">
        <f>IF(OR(CleanedSalesData[[#This Row],[Order Status]]="Cancelled", CleanedSalesData[[#This Row],[Order Status]]="Returned"), TRUE, FALSE)</f>
        <v>1</v>
      </c>
      <c r="W226" t="str" cm="1">
        <f t="array" ref="W22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27" spans="1:23" x14ac:dyDescent="0.35">
      <c r="A227" t="s">
        <v>340</v>
      </c>
      <c r="B227" s="7">
        <v>46183</v>
      </c>
      <c r="C227" t="s">
        <v>945</v>
      </c>
      <c r="D227">
        <v>6</v>
      </c>
      <c r="E227" t="s">
        <v>30</v>
      </c>
      <c r="F227" t="s">
        <v>47</v>
      </c>
      <c r="G227" t="s">
        <v>32</v>
      </c>
      <c r="H227" t="s">
        <v>33</v>
      </c>
      <c r="I227" t="s">
        <v>42</v>
      </c>
      <c r="J227" t="s">
        <v>43</v>
      </c>
      <c r="K227" t="s">
        <v>44</v>
      </c>
      <c r="L227">
        <v>5</v>
      </c>
      <c r="M227" s="10">
        <v>0.1</v>
      </c>
      <c r="N227" s="11">
        <v>1237500</v>
      </c>
      <c r="O227" s="11">
        <v>775000</v>
      </c>
      <c r="P227" s="11">
        <v>462500</v>
      </c>
      <c r="Q227" t="s">
        <v>84</v>
      </c>
      <c r="R227" t="b">
        <f>COUNTIF($A$6     : CleanedSalesData[[#This Row],[Order ID]], CleanedSalesData[[#This Row],[Order ID]])&gt;1</f>
        <v>0</v>
      </c>
      <c r="S227" t="b">
        <f>IF(ISBLANK(CleanedSalesData[[#This Row],[Quantity]]), TRUE, FALSE)</f>
        <v>0</v>
      </c>
      <c r="T227" t="b">
        <f>IF(ISBLANK(CleanedSalesData[[#This Row],[Order Date]]), TRUE, FALSE)</f>
        <v>0</v>
      </c>
      <c r="U227" t="b">
        <f>IF(ISBLANK(CleanedSalesData[[#This Row],[Revenue]]), TRUE, FALSE)</f>
        <v>0</v>
      </c>
      <c r="V227" t="b">
        <f>IF(OR(CleanedSalesData[[#This Row],[Order Status]]="Cancelled", CleanedSalesData[[#This Row],[Order Status]]="Returned"), TRUE, FALSE)</f>
        <v>0</v>
      </c>
      <c r="W227" t="str" cm="1">
        <f t="array" ref="W22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8" spans="1:23" x14ac:dyDescent="0.35">
      <c r="A228" t="s">
        <v>341</v>
      </c>
      <c r="B228" s="7">
        <v>46191</v>
      </c>
      <c r="C228" t="s">
        <v>945</v>
      </c>
      <c r="D228">
        <v>6</v>
      </c>
      <c r="E228" t="s">
        <v>95</v>
      </c>
      <c r="F228" t="s">
        <v>40</v>
      </c>
      <c r="G228" t="s">
        <v>41</v>
      </c>
      <c r="H228" t="s">
        <v>33</v>
      </c>
      <c r="I228" t="s">
        <v>49</v>
      </c>
      <c r="J228" t="s">
        <v>50</v>
      </c>
      <c r="K228" t="s">
        <v>51</v>
      </c>
      <c r="L228">
        <v>6</v>
      </c>
      <c r="M228" s="10">
        <v>0.1</v>
      </c>
      <c r="N228" s="11">
        <v>1323000</v>
      </c>
      <c r="O228" s="11">
        <v>870000</v>
      </c>
      <c r="P228" s="11">
        <v>453000</v>
      </c>
      <c r="Q228" t="s">
        <v>57</v>
      </c>
      <c r="R228" t="b">
        <f>COUNTIF($A$6     : CleanedSalesData[[#This Row],[Order ID]], CleanedSalesData[[#This Row],[Order ID]])&gt;1</f>
        <v>0</v>
      </c>
      <c r="S228" t="b">
        <f>IF(ISBLANK(CleanedSalesData[[#This Row],[Quantity]]), TRUE, FALSE)</f>
        <v>0</v>
      </c>
      <c r="T228" t="b">
        <f>IF(ISBLANK(CleanedSalesData[[#This Row],[Order Date]]), TRUE, FALSE)</f>
        <v>0</v>
      </c>
      <c r="U228" t="b">
        <f>IF(ISBLANK(CleanedSalesData[[#This Row],[Revenue]]), TRUE, FALSE)</f>
        <v>0</v>
      </c>
      <c r="V228" t="b">
        <f>IF(OR(CleanedSalesData[[#This Row],[Order Status]]="Cancelled", CleanedSalesData[[#This Row],[Order Status]]="Returned"), TRUE, FALSE)</f>
        <v>0</v>
      </c>
      <c r="W228" t="str" cm="1">
        <f t="array" ref="W22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29" spans="1:23" x14ac:dyDescent="0.35">
      <c r="A229" t="s">
        <v>342</v>
      </c>
      <c r="B229" s="7">
        <v>46189</v>
      </c>
      <c r="C229" t="s">
        <v>945</v>
      </c>
      <c r="D229">
        <v>6</v>
      </c>
      <c r="E229" t="s">
        <v>76</v>
      </c>
      <c r="F229" t="s">
        <v>40</v>
      </c>
      <c r="G229" t="s">
        <v>48</v>
      </c>
      <c r="H229" t="s">
        <v>33</v>
      </c>
      <c r="I229" t="s">
        <v>55</v>
      </c>
      <c r="J229" t="s">
        <v>56</v>
      </c>
      <c r="K229" t="s">
        <v>36</v>
      </c>
      <c r="L229">
        <v>4</v>
      </c>
      <c r="M229" s="10">
        <v>0.1</v>
      </c>
      <c r="N229" s="11">
        <v>6660000</v>
      </c>
      <c r="O229" s="11">
        <v>5280000</v>
      </c>
      <c r="P229" s="11">
        <v>1380000</v>
      </c>
      <c r="Q229" t="s">
        <v>57</v>
      </c>
      <c r="R229" t="b">
        <f>COUNTIF($A$6     : CleanedSalesData[[#This Row],[Order ID]], CleanedSalesData[[#This Row],[Order ID]])&gt;1</f>
        <v>0</v>
      </c>
      <c r="S229" t="b">
        <f>IF(ISBLANK(CleanedSalesData[[#This Row],[Quantity]]), TRUE, FALSE)</f>
        <v>0</v>
      </c>
      <c r="T229" t="b">
        <f>IF(ISBLANK(CleanedSalesData[[#This Row],[Order Date]]), TRUE, FALSE)</f>
        <v>0</v>
      </c>
      <c r="U229" t="b">
        <f>IF(ISBLANK(CleanedSalesData[[#This Row],[Revenue]]), TRUE, FALSE)</f>
        <v>0</v>
      </c>
      <c r="V229" t="b">
        <f>IF(OR(CleanedSalesData[[#This Row],[Order Status]]="Cancelled", CleanedSalesData[[#This Row],[Order Status]]="Returned"), TRUE, FALSE)</f>
        <v>0</v>
      </c>
      <c r="W229" t="str" cm="1">
        <f t="array" ref="W22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0" spans="1:23" x14ac:dyDescent="0.35">
      <c r="A230" t="s">
        <v>343</v>
      </c>
      <c r="B230" s="7">
        <v>46146</v>
      </c>
      <c r="C230" t="s">
        <v>946</v>
      </c>
      <c r="D230">
        <v>5</v>
      </c>
      <c r="E230" t="s">
        <v>95</v>
      </c>
      <c r="F230" t="s">
        <v>59</v>
      </c>
      <c r="G230" t="s">
        <v>41</v>
      </c>
      <c r="H230" t="s">
        <v>33</v>
      </c>
      <c r="I230" t="s">
        <v>60</v>
      </c>
      <c r="J230" t="s">
        <v>61</v>
      </c>
      <c r="K230" t="s">
        <v>62</v>
      </c>
      <c r="L230">
        <v>4</v>
      </c>
      <c r="M230" s="10">
        <v>0.15</v>
      </c>
      <c r="N230" s="11">
        <v>221000</v>
      </c>
      <c r="O230" s="11">
        <v>124000</v>
      </c>
      <c r="P230" s="11">
        <v>97000</v>
      </c>
      <c r="Q230" t="s">
        <v>84</v>
      </c>
      <c r="R230" t="b">
        <f>COUNTIF($A$6     : CleanedSalesData[[#This Row],[Order ID]], CleanedSalesData[[#This Row],[Order ID]])&gt;1</f>
        <v>0</v>
      </c>
      <c r="S230" t="b">
        <f>IF(ISBLANK(CleanedSalesData[[#This Row],[Quantity]]), TRUE, FALSE)</f>
        <v>0</v>
      </c>
      <c r="T230" t="b">
        <f>IF(ISBLANK(CleanedSalesData[[#This Row],[Order Date]]), TRUE, FALSE)</f>
        <v>0</v>
      </c>
      <c r="U230" t="b">
        <f>IF(ISBLANK(CleanedSalesData[[#This Row],[Revenue]]), TRUE, FALSE)</f>
        <v>0</v>
      </c>
      <c r="V230" t="b">
        <f>IF(OR(CleanedSalesData[[#This Row],[Order Status]]="Cancelled", CleanedSalesData[[#This Row],[Order Status]]="Returned"), TRUE, FALSE)</f>
        <v>0</v>
      </c>
      <c r="W230" t="str" cm="1">
        <f t="array" ref="W23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1" spans="1:23" x14ac:dyDescent="0.35">
      <c r="A231" t="s">
        <v>344</v>
      </c>
      <c r="B231" s="7">
        <v>46135</v>
      </c>
      <c r="C231" t="s">
        <v>949</v>
      </c>
      <c r="D231">
        <v>4</v>
      </c>
      <c r="E231" t="s">
        <v>54</v>
      </c>
      <c r="F231" t="s">
        <v>70</v>
      </c>
      <c r="G231" t="s">
        <v>32</v>
      </c>
      <c r="H231" t="s">
        <v>33</v>
      </c>
      <c r="I231" t="s">
        <v>66</v>
      </c>
      <c r="J231" t="s">
        <v>67</v>
      </c>
      <c r="K231" t="s">
        <v>51</v>
      </c>
      <c r="L231">
        <v>7</v>
      </c>
      <c r="M231" s="10">
        <v>0.08</v>
      </c>
      <c r="N231" s="11">
        <v>1996400</v>
      </c>
      <c r="O231" s="11">
        <v>1330000</v>
      </c>
      <c r="P231" s="11">
        <v>666400</v>
      </c>
      <c r="Q231" t="s">
        <v>63</v>
      </c>
      <c r="R231" t="b">
        <f>COUNTIF($A$6     : CleanedSalesData[[#This Row],[Order ID]], CleanedSalesData[[#This Row],[Order ID]])&gt;1</f>
        <v>0</v>
      </c>
      <c r="S231" t="b">
        <f>IF(ISBLANK(CleanedSalesData[[#This Row],[Quantity]]), TRUE, FALSE)</f>
        <v>0</v>
      </c>
      <c r="T231" t="b">
        <f>IF(ISBLANK(CleanedSalesData[[#This Row],[Order Date]]), TRUE, FALSE)</f>
        <v>0</v>
      </c>
      <c r="U231" t="b">
        <f>IF(ISBLANK(CleanedSalesData[[#This Row],[Revenue]]), TRUE, FALSE)</f>
        <v>0</v>
      </c>
      <c r="V231" t="b">
        <f>IF(OR(CleanedSalesData[[#This Row],[Order Status]]="Cancelled", CleanedSalesData[[#This Row],[Order Status]]="Returned"), TRUE, FALSE)</f>
        <v>0</v>
      </c>
      <c r="W231" t="str" cm="1">
        <f t="array" ref="W23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2" spans="1:23" x14ac:dyDescent="0.35">
      <c r="A232" t="s">
        <v>345</v>
      </c>
      <c r="B232" s="7">
        <v>46111</v>
      </c>
      <c r="C232" t="s">
        <v>947</v>
      </c>
      <c r="D232">
        <v>3</v>
      </c>
      <c r="E232" t="s">
        <v>54</v>
      </c>
      <c r="F232" t="s">
        <v>47</v>
      </c>
      <c r="G232" t="s">
        <v>41</v>
      </c>
      <c r="H232" t="s">
        <v>33</v>
      </c>
      <c r="I232" t="s">
        <v>71</v>
      </c>
      <c r="J232" t="s">
        <v>72</v>
      </c>
      <c r="K232" t="s">
        <v>73</v>
      </c>
      <c r="L232">
        <v>7</v>
      </c>
      <c r="M232" s="10">
        <v>0.03</v>
      </c>
      <c r="N232" s="11">
        <v>848750</v>
      </c>
      <c r="O232" s="11">
        <v>490000</v>
      </c>
      <c r="P232" s="11">
        <v>358750</v>
      </c>
      <c r="Q232" t="s">
        <v>45</v>
      </c>
      <c r="R232" t="b">
        <f>COUNTIF($A$6     : CleanedSalesData[[#This Row],[Order ID]], CleanedSalesData[[#This Row],[Order ID]])&gt;1</f>
        <v>0</v>
      </c>
      <c r="S232" t="b">
        <f>IF(ISBLANK(CleanedSalesData[[#This Row],[Quantity]]), TRUE, FALSE)</f>
        <v>0</v>
      </c>
      <c r="T232" t="b">
        <f>IF(ISBLANK(CleanedSalesData[[#This Row],[Order Date]]), TRUE, FALSE)</f>
        <v>0</v>
      </c>
      <c r="U232" t="b">
        <f>IF(ISBLANK(CleanedSalesData[[#This Row],[Revenue]]), TRUE, FALSE)</f>
        <v>0</v>
      </c>
      <c r="V232" t="b">
        <f>IF(OR(CleanedSalesData[[#This Row],[Order Status]]="Cancelled", CleanedSalesData[[#This Row],[Order Status]]="Returned"), TRUE, FALSE)</f>
        <v>0</v>
      </c>
      <c r="W232" t="str" cm="1">
        <f t="array" ref="W23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3" spans="1:23" x14ac:dyDescent="0.35">
      <c r="A233" t="s">
        <v>346</v>
      </c>
      <c r="B233" s="7">
        <v>46142</v>
      </c>
      <c r="C233" t="s">
        <v>949</v>
      </c>
      <c r="D233">
        <v>4</v>
      </c>
      <c r="E233" t="s">
        <v>95</v>
      </c>
      <c r="F233" t="s">
        <v>31</v>
      </c>
      <c r="G233" t="s">
        <v>41</v>
      </c>
      <c r="H233" t="s">
        <v>33</v>
      </c>
      <c r="I233" t="s">
        <v>78</v>
      </c>
      <c r="J233" t="s">
        <v>79</v>
      </c>
      <c r="K233" t="s">
        <v>62</v>
      </c>
      <c r="L233">
        <v>2</v>
      </c>
      <c r="M233" s="10">
        <v>0.05</v>
      </c>
      <c r="N233" s="11">
        <v>161500</v>
      </c>
      <c r="O233" s="11">
        <v>86000</v>
      </c>
      <c r="P233" s="11">
        <v>75500</v>
      </c>
      <c r="Q233" t="s">
        <v>57</v>
      </c>
      <c r="R233" t="b">
        <f>COUNTIF($A$6     : CleanedSalesData[[#This Row],[Order ID]], CleanedSalesData[[#This Row],[Order ID]])&gt;1</f>
        <v>0</v>
      </c>
      <c r="S233" t="b">
        <f>IF(ISBLANK(CleanedSalesData[[#This Row],[Quantity]]), TRUE, FALSE)</f>
        <v>0</v>
      </c>
      <c r="T233" t="b">
        <f>IF(ISBLANK(CleanedSalesData[[#This Row],[Order Date]]), TRUE, FALSE)</f>
        <v>0</v>
      </c>
      <c r="U233" t="b">
        <f>IF(ISBLANK(CleanedSalesData[[#This Row],[Revenue]]), TRUE, FALSE)</f>
        <v>0</v>
      </c>
      <c r="V233" t="b">
        <f>IF(OR(CleanedSalesData[[#This Row],[Order Status]]="Cancelled", CleanedSalesData[[#This Row],[Order Status]]="Returned"), TRUE, FALSE)</f>
        <v>0</v>
      </c>
      <c r="W233" t="str" cm="1">
        <f t="array" ref="W23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4" spans="1:23" x14ac:dyDescent="0.35">
      <c r="A234" t="s">
        <v>347</v>
      </c>
      <c r="B234" s="7">
        <v>46121</v>
      </c>
      <c r="C234" t="s">
        <v>949</v>
      </c>
      <c r="D234">
        <v>4</v>
      </c>
      <c r="E234" t="s">
        <v>39</v>
      </c>
      <c r="F234" t="s">
        <v>70</v>
      </c>
      <c r="G234" t="s">
        <v>81</v>
      </c>
      <c r="H234" t="s">
        <v>77</v>
      </c>
      <c r="I234" t="s">
        <v>82</v>
      </c>
      <c r="J234" t="s">
        <v>83</v>
      </c>
      <c r="K234" t="s">
        <v>44</v>
      </c>
      <c r="L234">
        <v>7</v>
      </c>
      <c r="M234" s="10">
        <v>0.03</v>
      </c>
      <c r="N234" s="11">
        <v>0</v>
      </c>
      <c r="O234" s="11">
        <v>6860000</v>
      </c>
      <c r="P234" s="11">
        <v>-6860000</v>
      </c>
      <c r="Q234" t="s">
        <v>84</v>
      </c>
      <c r="R234" t="b">
        <f>COUNTIF($A$6     : CleanedSalesData[[#This Row],[Order ID]], CleanedSalesData[[#This Row],[Order ID]])&gt;1</f>
        <v>0</v>
      </c>
      <c r="S234" t="b">
        <f>IF(ISBLANK(CleanedSalesData[[#This Row],[Quantity]]), TRUE, FALSE)</f>
        <v>0</v>
      </c>
      <c r="T234" t="b">
        <f>IF(ISBLANK(CleanedSalesData[[#This Row],[Order Date]]), TRUE, FALSE)</f>
        <v>0</v>
      </c>
      <c r="U234" t="b">
        <f>IF(ISBLANK(CleanedSalesData[[#This Row],[Revenue]]), TRUE, FALSE)</f>
        <v>0</v>
      </c>
      <c r="V234" t="b">
        <f>IF(OR(CleanedSalesData[[#This Row],[Order Status]]="Cancelled", CleanedSalesData[[#This Row],[Order Status]]="Returned"), TRUE, FALSE)</f>
        <v>1</v>
      </c>
      <c r="W234" t="str" cm="1">
        <f t="array" ref="W23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35" spans="1:23" x14ac:dyDescent="0.35">
      <c r="A235" t="s">
        <v>348</v>
      </c>
      <c r="B235" s="7">
        <v>46150</v>
      </c>
      <c r="C235" t="s">
        <v>946</v>
      </c>
      <c r="D235">
        <v>5</v>
      </c>
      <c r="E235" t="s">
        <v>69</v>
      </c>
      <c r="F235" t="s">
        <v>59</v>
      </c>
      <c r="G235" t="s">
        <v>41</v>
      </c>
      <c r="H235" t="s">
        <v>90</v>
      </c>
      <c r="I235" t="s">
        <v>86</v>
      </c>
      <c r="J235" t="s">
        <v>87</v>
      </c>
      <c r="K235" t="s">
        <v>36</v>
      </c>
      <c r="L235">
        <v>8</v>
      </c>
      <c r="M235" s="10">
        <v>0.08</v>
      </c>
      <c r="N235" s="11">
        <v>2576000</v>
      </c>
      <c r="O235" s="11">
        <v>1680000</v>
      </c>
      <c r="P235" s="11">
        <v>896000</v>
      </c>
      <c r="Q235" t="s">
        <v>93</v>
      </c>
      <c r="R235" t="b">
        <f>COUNTIF($A$6     : CleanedSalesData[[#This Row],[Order ID]], CleanedSalesData[[#This Row],[Order ID]])&gt;1</f>
        <v>0</v>
      </c>
      <c r="S235" t="b">
        <f>IF(ISBLANK(CleanedSalesData[[#This Row],[Quantity]]), TRUE, FALSE)</f>
        <v>0</v>
      </c>
      <c r="T235" t="b">
        <f>IF(ISBLANK(CleanedSalesData[[#This Row],[Order Date]]), TRUE, FALSE)</f>
        <v>0</v>
      </c>
      <c r="U235" t="b">
        <f>IF(ISBLANK(CleanedSalesData[[#This Row],[Revenue]]), TRUE, FALSE)</f>
        <v>0</v>
      </c>
      <c r="V235" t="b">
        <f>IF(OR(CleanedSalesData[[#This Row],[Order Status]]="Cancelled", CleanedSalesData[[#This Row],[Order Status]]="Returned"), TRUE, FALSE)</f>
        <v>0</v>
      </c>
      <c r="W235" t="str" cm="1">
        <f t="array" ref="W23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6" spans="1:23" x14ac:dyDescent="0.35">
      <c r="A236" t="s">
        <v>349</v>
      </c>
      <c r="B236" s="7">
        <v>46152</v>
      </c>
      <c r="C236" t="s">
        <v>946</v>
      </c>
      <c r="D236">
        <v>5</v>
      </c>
      <c r="E236" t="s">
        <v>95</v>
      </c>
      <c r="F236" t="s">
        <v>70</v>
      </c>
      <c r="G236" t="s">
        <v>41</v>
      </c>
      <c r="H236" t="s">
        <v>33</v>
      </c>
      <c r="I236" t="s">
        <v>34</v>
      </c>
      <c r="J236" t="s">
        <v>35</v>
      </c>
      <c r="K236" t="s">
        <v>36</v>
      </c>
      <c r="L236">
        <v>8</v>
      </c>
      <c r="M236" s="10">
        <v>0.03</v>
      </c>
      <c r="N236" s="11">
        <v>3686000</v>
      </c>
      <c r="O236" s="11">
        <v>2280000</v>
      </c>
      <c r="P236" s="11">
        <v>1406000</v>
      </c>
      <c r="Q236" t="s">
        <v>57</v>
      </c>
      <c r="R236" t="b">
        <f>COUNTIF($A$6     : CleanedSalesData[[#This Row],[Order ID]], CleanedSalesData[[#This Row],[Order ID]])&gt;1</f>
        <v>0</v>
      </c>
      <c r="S236" t="b">
        <f>IF(ISBLANK(CleanedSalesData[[#This Row],[Quantity]]), TRUE, FALSE)</f>
        <v>0</v>
      </c>
      <c r="T236" t="b">
        <f>IF(ISBLANK(CleanedSalesData[[#This Row],[Order Date]]), TRUE, FALSE)</f>
        <v>0</v>
      </c>
      <c r="U236" t="b">
        <f>IF(ISBLANK(CleanedSalesData[[#This Row],[Revenue]]), TRUE, FALSE)</f>
        <v>0</v>
      </c>
      <c r="V236" t="b">
        <f>IF(OR(CleanedSalesData[[#This Row],[Order Status]]="Cancelled", CleanedSalesData[[#This Row],[Order Status]]="Returned"), TRUE, FALSE)</f>
        <v>0</v>
      </c>
      <c r="W236" t="str" cm="1">
        <f t="array" ref="W23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7" spans="1:23" x14ac:dyDescent="0.35">
      <c r="A237" t="s">
        <v>350</v>
      </c>
      <c r="B237" s="7">
        <v>46149</v>
      </c>
      <c r="C237" t="s">
        <v>946</v>
      </c>
      <c r="D237">
        <v>5</v>
      </c>
      <c r="E237" t="s">
        <v>30</v>
      </c>
      <c r="F237" t="s">
        <v>40</v>
      </c>
      <c r="G237" t="s">
        <v>48</v>
      </c>
      <c r="H237" t="s">
        <v>33</v>
      </c>
      <c r="I237" t="s">
        <v>42</v>
      </c>
      <c r="J237" t="s">
        <v>43</v>
      </c>
      <c r="K237" t="s">
        <v>44</v>
      </c>
      <c r="L237">
        <v>8</v>
      </c>
      <c r="M237" s="10">
        <v>0.05</v>
      </c>
      <c r="N237" s="11">
        <v>2090000</v>
      </c>
      <c r="O237" s="11">
        <v>1240000</v>
      </c>
      <c r="P237" s="11">
        <v>850000</v>
      </c>
      <c r="Q237" t="s">
        <v>57</v>
      </c>
      <c r="R237" t="b">
        <f>COUNTIF($A$6     : CleanedSalesData[[#This Row],[Order ID]], CleanedSalesData[[#This Row],[Order ID]])&gt;1</f>
        <v>0</v>
      </c>
      <c r="S237" t="b">
        <f>IF(ISBLANK(CleanedSalesData[[#This Row],[Quantity]]), TRUE, FALSE)</f>
        <v>0</v>
      </c>
      <c r="T237" t="b">
        <f>IF(ISBLANK(CleanedSalesData[[#This Row],[Order Date]]), TRUE, FALSE)</f>
        <v>0</v>
      </c>
      <c r="U237" t="b">
        <f>IF(ISBLANK(CleanedSalesData[[#This Row],[Revenue]]), TRUE, FALSE)</f>
        <v>0</v>
      </c>
      <c r="V237" t="b">
        <f>IF(OR(CleanedSalesData[[#This Row],[Order Status]]="Cancelled", CleanedSalesData[[#This Row],[Order Status]]="Returned"), TRUE, FALSE)</f>
        <v>0</v>
      </c>
      <c r="W237" t="str" cm="1">
        <f t="array" ref="W23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8" spans="1:23" x14ac:dyDescent="0.35">
      <c r="A238" t="s">
        <v>351</v>
      </c>
      <c r="B238" s="7">
        <v>46116</v>
      </c>
      <c r="C238" t="s">
        <v>949</v>
      </c>
      <c r="D238">
        <v>4</v>
      </c>
      <c r="E238" t="s">
        <v>54</v>
      </c>
      <c r="F238" t="s">
        <v>40</v>
      </c>
      <c r="G238" t="s">
        <v>32</v>
      </c>
      <c r="H238" t="s">
        <v>33</v>
      </c>
      <c r="I238" t="s">
        <v>49</v>
      </c>
      <c r="J238" t="s">
        <v>50</v>
      </c>
      <c r="K238" t="s">
        <v>51</v>
      </c>
      <c r="L238">
        <v>7</v>
      </c>
      <c r="M238" s="10">
        <v>0.05</v>
      </c>
      <c r="N238" s="11">
        <v>1629250</v>
      </c>
      <c r="O238" s="11">
        <v>1015000</v>
      </c>
      <c r="P238" s="11">
        <v>614250</v>
      </c>
      <c r="Q238" t="s">
        <v>57</v>
      </c>
      <c r="R238" t="b">
        <f>COUNTIF($A$6     : CleanedSalesData[[#This Row],[Order ID]], CleanedSalesData[[#This Row],[Order ID]])&gt;1</f>
        <v>0</v>
      </c>
      <c r="S238" t="b">
        <f>IF(ISBLANK(CleanedSalesData[[#This Row],[Quantity]]), TRUE, FALSE)</f>
        <v>0</v>
      </c>
      <c r="T238" t="b">
        <f>IF(ISBLANK(CleanedSalesData[[#This Row],[Order Date]]), TRUE, FALSE)</f>
        <v>0</v>
      </c>
      <c r="U238" t="b">
        <f>IF(ISBLANK(CleanedSalesData[[#This Row],[Revenue]]), TRUE, FALSE)</f>
        <v>0</v>
      </c>
      <c r="V238" t="b">
        <f>IF(OR(CleanedSalesData[[#This Row],[Order Status]]="Cancelled", CleanedSalesData[[#This Row],[Order Status]]="Returned"), TRUE, FALSE)</f>
        <v>0</v>
      </c>
      <c r="W238" t="str" cm="1">
        <f t="array" ref="W23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39" spans="1:23" x14ac:dyDescent="0.35">
      <c r="A239" t="s">
        <v>352</v>
      </c>
      <c r="B239" s="7">
        <v>46041</v>
      </c>
      <c r="C239" t="s">
        <v>948</v>
      </c>
      <c r="D239">
        <v>1</v>
      </c>
      <c r="E239" t="s">
        <v>69</v>
      </c>
      <c r="F239" t="s">
        <v>47</v>
      </c>
      <c r="G239" t="s">
        <v>81</v>
      </c>
      <c r="H239" t="s">
        <v>33</v>
      </c>
      <c r="I239" t="s">
        <v>55</v>
      </c>
      <c r="J239" t="s">
        <v>56</v>
      </c>
      <c r="K239" t="s">
        <v>36</v>
      </c>
      <c r="L239">
        <v>7</v>
      </c>
      <c r="M239" s="10">
        <v>0.1</v>
      </c>
      <c r="N239" s="11">
        <v>11655000</v>
      </c>
      <c r="O239" s="11">
        <v>9240000</v>
      </c>
      <c r="P239" s="11">
        <v>2415000</v>
      </c>
      <c r="Q239" t="s">
        <v>84</v>
      </c>
      <c r="R239" t="b">
        <f>COUNTIF($A$6     : CleanedSalesData[[#This Row],[Order ID]], CleanedSalesData[[#This Row],[Order ID]])&gt;1</f>
        <v>0</v>
      </c>
      <c r="S239" t="b">
        <f>IF(ISBLANK(CleanedSalesData[[#This Row],[Quantity]]), TRUE, FALSE)</f>
        <v>0</v>
      </c>
      <c r="T239" t="b">
        <f>IF(ISBLANK(CleanedSalesData[[#This Row],[Order Date]]), TRUE, FALSE)</f>
        <v>0</v>
      </c>
      <c r="U239" t="b">
        <f>IF(ISBLANK(CleanedSalesData[[#This Row],[Revenue]]), TRUE, FALSE)</f>
        <v>0</v>
      </c>
      <c r="V239" t="b">
        <f>IF(OR(CleanedSalesData[[#This Row],[Order Status]]="Cancelled", CleanedSalesData[[#This Row],[Order Status]]="Returned"), TRUE, FALSE)</f>
        <v>0</v>
      </c>
      <c r="W239" t="str" cm="1">
        <f t="array" ref="W23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0" spans="1:23" x14ac:dyDescent="0.35">
      <c r="A240" t="s">
        <v>353</v>
      </c>
      <c r="B240" s="7">
        <v>46047</v>
      </c>
      <c r="C240" t="s">
        <v>948</v>
      </c>
      <c r="D240">
        <v>1</v>
      </c>
      <c r="E240" t="s">
        <v>30</v>
      </c>
      <c r="F240" t="s">
        <v>70</v>
      </c>
      <c r="G240" t="s">
        <v>81</v>
      </c>
      <c r="H240" t="s">
        <v>90</v>
      </c>
      <c r="I240" t="s">
        <v>60</v>
      </c>
      <c r="J240" t="s">
        <v>61</v>
      </c>
      <c r="K240" t="s">
        <v>62</v>
      </c>
      <c r="L240">
        <v>7</v>
      </c>
      <c r="M240" s="10">
        <v>0.05</v>
      </c>
      <c r="N240" s="11">
        <v>432250</v>
      </c>
      <c r="O240" s="11">
        <v>217000</v>
      </c>
      <c r="P240" s="11">
        <v>215250</v>
      </c>
      <c r="Q240" t="s">
        <v>45</v>
      </c>
      <c r="R240" t="b">
        <f>COUNTIF($A$6     : CleanedSalesData[[#This Row],[Order ID]], CleanedSalesData[[#This Row],[Order ID]])&gt;1</f>
        <v>0</v>
      </c>
      <c r="S240" t="b">
        <f>IF(ISBLANK(CleanedSalesData[[#This Row],[Quantity]]), TRUE, FALSE)</f>
        <v>0</v>
      </c>
      <c r="T240" t="b">
        <f>IF(ISBLANK(CleanedSalesData[[#This Row],[Order Date]]), TRUE, FALSE)</f>
        <v>0</v>
      </c>
      <c r="U240" t="b">
        <f>IF(ISBLANK(CleanedSalesData[[#This Row],[Revenue]]), TRUE, FALSE)</f>
        <v>0</v>
      </c>
      <c r="V240" t="b">
        <f>IF(OR(CleanedSalesData[[#This Row],[Order Status]]="Cancelled", CleanedSalesData[[#This Row],[Order Status]]="Returned"), TRUE, FALSE)</f>
        <v>0</v>
      </c>
      <c r="W240" t="str" cm="1">
        <f t="array" ref="W24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1" spans="1:23" x14ac:dyDescent="0.35">
      <c r="A241" t="s">
        <v>355</v>
      </c>
      <c r="B241" s="7">
        <v>46118</v>
      </c>
      <c r="C241" t="s">
        <v>949</v>
      </c>
      <c r="D241">
        <v>4</v>
      </c>
      <c r="E241" t="s">
        <v>54</v>
      </c>
      <c r="F241" t="s">
        <v>40</v>
      </c>
      <c r="G241" t="s">
        <v>32</v>
      </c>
      <c r="H241" t="s">
        <v>33</v>
      </c>
      <c r="I241" t="s">
        <v>66</v>
      </c>
      <c r="J241" t="s">
        <v>67</v>
      </c>
      <c r="K241" t="s">
        <v>51</v>
      </c>
      <c r="L241">
        <v>7</v>
      </c>
      <c r="M241" s="10">
        <v>0.1</v>
      </c>
      <c r="N241" s="11">
        <v>1953000</v>
      </c>
      <c r="O241" s="11">
        <v>1330000</v>
      </c>
      <c r="P241" s="11">
        <v>623000</v>
      </c>
      <c r="Q241" t="s">
        <v>52</v>
      </c>
      <c r="R241" t="b">
        <f>COUNTIF($A$6     : CleanedSalesData[[#This Row],[Order ID]], CleanedSalesData[[#This Row],[Order ID]])&gt;1</f>
        <v>0</v>
      </c>
      <c r="S241" t="b">
        <f>IF(ISBLANK(CleanedSalesData[[#This Row],[Quantity]]), TRUE, FALSE)</f>
        <v>0</v>
      </c>
      <c r="T241" t="b">
        <f>IF(ISBLANK(CleanedSalesData[[#This Row],[Order Date]]), TRUE, FALSE)</f>
        <v>0</v>
      </c>
      <c r="U241" t="b">
        <f>IF(ISBLANK(CleanedSalesData[[#This Row],[Revenue]]), TRUE, FALSE)</f>
        <v>0</v>
      </c>
      <c r="V241" t="b">
        <f>IF(OR(CleanedSalesData[[#This Row],[Order Status]]="Cancelled", CleanedSalesData[[#This Row],[Order Status]]="Returned"), TRUE, FALSE)</f>
        <v>0</v>
      </c>
      <c r="W241" t="str" cm="1">
        <f t="array" ref="W24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2" spans="1:23" x14ac:dyDescent="0.35">
      <c r="A242" t="s">
        <v>357</v>
      </c>
      <c r="B242" s="7">
        <v>46155</v>
      </c>
      <c r="C242" t="s">
        <v>946</v>
      </c>
      <c r="D242">
        <v>5</v>
      </c>
      <c r="E242" t="s">
        <v>54</v>
      </c>
      <c r="F242" t="s">
        <v>47</v>
      </c>
      <c r="G242" t="s">
        <v>32</v>
      </c>
      <c r="H242" t="s">
        <v>33</v>
      </c>
      <c r="I242" t="s">
        <v>71</v>
      </c>
      <c r="J242" t="s">
        <v>72</v>
      </c>
      <c r="K242" t="s">
        <v>73</v>
      </c>
      <c r="L242">
        <v>8</v>
      </c>
      <c r="M242" s="10">
        <v>0.03</v>
      </c>
      <c r="N242" s="11">
        <v>970000</v>
      </c>
      <c r="O242" s="11">
        <v>560000</v>
      </c>
      <c r="P242" s="11">
        <v>410000</v>
      </c>
      <c r="Q242" t="s">
        <v>63</v>
      </c>
      <c r="R242" t="b">
        <f>COUNTIF($A$6     : CleanedSalesData[[#This Row],[Order ID]], CleanedSalesData[[#This Row],[Order ID]])&gt;1</f>
        <v>0</v>
      </c>
      <c r="S242" t="b">
        <f>IF(ISBLANK(CleanedSalesData[[#This Row],[Quantity]]), TRUE, FALSE)</f>
        <v>0</v>
      </c>
      <c r="T242" t="b">
        <f>IF(ISBLANK(CleanedSalesData[[#This Row],[Order Date]]), TRUE, FALSE)</f>
        <v>0</v>
      </c>
      <c r="U242" t="b">
        <f>IF(ISBLANK(CleanedSalesData[[#This Row],[Revenue]]), TRUE, FALSE)</f>
        <v>0</v>
      </c>
      <c r="V242" t="b">
        <f>IF(OR(CleanedSalesData[[#This Row],[Order Status]]="Cancelled", CleanedSalesData[[#This Row],[Order Status]]="Returned"), TRUE, FALSE)</f>
        <v>0</v>
      </c>
      <c r="W242" t="str" cm="1">
        <f t="array" ref="W24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3" spans="1:23" x14ac:dyDescent="0.35">
      <c r="A243" t="s">
        <v>358</v>
      </c>
      <c r="B243" s="7">
        <v>46064</v>
      </c>
      <c r="C243" t="s">
        <v>944</v>
      </c>
      <c r="D243">
        <v>2</v>
      </c>
      <c r="E243" t="s">
        <v>111</v>
      </c>
      <c r="F243" t="s">
        <v>70</v>
      </c>
      <c r="G243" t="s">
        <v>81</v>
      </c>
      <c r="H243" t="s">
        <v>33</v>
      </c>
      <c r="I243" t="s">
        <v>78</v>
      </c>
      <c r="J243" t="s">
        <v>79</v>
      </c>
      <c r="K243" t="s">
        <v>62</v>
      </c>
      <c r="L243">
        <v>7</v>
      </c>
      <c r="M243" s="10">
        <v>0.1</v>
      </c>
      <c r="N243" s="11">
        <v>535500</v>
      </c>
      <c r="O243" s="11">
        <v>301000</v>
      </c>
      <c r="P243" s="11">
        <v>234500</v>
      </c>
      <c r="Q243" t="s">
        <v>57</v>
      </c>
      <c r="R243" t="b">
        <f>COUNTIF($A$6     : CleanedSalesData[[#This Row],[Order ID]], CleanedSalesData[[#This Row],[Order ID]])&gt;1</f>
        <v>0</v>
      </c>
      <c r="S243" t="b">
        <f>IF(ISBLANK(CleanedSalesData[[#This Row],[Quantity]]), TRUE, FALSE)</f>
        <v>0</v>
      </c>
      <c r="T243" t="b">
        <f>IF(ISBLANK(CleanedSalesData[[#This Row],[Order Date]]), TRUE, FALSE)</f>
        <v>0</v>
      </c>
      <c r="U243" t="b">
        <f>IF(ISBLANK(CleanedSalesData[[#This Row],[Revenue]]), TRUE, FALSE)</f>
        <v>0</v>
      </c>
      <c r="V243" t="b">
        <f>IF(OR(CleanedSalesData[[#This Row],[Order Status]]="Cancelled", CleanedSalesData[[#This Row],[Order Status]]="Returned"), TRUE, FALSE)</f>
        <v>0</v>
      </c>
      <c r="W243" t="str" cm="1">
        <f t="array" ref="W24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4" spans="1:23" x14ac:dyDescent="0.35">
      <c r="A244" t="s">
        <v>359</v>
      </c>
      <c r="B244" s="7">
        <v>46144</v>
      </c>
      <c r="C244" t="s">
        <v>946</v>
      </c>
      <c r="D244">
        <v>5</v>
      </c>
      <c r="E244" t="s">
        <v>76</v>
      </c>
      <c r="F244" t="s">
        <v>40</v>
      </c>
      <c r="G244" t="s">
        <v>48</v>
      </c>
      <c r="H244" t="s">
        <v>33</v>
      </c>
      <c r="I244" t="s">
        <v>82</v>
      </c>
      <c r="J244" t="s">
        <v>83</v>
      </c>
      <c r="K244" t="s">
        <v>44</v>
      </c>
      <c r="L244">
        <v>1</v>
      </c>
      <c r="M244" s="10">
        <v>0.05</v>
      </c>
      <c r="N244" s="11">
        <v>1377500</v>
      </c>
      <c r="O244" s="11">
        <v>980000</v>
      </c>
      <c r="P244" s="11">
        <v>397500</v>
      </c>
      <c r="Q244" t="s">
        <v>74</v>
      </c>
      <c r="R244" t="b">
        <f>COUNTIF($A$6     : CleanedSalesData[[#This Row],[Order ID]], CleanedSalesData[[#This Row],[Order ID]])&gt;1</f>
        <v>0</v>
      </c>
      <c r="S244" t="b">
        <f>IF(ISBLANK(CleanedSalesData[[#This Row],[Quantity]]), TRUE, FALSE)</f>
        <v>0</v>
      </c>
      <c r="T244" t="b">
        <f>IF(ISBLANK(CleanedSalesData[[#This Row],[Order Date]]), TRUE, FALSE)</f>
        <v>0</v>
      </c>
      <c r="U244" t="b">
        <f>IF(ISBLANK(CleanedSalesData[[#This Row],[Revenue]]), TRUE, FALSE)</f>
        <v>0</v>
      </c>
      <c r="V244" t="b">
        <f>IF(OR(CleanedSalesData[[#This Row],[Order Status]]="Cancelled", CleanedSalesData[[#This Row],[Order Status]]="Returned"), TRUE, FALSE)</f>
        <v>0</v>
      </c>
      <c r="W244" t="str" cm="1">
        <f t="array" ref="W24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5" spans="1:23" x14ac:dyDescent="0.35">
      <c r="A245" t="s">
        <v>360</v>
      </c>
      <c r="B245" s="7">
        <v>46175</v>
      </c>
      <c r="C245" t="s">
        <v>945</v>
      </c>
      <c r="D245">
        <v>6</v>
      </c>
      <c r="E245" t="s">
        <v>95</v>
      </c>
      <c r="F245" t="s">
        <v>47</v>
      </c>
      <c r="G245" t="s">
        <v>32</v>
      </c>
      <c r="H245" t="s">
        <v>77</v>
      </c>
      <c r="I245" t="s">
        <v>86</v>
      </c>
      <c r="J245" t="s">
        <v>87</v>
      </c>
      <c r="K245" t="s">
        <v>36</v>
      </c>
      <c r="L245">
        <v>8</v>
      </c>
      <c r="M245" s="10">
        <v>0.05</v>
      </c>
      <c r="N245" s="11">
        <v>1330000</v>
      </c>
      <c r="O245" s="11">
        <v>1680000</v>
      </c>
      <c r="P245" s="11">
        <v>-350000</v>
      </c>
      <c r="Q245" t="s">
        <v>52</v>
      </c>
      <c r="R245" t="b">
        <f>COUNTIF($A$6     : CleanedSalesData[[#This Row],[Order ID]], CleanedSalesData[[#This Row],[Order ID]])&gt;1</f>
        <v>0</v>
      </c>
      <c r="S245" t="b">
        <f>IF(ISBLANK(CleanedSalesData[[#This Row],[Quantity]]), TRUE, FALSE)</f>
        <v>0</v>
      </c>
      <c r="T245" t="b">
        <f>IF(ISBLANK(CleanedSalesData[[#This Row],[Order Date]]), TRUE, FALSE)</f>
        <v>0</v>
      </c>
      <c r="U245" t="b">
        <f>IF(ISBLANK(CleanedSalesData[[#This Row],[Revenue]]), TRUE, FALSE)</f>
        <v>0</v>
      </c>
      <c r="V245" t="b">
        <f>IF(OR(CleanedSalesData[[#This Row],[Order Status]]="Cancelled", CleanedSalesData[[#This Row],[Order Status]]="Returned"), TRUE, FALSE)</f>
        <v>1</v>
      </c>
      <c r="W245" t="str" cm="1">
        <f t="array" ref="W24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46" spans="1:23" x14ac:dyDescent="0.35">
      <c r="A246" t="s">
        <v>361</v>
      </c>
      <c r="B246" s="7">
        <v>46066</v>
      </c>
      <c r="C246" t="s">
        <v>944</v>
      </c>
      <c r="D246">
        <v>2</v>
      </c>
      <c r="E246" t="s">
        <v>69</v>
      </c>
      <c r="F246" t="s">
        <v>31</v>
      </c>
      <c r="G246" t="s">
        <v>41</v>
      </c>
      <c r="H246" t="s">
        <v>90</v>
      </c>
      <c r="I246" t="s">
        <v>34</v>
      </c>
      <c r="J246" t="s">
        <v>35</v>
      </c>
      <c r="K246" t="s">
        <v>36</v>
      </c>
      <c r="L246">
        <v>7</v>
      </c>
      <c r="M246" s="10">
        <v>0.03</v>
      </c>
      <c r="N246" s="11">
        <v>3225250</v>
      </c>
      <c r="O246" s="11">
        <v>1995000</v>
      </c>
      <c r="P246" s="11">
        <v>1230250</v>
      </c>
      <c r="Q246" t="s">
        <v>45</v>
      </c>
      <c r="R246" t="b">
        <f>COUNTIF($A$6     : CleanedSalesData[[#This Row],[Order ID]], CleanedSalesData[[#This Row],[Order ID]])&gt;1</f>
        <v>0</v>
      </c>
      <c r="S246" t="b">
        <f>IF(ISBLANK(CleanedSalesData[[#This Row],[Quantity]]), TRUE, FALSE)</f>
        <v>0</v>
      </c>
      <c r="T246" t="b">
        <f>IF(ISBLANK(CleanedSalesData[[#This Row],[Order Date]]), TRUE, FALSE)</f>
        <v>0</v>
      </c>
      <c r="U246" t="b">
        <f>IF(ISBLANK(CleanedSalesData[[#This Row],[Revenue]]), TRUE, FALSE)</f>
        <v>0</v>
      </c>
      <c r="V246" t="b">
        <f>IF(OR(CleanedSalesData[[#This Row],[Order Status]]="Cancelled", CleanedSalesData[[#This Row],[Order Status]]="Returned"), TRUE, FALSE)</f>
        <v>0</v>
      </c>
      <c r="W246" t="str" cm="1">
        <f t="array" ref="W24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7" spans="1:23" x14ac:dyDescent="0.35">
      <c r="A247" t="s">
        <v>362</v>
      </c>
      <c r="B247" s="7">
        <v>46027</v>
      </c>
      <c r="C247" t="s">
        <v>948</v>
      </c>
      <c r="D247">
        <v>1</v>
      </c>
      <c r="E247" t="s">
        <v>65</v>
      </c>
      <c r="F247" t="s">
        <v>59</v>
      </c>
      <c r="G247" t="s">
        <v>32</v>
      </c>
      <c r="H247" t="s">
        <v>33</v>
      </c>
      <c r="I247" t="s">
        <v>42</v>
      </c>
      <c r="J247" t="s">
        <v>43</v>
      </c>
      <c r="K247" t="s">
        <v>44</v>
      </c>
      <c r="L247">
        <v>8</v>
      </c>
      <c r="M247" s="10">
        <v>0.05</v>
      </c>
      <c r="N247" s="11">
        <v>2090000</v>
      </c>
      <c r="O247" s="11">
        <v>1240000</v>
      </c>
      <c r="P247" s="11">
        <v>850000</v>
      </c>
      <c r="Q247" t="s">
        <v>52</v>
      </c>
      <c r="R247" t="b">
        <f>COUNTIF($A$6     : CleanedSalesData[[#This Row],[Order ID]], CleanedSalesData[[#This Row],[Order ID]])&gt;1</f>
        <v>0</v>
      </c>
      <c r="S247" t="b">
        <f>IF(ISBLANK(CleanedSalesData[[#This Row],[Quantity]]), TRUE, FALSE)</f>
        <v>0</v>
      </c>
      <c r="T247" t="b">
        <f>IF(ISBLANK(CleanedSalesData[[#This Row],[Order Date]]), TRUE, FALSE)</f>
        <v>0</v>
      </c>
      <c r="U247" t="b">
        <f>IF(ISBLANK(CleanedSalesData[[#This Row],[Revenue]]), TRUE, FALSE)</f>
        <v>0</v>
      </c>
      <c r="V247" t="b">
        <f>IF(OR(CleanedSalesData[[#This Row],[Order Status]]="Cancelled", CleanedSalesData[[#This Row],[Order Status]]="Returned"), TRUE, FALSE)</f>
        <v>0</v>
      </c>
      <c r="W247" t="str" cm="1">
        <f t="array" ref="W24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8" spans="1:23" x14ac:dyDescent="0.35">
      <c r="A248" t="s">
        <v>363</v>
      </c>
      <c r="B248" s="7">
        <v>46038</v>
      </c>
      <c r="C248" t="s">
        <v>948</v>
      </c>
      <c r="D248">
        <v>1</v>
      </c>
      <c r="E248" t="s">
        <v>65</v>
      </c>
      <c r="F248" t="s">
        <v>70</v>
      </c>
      <c r="G248" t="s">
        <v>48</v>
      </c>
      <c r="H248" t="s">
        <v>33</v>
      </c>
      <c r="I248" t="s">
        <v>49</v>
      </c>
      <c r="J248" t="s">
        <v>50</v>
      </c>
      <c r="K248" t="s">
        <v>51</v>
      </c>
      <c r="L248">
        <v>3</v>
      </c>
      <c r="M248" s="10">
        <v>0.1</v>
      </c>
      <c r="N248" s="11">
        <v>661500</v>
      </c>
      <c r="O248" s="11">
        <v>435000</v>
      </c>
      <c r="P248" s="11">
        <v>226500</v>
      </c>
      <c r="Q248" t="s">
        <v>63</v>
      </c>
      <c r="R248" t="b">
        <f>COUNTIF($A$6     : CleanedSalesData[[#This Row],[Order ID]], CleanedSalesData[[#This Row],[Order ID]])&gt;1</f>
        <v>0</v>
      </c>
      <c r="S248" t="b">
        <f>IF(ISBLANK(CleanedSalesData[[#This Row],[Quantity]]), TRUE, FALSE)</f>
        <v>0</v>
      </c>
      <c r="T248" t="b">
        <f>IF(ISBLANK(CleanedSalesData[[#This Row],[Order Date]]), TRUE, FALSE)</f>
        <v>0</v>
      </c>
      <c r="U248" t="b">
        <f>IF(ISBLANK(CleanedSalesData[[#This Row],[Revenue]]), TRUE, FALSE)</f>
        <v>0</v>
      </c>
      <c r="V248" t="b">
        <f>IF(OR(CleanedSalesData[[#This Row],[Order Status]]="Cancelled", CleanedSalesData[[#This Row],[Order Status]]="Returned"), TRUE, FALSE)</f>
        <v>0</v>
      </c>
      <c r="W248" t="str" cm="1">
        <f t="array" ref="W24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49" spans="1:23" x14ac:dyDescent="0.35">
      <c r="A249" t="s">
        <v>364</v>
      </c>
      <c r="B249" s="7">
        <v>46067</v>
      </c>
      <c r="C249" t="s">
        <v>944</v>
      </c>
      <c r="D249">
        <v>2</v>
      </c>
      <c r="E249" t="s">
        <v>111</v>
      </c>
      <c r="F249" t="s">
        <v>70</v>
      </c>
      <c r="G249" t="s">
        <v>81</v>
      </c>
      <c r="H249" t="s">
        <v>33</v>
      </c>
      <c r="I249" t="s">
        <v>55</v>
      </c>
      <c r="J249" t="s">
        <v>56</v>
      </c>
      <c r="K249" t="s">
        <v>36</v>
      </c>
      <c r="L249">
        <v>8</v>
      </c>
      <c r="M249" s="10">
        <v>0.1</v>
      </c>
      <c r="N249" s="11">
        <v>13320000</v>
      </c>
      <c r="O249" s="11">
        <v>10560000</v>
      </c>
      <c r="P249" s="11">
        <v>2760000</v>
      </c>
      <c r="Q249" t="s">
        <v>45</v>
      </c>
      <c r="R249" t="b">
        <f>COUNTIF($A$6     : CleanedSalesData[[#This Row],[Order ID]], CleanedSalesData[[#This Row],[Order ID]])&gt;1</f>
        <v>0</v>
      </c>
      <c r="S249" t="b">
        <f>IF(ISBLANK(CleanedSalesData[[#This Row],[Quantity]]), TRUE, FALSE)</f>
        <v>0</v>
      </c>
      <c r="T249" t="b">
        <f>IF(ISBLANK(CleanedSalesData[[#This Row],[Order Date]]), TRUE, FALSE)</f>
        <v>0</v>
      </c>
      <c r="U249" t="b">
        <f>IF(ISBLANK(CleanedSalesData[[#This Row],[Revenue]]), TRUE, FALSE)</f>
        <v>0</v>
      </c>
      <c r="V249" t="b">
        <f>IF(OR(CleanedSalesData[[#This Row],[Order Status]]="Cancelled", CleanedSalesData[[#This Row],[Order Status]]="Returned"), TRUE, FALSE)</f>
        <v>0</v>
      </c>
      <c r="W249" t="str" cm="1">
        <f t="array" ref="W24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0" spans="1:23" x14ac:dyDescent="0.35">
      <c r="A250" t="s">
        <v>365</v>
      </c>
      <c r="B250" s="7">
        <v>46086</v>
      </c>
      <c r="C250" t="s">
        <v>947</v>
      </c>
      <c r="D250">
        <v>3</v>
      </c>
      <c r="E250" t="s">
        <v>39</v>
      </c>
      <c r="F250" t="s">
        <v>70</v>
      </c>
      <c r="G250" t="s">
        <v>81</v>
      </c>
      <c r="H250" t="s">
        <v>33</v>
      </c>
      <c r="I250" t="s">
        <v>60</v>
      </c>
      <c r="J250" t="s">
        <v>61</v>
      </c>
      <c r="K250" t="s">
        <v>62</v>
      </c>
      <c r="L250">
        <v>5</v>
      </c>
      <c r="M250" s="10">
        <v>0.1</v>
      </c>
      <c r="N250" s="11">
        <v>292500</v>
      </c>
      <c r="O250" s="11">
        <v>155000</v>
      </c>
      <c r="P250" s="11">
        <v>137500</v>
      </c>
      <c r="Q250" t="s">
        <v>52</v>
      </c>
      <c r="R250" t="b">
        <f>COUNTIF($A$6     : CleanedSalesData[[#This Row],[Order ID]], CleanedSalesData[[#This Row],[Order ID]])&gt;1</f>
        <v>0</v>
      </c>
      <c r="S250" t="b">
        <f>IF(ISBLANK(CleanedSalesData[[#This Row],[Quantity]]), TRUE, FALSE)</f>
        <v>0</v>
      </c>
      <c r="T250" t="b">
        <f>IF(ISBLANK(CleanedSalesData[[#This Row],[Order Date]]), TRUE, FALSE)</f>
        <v>0</v>
      </c>
      <c r="U250" t="b">
        <f>IF(ISBLANK(CleanedSalesData[[#This Row],[Revenue]]), TRUE, FALSE)</f>
        <v>0</v>
      </c>
      <c r="V250" t="b">
        <f>IF(OR(CleanedSalesData[[#This Row],[Order Status]]="Cancelled", CleanedSalesData[[#This Row],[Order Status]]="Returned"), TRUE, FALSE)</f>
        <v>0</v>
      </c>
      <c r="W250" t="str" cm="1">
        <f t="array" ref="W25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1" spans="1:23" x14ac:dyDescent="0.35">
      <c r="A251" t="s">
        <v>366</v>
      </c>
      <c r="B251" s="7">
        <v>46104</v>
      </c>
      <c r="C251" t="s">
        <v>947</v>
      </c>
      <c r="D251">
        <v>3</v>
      </c>
      <c r="E251" t="s">
        <v>69</v>
      </c>
      <c r="F251" t="s">
        <v>70</v>
      </c>
      <c r="G251" t="s">
        <v>81</v>
      </c>
      <c r="H251" t="s">
        <v>33</v>
      </c>
      <c r="I251" t="s">
        <v>66</v>
      </c>
      <c r="J251" t="s">
        <v>67</v>
      </c>
      <c r="K251" t="s">
        <v>51</v>
      </c>
      <c r="L251">
        <v>8</v>
      </c>
      <c r="M251" s="10">
        <v>0.05</v>
      </c>
      <c r="N251" s="11">
        <v>2356000</v>
      </c>
      <c r="O251" s="11">
        <v>1520000</v>
      </c>
      <c r="P251" s="11">
        <v>836000</v>
      </c>
      <c r="Q251" t="s">
        <v>93</v>
      </c>
      <c r="R251" t="b">
        <f>COUNTIF($A$6     : CleanedSalesData[[#This Row],[Order ID]], CleanedSalesData[[#This Row],[Order ID]])&gt;1</f>
        <v>0</v>
      </c>
      <c r="S251" t="b">
        <f>IF(ISBLANK(CleanedSalesData[[#This Row],[Quantity]]), TRUE, FALSE)</f>
        <v>0</v>
      </c>
      <c r="T251" t="b">
        <f>IF(ISBLANK(CleanedSalesData[[#This Row],[Order Date]]), TRUE, FALSE)</f>
        <v>0</v>
      </c>
      <c r="U251" t="b">
        <f>IF(ISBLANK(CleanedSalesData[[#This Row],[Revenue]]), TRUE, FALSE)</f>
        <v>0</v>
      </c>
      <c r="V251" t="b">
        <f>IF(OR(CleanedSalesData[[#This Row],[Order Status]]="Cancelled", CleanedSalesData[[#This Row],[Order Status]]="Returned"), TRUE, FALSE)</f>
        <v>0</v>
      </c>
      <c r="W251" t="str" cm="1">
        <f t="array" ref="W25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2" spans="1:23" x14ac:dyDescent="0.35">
      <c r="A252" t="s">
        <v>368</v>
      </c>
      <c r="B252" s="7">
        <v>46124</v>
      </c>
      <c r="C252" t="s">
        <v>949</v>
      </c>
      <c r="D252">
        <v>4</v>
      </c>
      <c r="E252" t="s">
        <v>54</v>
      </c>
      <c r="F252" t="s">
        <v>70</v>
      </c>
      <c r="G252" t="s">
        <v>41</v>
      </c>
      <c r="H252" t="s">
        <v>33</v>
      </c>
      <c r="I252" t="s">
        <v>71</v>
      </c>
      <c r="J252" t="s">
        <v>72</v>
      </c>
      <c r="K252" t="s">
        <v>73</v>
      </c>
      <c r="L252">
        <v>6</v>
      </c>
      <c r="M252" s="10">
        <v>0.03</v>
      </c>
      <c r="N252" s="11">
        <v>727500</v>
      </c>
      <c r="O252" s="11">
        <v>420000</v>
      </c>
      <c r="P252" s="11">
        <v>307500</v>
      </c>
      <c r="Q252" t="s">
        <v>52</v>
      </c>
      <c r="R252" t="b">
        <f>COUNTIF($A$6     : CleanedSalesData[[#This Row],[Order ID]], CleanedSalesData[[#This Row],[Order ID]])&gt;1</f>
        <v>0</v>
      </c>
      <c r="S252" t="b">
        <f>IF(ISBLANK(CleanedSalesData[[#This Row],[Quantity]]), TRUE, FALSE)</f>
        <v>0</v>
      </c>
      <c r="T252" t="b">
        <f>IF(ISBLANK(CleanedSalesData[[#This Row],[Order Date]]), TRUE, FALSE)</f>
        <v>0</v>
      </c>
      <c r="U252" t="b">
        <f>IF(ISBLANK(CleanedSalesData[[#This Row],[Revenue]]), TRUE, FALSE)</f>
        <v>0</v>
      </c>
      <c r="V252" t="b">
        <f>IF(OR(CleanedSalesData[[#This Row],[Order Status]]="Cancelled", CleanedSalesData[[#This Row],[Order Status]]="Returned"), TRUE, FALSE)</f>
        <v>0</v>
      </c>
      <c r="W252" t="str" cm="1">
        <f t="array" ref="W25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3" spans="1:23" x14ac:dyDescent="0.35">
      <c r="A253" t="s">
        <v>369</v>
      </c>
      <c r="B253" s="7">
        <v>46190</v>
      </c>
      <c r="C253" t="s">
        <v>945</v>
      </c>
      <c r="D253">
        <v>6</v>
      </c>
      <c r="E253" t="s">
        <v>76</v>
      </c>
      <c r="F253" t="s">
        <v>31</v>
      </c>
      <c r="G253" t="s">
        <v>81</v>
      </c>
      <c r="H253" t="s">
        <v>33</v>
      </c>
      <c r="I253" t="s">
        <v>78</v>
      </c>
      <c r="J253" t="s">
        <v>79</v>
      </c>
      <c r="K253" t="s">
        <v>62</v>
      </c>
      <c r="L253">
        <v>5</v>
      </c>
      <c r="M253" s="10">
        <v>0.15</v>
      </c>
      <c r="N253" s="11">
        <v>361250</v>
      </c>
      <c r="O253" s="11">
        <v>215000</v>
      </c>
      <c r="P253" s="11">
        <v>146250</v>
      </c>
      <c r="Q253" t="s">
        <v>84</v>
      </c>
      <c r="R253" t="b">
        <f>COUNTIF($A$6     : CleanedSalesData[[#This Row],[Order ID]], CleanedSalesData[[#This Row],[Order ID]])&gt;1</f>
        <v>0</v>
      </c>
      <c r="S253" t="b">
        <f>IF(ISBLANK(CleanedSalesData[[#This Row],[Quantity]]), TRUE, FALSE)</f>
        <v>0</v>
      </c>
      <c r="T253" t="b">
        <f>IF(ISBLANK(CleanedSalesData[[#This Row],[Order Date]]), TRUE, FALSE)</f>
        <v>0</v>
      </c>
      <c r="U253" t="b">
        <f>IF(ISBLANK(CleanedSalesData[[#This Row],[Revenue]]), TRUE, FALSE)</f>
        <v>0</v>
      </c>
      <c r="V253" t="b">
        <f>IF(OR(CleanedSalesData[[#This Row],[Order Status]]="Cancelled", CleanedSalesData[[#This Row],[Order Status]]="Returned"), TRUE, FALSE)</f>
        <v>0</v>
      </c>
      <c r="W253" t="str" cm="1">
        <f t="array" ref="W25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4" spans="1:23" x14ac:dyDescent="0.35">
      <c r="A254" t="s">
        <v>370</v>
      </c>
      <c r="E254" t="s">
        <v>39</v>
      </c>
      <c r="F254" t="s">
        <v>47</v>
      </c>
      <c r="G254" t="s">
        <v>32</v>
      </c>
      <c r="H254" t="s">
        <v>33</v>
      </c>
      <c r="I254" t="s">
        <v>82</v>
      </c>
      <c r="J254" t="s">
        <v>83</v>
      </c>
      <c r="K254" t="s">
        <v>44</v>
      </c>
      <c r="L254">
        <v>4</v>
      </c>
      <c r="M254" s="10">
        <v>0.03</v>
      </c>
      <c r="N254" s="11">
        <v>5626000</v>
      </c>
      <c r="O254" s="11">
        <v>3920000</v>
      </c>
      <c r="P254" s="11">
        <v>1706000</v>
      </c>
      <c r="Q254" t="s">
        <v>74</v>
      </c>
      <c r="R254" t="b">
        <f>COUNTIF($A$6     : CleanedSalesData[[#This Row],[Order ID]], CleanedSalesData[[#This Row],[Order ID]])&gt;1</f>
        <v>0</v>
      </c>
      <c r="S254" t="b">
        <f>IF(ISBLANK(CleanedSalesData[[#This Row],[Quantity]]), TRUE, FALSE)</f>
        <v>0</v>
      </c>
      <c r="T254" t="b">
        <f>IF(ISBLANK(CleanedSalesData[[#This Row],[Order Date]]), TRUE, FALSE)</f>
        <v>1</v>
      </c>
      <c r="U254" t="b">
        <f>IF(ISBLANK(CleanedSalesData[[#This Row],[Revenue]]), TRUE, FALSE)</f>
        <v>0</v>
      </c>
      <c r="V254" t="b">
        <f>IF(OR(CleanedSalesData[[#This Row],[Order Status]]="Cancelled", CleanedSalesData[[#This Row],[Order Status]]="Returned"), TRUE, FALSE)</f>
        <v>0</v>
      </c>
      <c r="W254" t="str" cm="1">
        <f t="array" ref="W25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Date</v>
      </c>
    </row>
    <row r="255" spans="1:23" x14ac:dyDescent="0.35">
      <c r="A255" t="s">
        <v>371</v>
      </c>
      <c r="B255" s="7">
        <v>46048</v>
      </c>
      <c r="C255" t="s">
        <v>948</v>
      </c>
      <c r="D255">
        <v>1</v>
      </c>
      <c r="E255" t="s">
        <v>95</v>
      </c>
      <c r="F255" t="s">
        <v>40</v>
      </c>
      <c r="G255" t="s">
        <v>32</v>
      </c>
      <c r="H255" t="s">
        <v>33</v>
      </c>
      <c r="I255" t="s">
        <v>86</v>
      </c>
      <c r="J255" t="s">
        <v>87</v>
      </c>
      <c r="K255" t="s">
        <v>36</v>
      </c>
      <c r="L255">
        <v>7</v>
      </c>
      <c r="M255" s="10">
        <v>0.05</v>
      </c>
      <c r="N255" s="11">
        <v>2327500</v>
      </c>
      <c r="O255" s="11">
        <v>1470000</v>
      </c>
      <c r="P255" s="11">
        <v>857500</v>
      </c>
      <c r="Q255" t="s">
        <v>84</v>
      </c>
      <c r="R255" t="b">
        <f>COUNTIF($A$6     : CleanedSalesData[[#This Row],[Order ID]], CleanedSalesData[[#This Row],[Order ID]])&gt;1</f>
        <v>0</v>
      </c>
      <c r="S255" t="b">
        <f>IF(ISBLANK(CleanedSalesData[[#This Row],[Quantity]]), TRUE, FALSE)</f>
        <v>0</v>
      </c>
      <c r="T255" t="b">
        <f>IF(ISBLANK(CleanedSalesData[[#This Row],[Order Date]]), TRUE, FALSE)</f>
        <v>0</v>
      </c>
      <c r="U255" t="b">
        <f>IF(ISBLANK(CleanedSalesData[[#This Row],[Revenue]]), TRUE, FALSE)</f>
        <v>0</v>
      </c>
      <c r="V255" t="b">
        <f>IF(OR(CleanedSalesData[[#This Row],[Order Status]]="Cancelled", CleanedSalesData[[#This Row],[Order Status]]="Returned"), TRUE, FALSE)</f>
        <v>0</v>
      </c>
      <c r="W255" t="str" cm="1">
        <f t="array" ref="W25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6" spans="1:23" x14ac:dyDescent="0.35">
      <c r="A256" t="s">
        <v>372</v>
      </c>
      <c r="B256" s="7">
        <v>46127</v>
      </c>
      <c r="C256" t="s">
        <v>949</v>
      </c>
      <c r="D256">
        <v>4</v>
      </c>
      <c r="E256" t="s">
        <v>76</v>
      </c>
      <c r="F256" t="s">
        <v>70</v>
      </c>
      <c r="G256" t="s">
        <v>81</v>
      </c>
      <c r="H256" t="s">
        <v>33</v>
      </c>
      <c r="I256" t="s">
        <v>34</v>
      </c>
      <c r="J256" t="s">
        <v>35</v>
      </c>
      <c r="K256" t="s">
        <v>36</v>
      </c>
      <c r="L256">
        <v>8</v>
      </c>
      <c r="M256" s="10">
        <v>0.08</v>
      </c>
      <c r="N256" s="11">
        <v>3496000</v>
      </c>
      <c r="O256" s="11">
        <v>2280000</v>
      </c>
      <c r="P256" s="11">
        <v>1216000</v>
      </c>
      <c r="Q256" t="s">
        <v>74</v>
      </c>
      <c r="R256" t="b">
        <f>COUNTIF($A$6     : CleanedSalesData[[#This Row],[Order ID]], CleanedSalesData[[#This Row],[Order ID]])&gt;1</f>
        <v>0</v>
      </c>
      <c r="S256" t="b">
        <f>IF(ISBLANK(CleanedSalesData[[#This Row],[Quantity]]), TRUE, FALSE)</f>
        <v>0</v>
      </c>
      <c r="T256" t="b">
        <f>IF(ISBLANK(CleanedSalesData[[#This Row],[Order Date]]), TRUE, FALSE)</f>
        <v>0</v>
      </c>
      <c r="U256" t="b">
        <f>IF(ISBLANK(CleanedSalesData[[#This Row],[Revenue]]), TRUE, FALSE)</f>
        <v>0</v>
      </c>
      <c r="V256" t="b">
        <f>IF(OR(CleanedSalesData[[#This Row],[Order Status]]="Cancelled", CleanedSalesData[[#This Row],[Order Status]]="Returned"), TRUE, FALSE)</f>
        <v>0</v>
      </c>
      <c r="W256" t="str" cm="1">
        <f t="array" ref="W25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7" spans="1:23" x14ac:dyDescent="0.35">
      <c r="A257" t="s">
        <v>373</v>
      </c>
      <c r="B257" s="7">
        <v>46045</v>
      </c>
      <c r="C257" t="s">
        <v>948</v>
      </c>
      <c r="D257">
        <v>1</v>
      </c>
      <c r="E257" t="s">
        <v>65</v>
      </c>
      <c r="F257" t="s">
        <v>40</v>
      </c>
      <c r="G257" t="s">
        <v>32</v>
      </c>
      <c r="H257" t="s">
        <v>33</v>
      </c>
      <c r="I257" t="s">
        <v>42</v>
      </c>
      <c r="J257" t="s">
        <v>43</v>
      </c>
      <c r="K257" t="s">
        <v>44</v>
      </c>
      <c r="L257">
        <v>4</v>
      </c>
      <c r="M257" s="10">
        <v>0.1</v>
      </c>
      <c r="N257" s="11">
        <v>990000</v>
      </c>
      <c r="O257" s="11">
        <v>620000</v>
      </c>
      <c r="P257" s="11">
        <v>370000</v>
      </c>
      <c r="Q257" t="s">
        <v>84</v>
      </c>
      <c r="R257" t="b">
        <f>COUNTIF($A$6     : CleanedSalesData[[#This Row],[Order ID]], CleanedSalesData[[#This Row],[Order ID]])&gt;1</f>
        <v>0</v>
      </c>
      <c r="S257" t="b">
        <f>IF(ISBLANK(CleanedSalesData[[#This Row],[Quantity]]), TRUE, FALSE)</f>
        <v>0</v>
      </c>
      <c r="T257" t="b">
        <f>IF(ISBLANK(CleanedSalesData[[#This Row],[Order Date]]), TRUE, FALSE)</f>
        <v>0</v>
      </c>
      <c r="U257" t="b">
        <f>IF(ISBLANK(CleanedSalesData[[#This Row],[Revenue]]), TRUE, FALSE)</f>
        <v>0</v>
      </c>
      <c r="V257" t="b">
        <f>IF(OR(CleanedSalesData[[#This Row],[Order Status]]="Cancelled", CleanedSalesData[[#This Row],[Order Status]]="Returned"), TRUE, FALSE)</f>
        <v>0</v>
      </c>
      <c r="W257" t="str" cm="1">
        <f t="array" ref="W25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8" spans="1:23" x14ac:dyDescent="0.35">
      <c r="A258" t="s">
        <v>374</v>
      </c>
      <c r="B258" s="7">
        <v>46032</v>
      </c>
      <c r="C258" t="s">
        <v>948</v>
      </c>
      <c r="D258">
        <v>1</v>
      </c>
      <c r="E258" t="s">
        <v>95</v>
      </c>
      <c r="F258" t="s">
        <v>70</v>
      </c>
      <c r="G258" t="s">
        <v>41</v>
      </c>
      <c r="H258" t="s">
        <v>33</v>
      </c>
      <c r="I258" t="s">
        <v>49</v>
      </c>
      <c r="J258" t="s">
        <v>50</v>
      </c>
      <c r="K258" t="s">
        <v>51</v>
      </c>
      <c r="L258">
        <v>7</v>
      </c>
      <c r="M258" s="10">
        <v>0.08</v>
      </c>
      <c r="N258" s="11">
        <v>1577800</v>
      </c>
      <c r="O258" s="11">
        <v>1015000</v>
      </c>
      <c r="P258" s="11">
        <v>562800</v>
      </c>
      <c r="Q258" t="s">
        <v>57</v>
      </c>
      <c r="R258" t="b">
        <f>COUNTIF($A$6     : CleanedSalesData[[#This Row],[Order ID]], CleanedSalesData[[#This Row],[Order ID]])&gt;1</f>
        <v>0</v>
      </c>
      <c r="S258" t="b">
        <f>IF(ISBLANK(CleanedSalesData[[#This Row],[Quantity]]), TRUE, FALSE)</f>
        <v>0</v>
      </c>
      <c r="T258" t="b">
        <f>IF(ISBLANK(CleanedSalesData[[#This Row],[Order Date]]), TRUE, FALSE)</f>
        <v>0</v>
      </c>
      <c r="U258" t="b">
        <f>IF(ISBLANK(CleanedSalesData[[#This Row],[Revenue]]), TRUE, FALSE)</f>
        <v>0</v>
      </c>
      <c r="V258" t="b">
        <f>IF(OR(CleanedSalesData[[#This Row],[Order Status]]="Cancelled", CleanedSalesData[[#This Row],[Order Status]]="Returned"), TRUE, FALSE)</f>
        <v>0</v>
      </c>
      <c r="W258" t="str" cm="1">
        <f t="array" ref="W25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59" spans="1:23" x14ac:dyDescent="0.35">
      <c r="A259" t="s">
        <v>375</v>
      </c>
      <c r="B259" s="7">
        <v>46168</v>
      </c>
      <c r="C259" t="s">
        <v>946</v>
      </c>
      <c r="D259">
        <v>5</v>
      </c>
      <c r="E259" t="s">
        <v>30</v>
      </c>
      <c r="F259" t="s">
        <v>47</v>
      </c>
      <c r="G259" t="s">
        <v>48</v>
      </c>
      <c r="H259" t="s">
        <v>33</v>
      </c>
      <c r="I259" t="s">
        <v>55</v>
      </c>
      <c r="J259" t="s">
        <v>56</v>
      </c>
      <c r="K259" t="s">
        <v>36</v>
      </c>
      <c r="L259">
        <v>2</v>
      </c>
      <c r="M259" s="10">
        <v>0.05</v>
      </c>
      <c r="N259" s="11">
        <v>3515000</v>
      </c>
      <c r="O259" s="11">
        <v>2640000</v>
      </c>
      <c r="P259" s="11">
        <v>875000</v>
      </c>
      <c r="Q259" t="s">
        <v>52</v>
      </c>
      <c r="R259" t="b">
        <f>COUNTIF($A$6     : CleanedSalesData[[#This Row],[Order ID]], CleanedSalesData[[#This Row],[Order ID]])&gt;1</f>
        <v>0</v>
      </c>
      <c r="S259" t="b">
        <f>IF(ISBLANK(CleanedSalesData[[#This Row],[Quantity]]), TRUE, FALSE)</f>
        <v>0</v>
      </c>
      <c r="T259" t="b">
        <f>IF(ISBLANK(CleanedSalesData[[#This Row],[Order Date]]), TRUE, FALSE)</f>
        <v>0</v>
      </c>
      <c r="U259" t="b">
        <f>IF(ISBLANK(CleanedSalesData[[#This Row],[Revenue]]), TRUE, FALSE)</f>
        <v>0</v>
      </c>
      <c r="V259" t="b">
        <f>IF(OR(CleanedSalesData[[#This Row],[Order Status]]="Cancelled", CleanedSalesData[[#This Row],[Order Status]]="Returned"), TRUE, FALSE)</f>
        <v>0</v>
      </c>
      <c r="W259" t="str" cm="1">
        <f t="array" ref="W25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0" spans="1:23" x14ac:dyDescent="0.35">
      <c r="A260" t="s">
        <v>376</v>
      </c>
      <c r="B260" s="7">
        <v>46092</v>
      </c>
      <c r="C260" t="s">
        <v>947</v>
      </c>
      <c r="D260">
        <v>3</v>
      </c>
      <c r="E260" t="s">
        <v>30</v>
      </c>
      <c r="F260" t="s">
        <v>59</v>
      </c>
      <c r="G260" t="s">
        <v>81</v>
      </c>
      <c r="H260" t="s">
        <v>33</v>
      </c>
      <c r="I260" t="s">
        <v>60</v>
      </c>
      <c r="J260" t="s">
        <v>61</v>
      </c>
      <c r="K260" t="s">
        <v>62</v>
      </c>
      <c r="L260">
        <v>4</v>
      </c>
      <c r="M260" s="10">
        <v>0</v>
      </c>
      <c r="N260" s="11">
        <v>260000</v>
      </c>
      <c r="O260" s="11">
        <v>124000</v>
      </c>
      <c r="P260" s="11">
        <v>136000</v>
      </c>
      <c r="Q260" t="s">
        <v>74</v>
      </c>
      <c r="R260" t="b">
        <f>COUNTIF($A$6     : CleanedSalesData[[#This Row],[Order ID]], CleanedSalesData[[#This Row],[Order ID]])&gt;1</f>
        <v>0</v>
      </c>
      <c r="S260" t="b">
        <f>IF(ISBLANK(CleanedSalesData[[#This Row],[Quantity]]), TRUE, FALSE)</f>
        <v>0</v>
      </c>
      <c r="T260" t="b">
        <f>IF(ISBLANK(CleanedSalesData[[#This Row],[Order Date]]), TRUE, FALSE)</f>
        <v>0</v>
      </c>
      <c r="U260" t="b">
        <f>IF(ISBLANK(CleanedSalesData[[#This Row],[Revenue]]), TRUE, FALSE)</f>
        <v>0</v>
      </c>
      <c r="V260" t="b">
        <f>IF(OR(CleanedSalesData[[#This Row],[Order Status]]="Cancelled", CleanedSalesData[[#This Row],[Order Status]]="Returned"), TRUE, FALSE)</f>
        <v>0</v>
      </c>
      <c r="W260" t="str" cm="1">
        <f t="array" ref="W26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1" spans="1:23" x14ac:dyDescent="0.35">
      <c r="A261" t="s">
        <v>378</v>
      </c>
      <c r="B261" s="7">
        <v>46109</v>
      </c>
      <c r="C261" t="s">
        <v>947</v>
      </c>
      <c r="D261">
        <v>3</v>
      </c>
      <c r="E261" t="s">
        <v>65</v>
      </c>
      <c r="F261" t="s">
        <v>31</v>
      </c>
      <c r="G261" t="s">
        <v>32</v>
      </c>
      <c r="H261" t="s">
        <v>33</v>
      </c>
      <c r="I261" t="s">
        <v>66</v>
      </c>
      <c r="J261" t="s">
        <v>67</v>
      </c>
      <c r="K261" t="s">
        <v>51</v>
      </c>
      <c r="L261">
        <v>5</v>
      </c>
      <c r="M261" s="10">
        <v>0.1</v>
      </c>
      <c r="N261" s="11">
        <v>1395000</v>
      </c>
      <c r="O261" s="11">
        <v>950000</v>
      </c>
      <c r="P261" s="11">
        <v>445000</v>
      </c>
      <c r="Q261" t="s">
        <v>93</v>
      </c>
      <c r="R261" t="b">
        <f>COUNTIF($A$6     : CleanedSalesData[[#This Row],[Order ID]], CleanedSalesData[[#This Row],[Order ID]])&gt;1</f>
        <v>0</v>
      </c>
      <c r="S261" t="b">
        <f>IF(ISBLANK(CleanedSalesData[[#This Row],[Quantity]]), TRUE, FALSE)</f>
        <v>0</v>
      </c>
      <c r="T261" t="b">
        <f>IF(ISBLANK(CleanedSalesData[[#This Row],[Order Date]]), TRUE, FALSE)</f>
        <v>0</v>
      </c>
      <c r="U261" t="b">
        <f>IF(ISBLANK(CleanedSalesData[[#This Row],[Revenue]]), TRUE, FALSE)</f>
        <v>0</v>
      </c>
      <c r="V261" t="b">
        <f>IF(OR(CleanedSalesData[[#This Row],[Order Status]]="Cancelled", CleanedSalesData[[#This Row],[Order Status]]="Returned"), TRUE, FALSE)</f>
        <v>0</v>
      </c>
      <c r="W261" t="str" cm="1">
        <f t="array" ref="W26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2" spans="1:23" x14ac:dyDescent="0.35">
      <c r="A262" t="s">
        <v>379</v>
      </c>
      <c r="B262" s="7">
        <v>46154</v>
      </c>
      <c r="C262" t="s">
        <v>946</v>
      </c>
      <c r="D262">
        <v>5</v>
      </c>
      <c r="E262" t="s">
        <v>30</v>
      </c>
      <c r="F262" t="s">
        <v>40</v>
      </c>
      <c r="G262" t="s">
        <v>32</v>
      </c>
      <c r="H262" t="s">
        <v>33</v>
      </c>
      <c r="I262" t="s">
        <v>71</v>
      </c>
      <c r="J262" t="s">
        <v>72</v>
      </c>
      <c r="K262" t="s">
        <v>73</v>
      </c>
      <c r="L262">
        <v>6</v>
      </c>
      <c r="M262" s="10">
        <v>0</v>
      </c>
      <c r="N262" s="11">
        <v>750000</v>
      </c>
      <c r="O262" s="11">
        <v>420000</v>
      </c>
      <c r="P262" s="11">
        <v>330000</v>
      </c>
      <c r="Q262" t="s">
        <v>52</v>
      </c>
      <c r="R262" t="b">
        <f>COUNTIF($A$6     : CleanedSalesData[[#This Row],[Order ID]], CleanedSalesData[[#This Row],[Order ID]])&gt;1</f>
        <v>0</v>
      </c>
      <c r="S262" t="b">
        <f>IF(ISBLANK(CleanedSalesData[[#This Row],[Quantity]]), TRUE, FALSE)</f>
        <v>0</v>
      </c>
      <c r="T262" t="b">
        <f>IF(ISBLANK(CleanedSalesData[[#This Row],[Order Date]]), TRUE, FALSE)</f>
        <v>0</v>
      </c>
      <c r="U262" t="b">
        <f>IF(ISBLANK(CleanedSalesData[[#This Row],[Revenue]]), TRUE, FALSE)</f>
        <v>0</v>
      </c>
      <c r="V262" t="b">
        <f>IF(OR(CleanedSalesData[[#This Row],[Order Status]]="Cancelled", CleanedSalesData[[#This Row],[Order Status]]="Returned"), TRUE, FALSE)</f>
        <v>0</v>
      </c>
      <c r="W262" t="str" cm="1">
        <f t="array" ref="W26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3" spans="1:23" x14ac:dyDescent="0.35">
      <c r="A263" t="s">
        <v>380</v>
      </c>
      <c r="B263" s="7">
        <v>46105</v>
      </c>
      <c r="C263" t="s">
        <v>947</v>
      </c>
      <c r="D263">
        <v>3</v>
      </c>
      <c r="E263" t="s">
        <v>76</v>
      </c>
      <c r="F263" t="s">
        <v>31</v>
      </c>
      <c r="G263" t="s">
        <v>48</v>
      </c>
      <c r="H263" t="s">
        <v>33</v>
      </c>
      <c r="I263" t="s">
        <v>78</v>
      </c>
      <c r="J263" t="s">
        <v>79</v>
      </c>
      <c r="K263" t="s">
        <v>62</v>
      </c>
      <c r="L263">
        <v>4</v>
      </c>
      <c r="M263" s="10">
        <v>0</v>
      </c>
      <c r="N263" s="11">
        <v>340000</v>
      </c>
      <c r="O263" s="11">
        <v>172000</v>
      </c>
      <c r="P263" s="11">
        <v>168000</v>
      </c>
      <c r="Q263" t="s">
        <v>63</v>
      </c>
      <c r="R263" t="b">
        <f>COUNTIF($A$6     : CleanedSalesData[[#This Row],[Order ID]], CleanedSalesData[[#This Row],[Order ID]])&gt;1</f>
        <v>0</v>
      </c>
      <c r="S263" t="b">
        <f>IF(ISBLANK(CleanedSalesData[[#This Row],[Quantity]]), TRUE, FALSE)</f>
        <v>0</v>
      </c>
      <c r="T263" t="b">
        <f>IF(ISBLANK(CleanedSalesData[[#This Row],[Order Date]]), TRUE, FALSE)</f>
        <v>0</v>
      </c>
      <c r="U263" t="b">
        <f>IF(ISBLANK(CleanedSalesData[[#This Row],[Revenue]]), TRUE, FALSE)</f>
        <v>0</v>
      </c>
      <c r="V263" t="b">
        <f>IF(OR(CleanedSalesData[[#This Row],[Order Status]]="Cancelled", CleanedSalesData[[#This Row],[Order Status]]="Returned"), TRUE, FALSE)</f>
        <v>0</v>
      </c>
      <c r="W263" t="str" cm="1">
        <f t="array" ref="W26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4" spans="1:23" x14ac:dyDescent="0.35">
      <c r="A264" t="s">
        <v>382</v>
      </c>
      <c r="B264" s="7">
        <v>46100</v>
      </c>
      <c r="C264" t="s">
        <v>947</v>
      </c>
      <c r="D264">
        <v>3</v>
      </c>
      <c r="E264" t="s">
        <v>69</v>
      </c>
      <c r="F264" t="s">
        <v>31</v>
      </c>
      <c r="G264" t="s">
        <v>41</v>
      </c>
      <c r="H264" t="s">
        <v>33</v>
      </c>
      <c r="I264" t="s">
        <v>82</v>
      </c>
      <c r="J264" t="s">
        <v>83</v>
      </c>
      <c r="K264" t="s">
        <v>44</v>
      </c>
      <c r="L264">
        <v>1</v>
      </c>
      <c r="M264" s="10">
        <v>0.05</v>
      </c>
      <c r="N264" s="11">
        <v>1377500</v>
      </c>
      <c r="O264" s="11">
        <v>980000</v>
      </c>
      <c r="P264" s="11">
        <v>397500</v>
      </c>
      <c r="Q264" t="s">
        <v>52</v>
      </c>
      <c r="R264" t="b">
        <f>COUNTIF($A$6     : CleanedSalesData[[#This Row],[Order ID]], CleanedSalesData[[#This Row],[Order ID]])&gt;1</f>
        <v>0</v>
      </c>
      <c r="S264" t="b">
        <f>IF(ISBLANK(CleanedSalesData[[#This Row],[Quantity]]), TRUE, FALSE)</f>
        <v>0</v>
      </c>
      <c r="T264" t="b">
        <f>IF(ISBLANK(CleanedSalesData[[#This Row],[Order Date]]), TRUE, FALSE)</f>
        <v>0</v>
      </c>
      <c r="U264" t="b">
        <f>IF(ISBLANK(CleanedSalesData[[#This Row],[Revenue]]), TRUE, FALSE)</f>
        <v>0</v>
      </c>
      <c r="V264" t="b">
        <f>IF(OR(CleanedSalesData[[#This Row],[Order Status]]="Cancelled", CleanedSalesData[[#This Row],[Order Status]]="Returned"), TRUE, FALSE)</f>
        <v>0</v>
      </c>
      <c r="W264" t="str" cm="1">
        <f t="array" ref="W26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5" spans="1:23" x14ac:dyDescent="0.35">
      <c r="A265" t="s">
        <v>383</v>
      </c>
      <c r="B265" s="7">
        <v>46101</v>
      </c>
      <c r="C265" t="s">
        <v>947</v>
      </c>
      <c r="D265">
        <v>3</v>
      </c>
      <c r="E265" t="s">
        <v>76</v>
      </c>
      <c r="F265" t="s">
        <v>70</v>
      </c>
      <c r="G265" t="s">
        <v>41</v>
      </c>
      <c r="H265" t="s">
        <v>33</v>
      </c>
      <c r="I265" t="s">
        <v>86</v>
      </c>
      <c r="J265" t="s">
        <v>87</v>
      </c>
      <c r="K265" t="s">
        <v>36</v>
      </c>
      <c r="L265">
        <v>3</v>
      </c>
      <c r="M265" s="10">
        <v>0.08</v>
      </c>
      <c r="N265" s="11">
        <v>966000</v>
      </c>
      <c r="O265" s="11">
        <v>630000</v>
      </c>
      <c r="P265" s="11">
        <v>336000</v>
      </c>
      <c r="Q265" t="s">
        <v>63</v>
      </c>
      <c r="R265" t="b">
        <f>COUNTIF($A$6     : CleanedSalesData[[#This Row],[Order ID]], CleanedSalesData[[#This Row],[Order ID]])&gt;1</f>
        <v>0</v>
      </c>
      <c r="S265" t="b">
        <f>IF(ISBLANK(CleanedSalesData[[#This Row],[Quantity]]), TRUE, FALSE)</f>
        <v>0</v>
      </c>
      <c r="T265" t="b">
        <f>IF(ISBLANK(CleanedSalesData[[#This Row],[Order Date]]), TRUE, FALSE)</f>
        <v>0</v>
      </c>
      <c r="U265" t="b">
        <f>IF(ISBLANK(CleanedSalesData[[#This Row],[Revenue]]), TRUE, FALSE)</f>
        <v>0</v>
      </c>
      <c r="V265" t="b">
        <f>IF(OR(CleanedSalesData[[#This Row],[Order Status]]="Cancelled", CleanedSalesData[[#This Row],[Order Status]]="Returned"), TRUE, FALSE)</f>
        <v>0</v>
      </c>
      <c r="W265" t="str" cm="1">
        <f t="array" ref="W26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6" spans="1:23" x14ac:dyDescent="0.35">
      <c r="A266" t="s">
        <v>385</v>
      </c>
      <c r="B266" s="7">
        <v>46180</v>
      </c>
      <c r="C266" t="s">
        <v>945</v>
      </c>
      <c r="D266">
        <v>6</v>
      </c>
      <c r="E266" t="s">
        <v>54</v>
      </c>
      <c r="F266" t="s">
        <v>31</v>
      </c>
      <c r="G266" t="s">
        <v>48</v>
      </c>
      <c r="H266" t="s">
        <v>112</v>
      </c>
      <c r="I266" t="s">
        <v>34</v>
      </c>
      <c r="J266" t="s">
        <v>35</v>
      </c>
      <c r="K266" t="s">
        <v>36</v>
      </c>
      <c r="L266">
        <v>4</v>
      </c>
      <c r="M266" s="10">
        <v>0.03</v>
      </c>
      <c r="N266" s="11">
        <v>460750</v>
      </c>
      <c r="O266" s="11">
        <v>1140000</v>
      </c>
      <c r="P266" s="11">
        <v>-679250</v>
      </c>
      <c r="Q266" t="s">
        <v>93</v>
      </c>
      <c r="R266" t="b">
        <f>COUNTIF($A$6     : CleanedSalesData[[#This Row],[Order ID]], CleanedSalesData[[#This Row],[Order ID]])&gt;1</f>
        <v>0</v>
      </c>
      <c r="S266" t="b">
        <f>IF(ISBLANK(CleanedSalesData[[#This Row],[Quantity]]), TRUE, FALSE)</f>
        <v>0</v>
      </c>
      <c r="T266" t="b">
        <f>IF(ISBLANK(CleanedSalesData[[#This Row],[Order Date]]), TRUE, FALSE)</f>
        <v>0</v>
      </c>
      <c r="U266" t="b">
        <f>IF(ISBLANK(CleanedSalesData[[#This Row],[Revenue]]), TRUE, FALSE)</f>
        <v>0</v>
      </c>
      <c r="V266" t="b">
        <f>IF(OR(CleanedSalesData[[#This Row],[Order Status]]="Cancelled", CleanedSalesData[[#This Row],[Order Status]]="Returned"), TRUE, FALSE)</f>
        <v>1</v>
      </c>
      <c r="W266" t="str" cm="1">
        <f t="array" ref="W26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67" spans="1:23" x14ac:dyDescent="0.35">
      <c r="A267" t="s">
        <v>386</v>
      </c>
      <c r="B267" s="7">
        <v>46202</v>
      </c>
      <c r="C267" t="s">
        <v>945</v>
      </c>
      <c r="D267">
        <v>6</v>
      </c>
      <c r="E267" t="s">
        <v>69</v>
      </c>
      <c r="F267" t="s">
        <v>31</v>
      </c>
      <c r="G267" t="s">
        <v>32</v>
      </c>
      <c r="H267" t="s">
        <v>90</v>
      </c>
      <c r="I267" t="s">
        <v>42</v>
      </c>
      <c r="J267" t="s">
        <v>43</v>
      </c>
      <c r="K267" t="s">
        <v>44</v>
      </c>
      <c r="L267">
        <v>8</v>
      </c>
      <c r="M267" s="10">
        <v>0.1</v>
      </c>
      <c r="N267" s="11">
        <v>1980000</v>
      </c>
      <c r="O267" s="11">
        <v>1240000</v>
      </c>
      <c r="P267" s="11">
        <v>740000</v>
      </c>
      <c r="Q267" t="s">
        <v>52</v>
      </c>
      <c r="R267" t="b">
        <f>COUNTIF($A$6     : CleanedSalesData[[#This Row],[Order ID]], CleanedSalesData[[#This Row],[Order ID]])&gt;1</f>
        <v>0</v>
      </c>
      <c r="S267" t="b">
        <f>IF(ISBLANK(CleanedSalesData[[#This Row],[Quantity]]), TRUE, FALSE)</f>
        <v>0</v>
      </c>
      <c r="T267" t="b">
        <f>IF(ISBLANK(CleanedSalesData[[#This Row],[Order Date]]), TRUE, FALSE)</f>
        <v>0</v>
      </c>
      <c r="U267" t="b">
        <f>IF(ISBLANK(CleanedSalesData[[#This Row],[Revenue]]), TRUE, FALSE)</f>
        <v>0</v>
      </c>
      <c r="V267" t="b">
        <f>IF(OR(CleanedSalesData[[#This Row],[Order Status]]="Cancelled", CleanedSalesData[[#This Row],[Order Status]]="Returned"), TRUE, FALSE)</f>
        <v>0</v>
      </c>
      <c r="W267" t="str" cm="1">
        <f t="array" ref="W26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68" spans="1:23" x14ac:dyDescent="0.35">
      <c r="A268" t="s">
        <v>387</v>
      </c>
      <c r="B268" s="7">
        <v>46158</v>
      </c>
      <c r="C268" t="s">
        <v>946</v>
      </c>
      <c r="D268">
        <v>5</v>
      </c>
      <c r="E268" t="s">
        <v>30</v>
      </c>
      <c r="F268" t="s">
        <v>40</v>
      </c>
      <c r="G268" t="s">
        <v>32</v>
      </c>
      <c r="H268" t="s">
        <v>112</v>
      </c>
      <c r="I268" t="s">
        <v>49</v>
      </c>
      <c r="J268" t="s">
        <v>50</v>
      </c>
      <c r="K268" t="s">
        <v>51</v>
      </c>
      <c r="L268">
        <v>6</v>
      </c>
      <c r="M268" s="10">
        <v>0</v>
      </c>
      <c r="N268" s="11">
        <v>0</v>
      </c>
      <c r="O268" s="11">
        <v>870000</v>
      </c>
      <c r="P268" s="11">
        <v>-870000</v>
      </c>
      <c r="Q268" t="s">
        <v>84</v>
      </c>
      <c r="R268" t="b">
        <f>COUNTIF($A$6     : CleanedSalesData[[#This Row],[Order ID]], CleanedSalesData[[#This Row],[Order ID]])&gt;1</f>
        <v>0</v>
      </c>
      <c r="S268" t="b">
        <f>IF(ISBLANK(CleanedSalesData[[#This Row],[Quantity]]), TRUE, FALSE)</f>
        <v>0</v>
      </c>
      <c r="T268" t="b">
        <f>IF(ISBLANK(CleanedSalesData[[#This Row],[Order Date]]), TRUE, FALSE)</f>
        <v>0</v>
      </c>
      <c r="U268" t="b">
        <f>IF(ISBLANK(CleanedSalesData[[#This Row],[Revenue]]), TRUE, FALSE)</f>
        <v>0</v>
      </c>
      <c r="V268" t="b">
        <f>IF(OR(CleanedSalesData[[#This Row],[Order Status]]="Cancelled", CleanedSalesData[[#This Row],[Order Status]]="Returned"), TRUE, FALSE)</f>
        <v>1</v>
      </c>
      <c r="W268" t="str" cm="1">
        <f t="array" ref="W26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69" spans="1:23" x14ac:dyDescent="0.35">
      <c r="A269" t="s">
        <v>388</v>
      </c>
      <c r="B269" s="7">
        <v>46106</v>
      </c>
      <c r="C269" t="s">
        <v>947</v>
      </c>
      <c r="D269">
        <v>3</v>
      </c>
      <c r="E269" t="s">
        <v>69</v>
      </c>
      <c r="F269" t="s">
        <v>47</v>
      </c>
      <c r="G269" t="s">
        <v>48</v>
      </c>
      <c r="H269" t="s">
        <v>33</v>
      </c>
      <c r="I269" t="s">
        <v>55</v>
      </c>
      <c r="J269" t="s">
        <v>56</v>
      </c>
      <c r="K269" t="s">
        <v>36</v>
      </c>
      <c r="L269">
        <v>8</v>
      </c>
      <c r="M269" s="10">
        <v>0</v>
      </c>
      <c r="N269" s="11">
        <v>14800000</v>
      </c>
      <c r="O269" s="11">
        <v>10560000</v>
      </c>
      <c r="P269" s="11">
        <v>4240000</v>
      </c>
      <c r="Q269" t="s">
        <v>52</v>
      </c>
      <c r="R269" t="b">
        <f>COUNTIF($A$6     : CleanedSalesData[[#This Row],[Order ID]], CleanedSalesData[[#This Row],[Order ID]])&gt;1</f>
        <v>0</v>
      </c>
      <c r="S269" t="b">
        <f>IF(ISBLANK(CleanedSalesData[[#This Row],[Quantity]]), TRUE, FALSE)</f>
        <v>0</v>
      </c>
      <c r="T269" t="b">
        <f>IF(ISBLANK(CleanedSalesData[[#This Row],[Order Date]]), TRUE, FALSE)</f>
        <v>0</v>
      </c>
      <c r="U269" t="b">
        <f>IF(ISBLANK(CleanedSalesData[[#This Row],[Revenue]]), TRUE, FALSE)</f>
        <v>0</v>
      </c>
      <c r="V269" t="b">
        <f>IF(OR(CleanedSalesData[[#This Row],[Order Status]]="Cancelled", CleanedSalesData[[#This Row],[Order Status]]="Returned"), TRUE, FALSE)</f>
        <v>0</v>
      </c>
      <c r="W269" t="str" cm="1">
        <f t="array" ref="W26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70" spans="1:23" x14ac:dyDescent="0.35">
      <c r="A270" t="s">
        <v>389</v>
      </c>
      <c r="B270" s="7">
        <v>46037</v>
      </c>
      <c r="C270" t="s">
        <v>948</v>
      </c>
      <c r="D270">
        <v>1</v>
      </c>
      <c r="E270" t="s">
        <v>111</v>
      </c>
      <c r="F270" t="s">
        <v>59</v>
      </c>
      <c r="G270" t="s">
        <v>41</v>
      </c>
      <c r="H270" t="s">
        <v>33</v>
      </c>
      <c r="I270" t="s">
        <v>60</v>
      </c>
      <c r="J270" t="s">
        <v>61</v>
      </c>
      <c r="K270" t="s">
        <v>62</v>
      </c>
      <c r="L270">
        <v>8</v>
      </c>
      <c r="M270" s="10">
        <v>0.03</v>
      </c>
      <c r="N270" s="11">
        <v>504400</v>
      </c>
      <c r="O270" s="11">
        <v>248000</v>
      </c>
      <c r="P270" s="11">
        <v>256400</v>
      </c>
      <c r="Q270" t="s">
        <v>57</v>
      </c>
      <c r="R270" t="b">
        <f>COUNTIF($A$6     : CleanedSalesData[[#This Row],[Order ID]], CleanedSalesData[[#This Row],[Order ID]])&gt;1</f>
        <v>0</v>
      </c>
      <c r="S270" t="b">
        <f>IF(ISBLANK(CleanedSalesData[[#This Row],[Quantity]]), TRUE, FALSE)</f>
        <v>0</v>
      </c>
      <c r="T270" t="b">
        <f>IF(ISBLANK(CleanedSalesData[[#This Row],[Order Date]]), TRUE, FALSE)</f>
        <v>0</v>
      </c>
      <c r="U270" t="b">
        <f>IF(ISBLANK(CleanedSalesData[[#This Row],[Revenue]]), TRUE, FALSE)</f>
        <v>0</v>
      </c>
      <c r="V270" t="b">
        <f>IF(OR(CleanedSalesData[[#This Row],[Order Status]]="Cancelled", CleanedSalesData[[#This Row],[Order Status]]="Returned"), TRUE, FALSE)</f>
        <v>0</v>
      </c>
      <c r="W270" t="str" cm="1">
        <f t="array" ref="W27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71" spans="1:23" x14ac:dyDescent="0.35">
      <c r="A271" t="s">
        <v>390</v>
      </c>
      <c r="B271" s="7">
        <v>46028</v>
      </c>
      <c r="C271" t="s">
        <v>948</v>
      </c>
      <c r="D271">
        <v>1</v>
      </c>
      <c r="E271" t="s">
        <v>95</v>
      </c>
      <c r="F271" t="s">
        <v>31</v>
      </c>
      <c r="G271" t="s">
        <v>41</v>
      </c>
      <c r="H271" t="s">
        <v>90</v>
      </c>
      <c r="I271" t="s">
        <v>66</v>
      </c>
      <c r="J271" t="s">
        <v>67</v>
      </c>
      <c r="K271" t="s">
        <v>51</v>
      </c>
      <c r="L271">
        <v>7</v>
      </c>
      <c r="M271" s="10">
        <v>0.05</v>
      </c>
      <c r="N271" s="11">
        <v>2061500</v>
      </c>
      <c r="O271" s="11">
        <v>1330000</v>
      </c>
      <c r="P271" s="11">
        <v>731500</v>
      </c>
      <c r="Q271" t="s">
        <v>93</v>
      </c>
      <c r="R271" t="b">
        <f>COUNTIF($A$6     : CleanedSalesData[[#This Row],[Order ID]], CleanedSalesData[[#This Row],[Order ID]])&gt;1</f>
        <v>0</v>
      </c>
      <c r="S271" t="b">
        <f>IF(ISBLANK(CleanedSalesData[[#This Row],[Quantity]]), TRUE, FALSE)</f>
        <v>0</v>
      </c>
      <c r="T271" t="b">
        <f>IF(ISBLANK(CleanedSalesData[[#This Row],[Order Date]]), TRUE, FALSE)</f>
        <v>0</v>
      </c>
      <c r="U271" t="b">
        <f>IF(ISBLANK(CleanedSalesData[[#This Row],[Revenue]]), TRUE, FALSE)</f>
        <v>0</v>
      </c>
      <c r="V271" t="b">
        <f>IF(OR(CleanedSalesData[[#This Row],[Order Status]]="Cancelled", CleanedSalesData[[#This Row],[Order Status]]="Returned"), TRUE, FALSE)</f>
        <v>0</v>
      </c>
      <c r="W271" t="str" cm="1">
        <f t="array" ref="W27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72" spans="1:23" x14ac:dyDescent="0.35">
      <c r="A272" t="s">
        <v>391</v>
      </c>
      <c r="B272" s="7">
        <v>46111</v>
      </c>
      <c r="C272" t="s">
        <v>947</v>
      </c>
      <c r="D272">
        <v>3</v>
      </c>
      <c r="E272" t="s">
        <v>76</v>
      </c>
      <c r="F272" t="s">
        <v>59</v>
      </c>
      <c r="G272" t="s">
        <v>41</v>
      </c>
      <c r="H272" t="s">
        <v>77</v>
      </c>
      <c r="I272" t="s">
        <v>71</v>
      </c>
      <c r="J272" t="s">
        <v>72</v>
      </c>
      <c r="K272" t="s">
        <v>73</v>
      </c>
      <c r="M272" s="10">
        <v>0.1</v>
      </c>
      <c r="N272" s="11">
        <v>0</v>
      </c>
      <c r="O272" s="11">
        <v>140000</v>
      </c>
      <c r="P272" s="11">
        <v>-140000</v>
      </c>
      <c r="Q272" t="s">
        <v>93</v>
      </c>
      <c r="R272" t="b">
        <f>COUNTIF($A$6     : CleanedSalesData[[#This Row],[Order ID]], CleanedSalesData[[#This Row],[Order ID]])&gt;1</f>
        <v>0</v>
      </c>
      <c r="S272" t="b">
        <f>IF(ISBLANK(CleanedSalesData[[#This Row],[Quantity]]), TRUE, FALSE)</f>
        <v>1</v>
      </c>
      <c r="T272" t="b">
        <f>IF(ISBLANK(CleanedSalesData[[#This Row],[Order Date]]), TRUE, FALSE)</f>
        <v>0</v>
      </c>
      <c r="U272" t="b">
        <f>IF(ISBLANK(CleanedSalesData[[#This Row],[Revenue]]), TRUE, FALSE)</f>
        <v>0</v>
      </c>
      <c r="V272" t="b">
        <f>IF(OR(CleanedSalesData[[#This Row],[Order Status]]="Cancelled", CleanedSalesData[[#This Row],[Order Status]]="Returned"), TRUE, FALSE)</f>
        <v>1</v>
      </c>
      <c r="W272" t="str" cm="1">
        <f t="array" ref="W27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Quantity</v>
      </c>
    </row>
    <row r="273" spans="1:23" x14ac:dyDescent="0.35">
      <c r="A273" t="s">
        <v>392</v>
      </c>
      <c r="B273" s="7">
        <v>46069</v>
      </c>
      <c r="C273" t="s">
        <v>944</v>
      </c>
      <c r="D273">
        <v>2</v>
      </c>
      <c r="E273" t="s">
        <v>65</v>
      </c>
      <c r="F273" t="s">
        <v>59</v>
      </c>
      <c r="G273" t="s">
        <v>81</v>
      </c>
      <c r="H273" t="s">
        <v>77</v>
      </c>
      <c r="I273" t="s">
        <v>78</v>
      </c>
      <c r="J273" t="s">
        <v>79</v>
      </c>
      <c r="K273" t="s">
        <v>62</v>
      </c>
      <c r="L273">
        <v>3</v>
      </c>
      <c r="M273" s="10">
        <v>0.15</v>
      </c>
      <c r="O273" s="11">
        <v>129000</v>
      </c>
      <c r="P273" s="11">
        <v>-20625</v>
      </c>
      <c r="Q273" t="s">
        <v>52</v>
      </c>
      <c r="R273" t="b">
        <f>COUNTIF($A$6     : CleanedSalesData[[#This Row],[Order ID]], CleanedSalesData[[#This Row],[Order ID]])&gt;1</f>
        <v>0</v>
      </c>
      <c r="S273" t="b">
        <f>IF(ISBLANK(CleanedSalesData[[#This Row],[Quantity]]), TRUE, FALSE)</f>
        <v>0</v>
      </c>
      <c r="T273" t="b">
        <f>IF(ISBLANK(CleanedSalesData[[#This Row],[Order Date]]), TRUE, FALSE)</f>
        <v>0</v>
      </c>
      <c r="U273" t="b">
        <f>IF(ISBLANK(CleanedSalesData[[#This Row],[Revenue]]), TRUE, FALSE)</f>
        <v>1</v>
      </c>
      <c r="V273" t="b">
        <f>IF(OR(CleanedSalesData[[#This Row],[Order Status]]="Cancelled", CleanedSalesData[[#This Row],[Order Status]]="Returned"), TRUE, FALSE)</f>
        <v>1</v>
      </c>
      <c r="W273" t="str" cm="1">
        <f t="array" ref="W27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274" spans="1:23" x14ac:dyDescent="0.35">
      <c r="A274" t="s">
        <v>393</v>
      </c>
      <c r="B274" s="7">
        <v>46119</v>
      </c>
      <c r="C274" t="s">
        <v>949</v>
      </c>
      <c r="D274">
        <v>4</v>
      </c>
      <c r="E274" t="s">
        <v>54</v>
      </c>
      <c r="F274" t="s">
        <v>47</v>
      </c>
      <c r="G274" t="s">
        <v>32</v>
      </c>
      <c r="H274" t="s">
        <v>33</v>
      </c>
      <c r="I274" t="s">
        <v>82</v>
      </c>
      <c r="J274" t="s">
        <v>83</v>
      </c>
      <c r="K274" t="s">
        <v>44</v>
      </c>
      <c r="L274">
        <v>7</v>
      </c>
      <c r="M274" s="10">
        <v>0</v>
      </c>
      <c r="N274" s="11">
        <v>10150000</v>
      </c>
      <c r="O274" s="11">
        <v>6860000</v>
      </c>
      <c r="P274" s="11">
        <v>3290000</v>
      </c>
      <c r="Q274" t="s">
        <v>37</v>
      </c>
      <c r="R274" t="b">
        <f>COUNTIF($A$6     : CleanedSalesData[[#This Row],[Order ID]], CleanedSalesData[[#This Row],[Order ID]])&gt;1</f>
        <v>0</v>
      </c>
      <c r="S274" t="b">
        <f>IF(ISBLANK(CleanedSalesData[[#This Row],[Quantity]]), TRUE, FALSE)</f>
        <v>0</v>
      </c>
      <c r="T274" t="b">
        <f>IF(ISBLANK(CleanedSalesData[[#This Row],[Order Date]]), TRUE, FALSE)</f>
        <v>0</v>
      </c>
      <c r="U274" t="b">
        <f>IF(ISBLANK(CleanedSalesData[[#This Row],[Revenue]]), TRUE, FALSE)</f>
        <v>0</v>
      </c>
      <c r="V274" t="b">
        <f>IF(OR(CleanedSalesData[[#This Row],[Order Status]]="Cancelled", CleanedSalesData[[#This Row],[Order Status]]="Returned"), TRUE, FALSE)</f>
        <v>0</v>
      </c>
      <c r="W274" t="str" cm="1">
        <f t="array" ref="W27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75" spans="1:23" x14ac:dyDescent="0.35">
      <c r="A275" t="s">
        <v>394</v>
      </c>
      <c r="B275" s="7">
        <v>46068</v>
      </c>
      <c r="C275" t="s">
        <v>944</v>
      </c>
      <c r="D275">
        <v>2</v>
      </c>
      <c r="E275" t="s">
        <v>95</v>
      </c>
      <c r="F275" t="s">
        <v>31</v>
      </c>
      <c r="G275" t="s">
        <v>41</v>
      </c>
      <c r="H275" t="s">
        <v>33</v>
      </c>
      <c r="I275" t="s">
        <v>86</v>
      </c>
      <c r="J275" t="s">
        <v>87</v>
      </c>
      <c r="K275" t="s">
        <v>36</v>
      </c>
      <c r="L275">
        <v>7</v>
      </c>
      <c r="M275" s="10">
        <v>0.1</v>
      </c>
      <c r="N275" s="11">
        <v>2205000</v>
      </c>
      <c r="O275" s="11">
        <v>1470000</v>
      </c>
      <c r="P275" s="11">
        <v>735000</v>
      </c>
      <c r="Q275" t="s">
        <v>57</v>
      </c>
      <c r="R275" t="b">
        <f>COUNTIF($A$6     : CleanedSalesData[[#This Row],[Order ID]], CleanedSalesData[[#This Row],[Order ID]])&gt;1</f>
        <v>0</v>
      </c>
      <c r="S275" t="b">
        <f>IF(ISBLANK(CleanedSalesData[[#This Row],[Quantity]]), TRUE, FALSE)</f>
        <v>0</v>
      </c>
      <c r="T275" t="b">
        <f>IF(ISBLANK(CleanedSalesData[[#This Row],[Order Date]]), TRUE, FALSE)</f>
        <v>0</v>
      </c>
      <c r="U275" t="b">
        <f>IF(ISBLANK(CleanedSalesData[[#This Row],[Revenue]]), TRUE, FALSE)</f>
        <v>0</v>
      </c>
      <c r="V275" t="b">
        <f>IF(OR(CleanedSalesData[[#This Row],[Order Status]]="Cancelled", CleanedSalesData[[#This Row],[Order Status]]="Returned"), TRUE, FALSE)</f>
        <v>0</v>
      </c>
      <c r="W275" t="str" cm="1">
        <f t="array" ref="W27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76" spans="1:23" x14ac:dyDescent="0.35">
      <c r="A276" t="s">
        <v>395</v>
      </c>
      <c r="B276" s="7">
        <v>46141</v>
      </c>
      <c r="C276" t="s">
        <v>949</v>
      </c>
      <c r="D276">
        <v>4</v>
      </c>
      <c r="E276" t="s">
        <v>111</v>
      </c>
      <c r="F276" t="s">
        <v>31</v>
      </c>
      <c r="G276" t="s">
        <v>32</v>
      </c>
      <c r="H276" t="s">
        <v>33</v>
      </c>
      <c r="I276" t="s">
        <v>34</v>
      </c>
      <c r="J276" t="s">
        <v>35</v>
      </c>
      <c r="K276" t="s">
        <v>36</v>
      </c>
      <c r="L276">
        <v>7</v>
      </c>
      <c r="M276" s="10">
        <v>0.1</v>
      </c>
      <c r="N276" s="11">
        <v>2992500</v>
      </c>
      <c r="O276" s="11">
        <v>1995000</v>
      </c>
      <c r="P276" s="11">
        <v>997500</v>
      </c>
      <c r="Q276" t="s">
        <v>63</v>
      </c>
      <c r="R276" t="b">
        <f>COUNTIF($A$6     : CleanedSalesData[[#This Row],[Order ID]], CleanedSalesData[[#This Row],[Order ID]])&gt;1</f>
        <v>0</v>
      </c>
      <c r="S276" t="b">
        <f>IF(ISBLANK(CleanedSalesData[[#This Row],[Quantity]]), TRUE, FALSE)</f>
        <v>0</v>
      </c>
      <c r="T276" t="b">
        <f>IF(ISBLANK(CleanedSalesData[[#This Row],[Order Date]]), TRUE, FALSE)</f>
        <v>0</v>
      </c>
      <c r="U276" t="b">
        <f>IF(ISBLANK(CleanedSalesData[[#This Row],[Revenue]]), TRUE, FALSE)</f>
        <v>0</v>
      </c>
      <c r="V276" t="b">
        <f>IF(OR(CleanedSalesData[[#This Row],[Order Status]]="Cancelled", CleanedSalesData[[#This Row],[Order Status]]="Returned"), TRUE, FALSE)</f>
        <v>0</v>
      </c>
      <c r="W276" t="str" cm="1">
        <f t="array" ref="W27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77" spans="1:23" x14ac:dyDescent="0.35">
      <c r="A277" t="s">
        <v>396</v>
      </c>
      <c r="B277" s="7">
        <v>46062</v>
      </c>
      <c r="C277" t="s">
        <v>944</v>
      </c>
      <c r="D277">
        <v>2</v>
      </c>
      <c r="E277" t="s">
        <v>65</v>
      </c>
      <c r="F277" t="s">
        <v>40</v>
      </c>
      <c r="G277" t="s">
        <v>41</v>
      </c>
      <c r="H277" t="s">
        <v>112</v>
      </c>
      <c r="I277" t="s">
        <v>42</v>
      </c>
      <c r="J277" t="s">
        <v>43</v>
      </c>
      <c r="K277" t="s">
        <v>44</v>
      </c>
      <c r="L277">
        <v>5</v>
      </c>
      <c r="M277" s="10">
        <v>0.03</v>
      </c>
      <c r="N277" s="11">
        <v>666875</v>
      </c>
      <c r="O277" s="11">
        <v>775000</v>
      </c>
      <c r="P277" s="11">
        <v>-108125</v>
      </c>
      <c r="Q277" t="s">
        <v>74</v>
      </c>
      <c r="R277" t="b">
        <f>COUNTIF($A$6     : CleanedSalesData[[#This Row],[Order ID]], CleanedSalesData[[#This Row],[Order ID]])&gt;1</f>
        <v>0</v>
      </c>
      <c r="S277" t="b">
        <f>IF(ISBLANK(CleanedSalesData[[#This Row],[Quantity]]), TRUE, FALSE)</f>
        <v>0</v>
      </c>
      <c r="T277" t="b">
        <f>IF(ISBLANK(CleanedSalesData[[#This Row],[Order Date]]), TRUE, FALSE)</f>
        <v>0</v>
      </c>
      <c r="U277" t="b">
        <f>IF(ISBLANK(CleanedSalesData[[#This Row],[Revenue]]), TRUE, FALSE)</f>
        <v>0</v>
      </c>
      <c r="V277" t="b">
        <f>IF(OR(CleanedSalesData[[#This Row],[Order Status]]="Cancelled", CleanedSalesData[[#This Row],[Order Status]]="Returned"), TRUE, FALSE)</f>
        <v>1</v>
      </c>
      <c r="W277" t="str" cm="1">
        <f t="array" ref="W27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78" spans="1:23" x14ac:dyDescent="0.35">
      <c r="A278" t="s">
        <v>397</v>
      </c>
      <c r="B278" s="7">
        <v>46084</v>
      </c>
      <c r="C278" t="s">
        <v>947</v>
      </c>
      <c r="D278">
        <v>3</v>
      </c>
      <c r="E278" t="s">
        <v>95</v>
      </c>
      <c r="F278" t="s">
        <v>40</v>
      </c>
      <c r="G278" t="s">
        <v>48</v>
      </c>
      <c r="H278" t="s">
        <v>33</v>
      </c>
      <c r="I278" t="s">
        <v>49</v>
      </c>
      <c r="J278" t="s">
        <v>50</v>
      </c>
      <c r="K278" t="s">
        <v>51</v>
      </c>
      <c r="L278">
        <v>4</v>
      </c>
      <c r="M278" s="10">
        <v>0</v>
      </c>
      <c r="N278" s="11">
        <v>980000</v>
      </c>
      <c r="O278" s="11">
        <v>580000</v>
      </c>
      <c r="P278" s="11">
        <v>400000</v>
      </c>
      <c r="Q278" t="s">
        <v>45</v>
      </c>
      <c r="R278" t="b">
        <f>COUNTIF($A$6     : CleanedSalesData[[#This Row],[Order ID]], CleanedSalesData[[#This Row],[Order ID]])&gt;1</f>
        <v>0</v>
      </c>
      <c r="S278" t="b">
        <f>IF(ISBLANK(CleanedSalesData[[#This Row],[Quantity]]), TRUE, FALSE)</f>
        <v>0</v>
      </c>
      <c r="T278" t="b">
        <f>IF(ISBLANK(CleanedSalesData[[#This Row],[Order Date]]), TRUE, FALSE)</f>
        <v>0</v>
      </c>
      <c r="U278" t="b">
        <f>IF(ISBLANK(CleanedSalesData[[#This Row],[Revenue]]), TRUE, FALSE)</f>
        <v>0</v>
      </c>
      <c r="V278" t="b">
        <f>IF(OR(CleanedSalesData[[#This Row],[Order Status]]="Cancelled", CleanedSalesData[[#This Row],[Order Status]]="Returned"), TRUE, FALSE)</f>
        <v>0</v>
      </c>
      <c r="W278" t="str" cm="1">
        <f t="array" ref="W27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79" spans="1:23" x14ac:dyDescent="0.35">
      <c r="A279" t="s">
        <v>398</v>
      </c>
      <c r="B279" s="7">
        <v>46034</v>
      </c>
      <c r="C279" t="s">
        <v>948</v>
      </c>
      <c r="D279">
        <v>1</v>
      </c>
      <c r="E279" t="s">
        <v>30</v>
      </c>
      <c r="F279" t="s">
        <v>31</v>
      </c>
      <c r="G279" t="s">
        <v>41</v>
      </c>
      <c r="H279" t="s">
        <v>33</v>
      </c>
      <c r="I279" t="s">
        <v>55</v>
      </c>
      <c r="J279" t="s">
        <v>56</v>
      </c>
      <c r="K279" t="s">
        <v>36</v>
      </c>
      <c r="L279">
        <v>7</v>
      </c>
      <c r="M279" s="10">
        <v>0.08</v>
      </c>
      <c r="N279" s="11">
        <v>11914000</v>
      </c>
      <c r="O279" s="11">
        <v>9240000</v>
      </c>
      <c r="P279" s="11">
        <v>2674000</v>
      </c>
      <c r="Q279" t="s">
        <v>57</v>
      </c>
      <c r="R279" t="b">
        <f>COUNTIF($A$6     : CleanedSalesData[[#This Row],[Order ID]], CleanedSalesData[[#This Row],[Order ID]])&gt;1</f>
        <v>0</v>
      </c>
      <c r="S279" t="b">
        <f>IF(ISBLANK(CleanedSalesData[[#This Row],[Quantity]]), TRUE, FALSE)</f>
        <v>0</v>
      </c>
      <c r="T279" t="b">
        <f>IF(ISBLANK(CleanedSalesData[[#This Row],[Order Date]]), TRUE, FALSE)</f>
        <v>0</v>
      </c>
      <c r="U279" t="b">
        <f>IF(ISBLANK(CleanedSalesData[[#This Row],[Revenue]]), TRUE, FALSE)</f>
        <v>0</v>
      </c>
      <c r="V279" t="b">
        <f>IF(OR(CleanedSalesData[[#This Row],[Order Status]]="Cancelled", CleanedSalesData[[#This Row],[Order Status]]="Returned"), TRUE, FALSE)</f>
        <v>0</v>
      </c>
      <c r="W279" t="str" cm="1">
        <f t="array" ref="W27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0" spans="1:23" x14ac:dyDescent="0.35">
      <c r="A280" t="s">
        <v>399</v>
      </c>
      <c r="B280" s="7">
        <v>46082</v>
      </c>
      <c r="C280" t="s">
        <v>947</v>
      </c>
      <c r="D280">
        <v>3</v>
      </c>
      <c r="E280" t="s">
        <v>76</v>
      </c>
      <c r="F280" t="s">
        <v>70</v>
      </c>
      <c r="G280" t="s">
        <v>32</v>
      </c>
      <c r="H280" t="s">
        <v>33</v>
      </c>
      <c r="I280" t="s">
        <v>60</v>
      </c>
      <c r="J280" t="s">
        <v>61</v>
      </c>
      <c r="K280" t="s">
        <v>62</v>
      </c>
      <c r="L280">
        <v>6</v>
      </c>
      <c r="M280" s="10">
        <v>0.1</v>
      </c>
      <c r="N280" s="11">
        <v>351000</v>
      </c>
      <c r="O280" s="11">
        <v>186000</v>
      </c>
      <c r="P280" s="11">
        <v>165000</v>
      </c>
      <c r="Q280" t="s">
        <v>84</v>
      </c>
      <c r="R280" t="b">
        <f>COUNTIF($A$6     : CleanedSalesData[[#This Row],[Order ID]], CleanedSalesData[[#This Row],[Order ID]])&gt;1</f>
        <v>0</v>
      </c>
      <c r="S280" t="b">
        <f>IF(ISBLANK(CleanedSalesData[[#This Row],[Quantity]]), TRUE, FALSE)</f>
        <v>0</v>
      </c>
      <c r="T280" t="b">
        <f>IF(ISBLANK(CleanedSalesData[[#This Row],[Order Date]]), TRUE, FALSE)</f>
        <v>0</v>
      </c>
      <c r="U280" t="b">
        <f>IF(ISBLANK(CleanedSalesData[[#This Row],[Revenue]]), TRUE, FALSE)</f>
        <v>0</v>
      </c>
      <c r="V280" t="b">
        <f>IF(OR(CleanedSalesData[[#This Row],[Order Status]]="Cancelled", CleanedSalesData[[#This Row],[Order Status]]="Returned"), TRUE, FALSE)</f>
        <v>0</v>
      </c>
      <c r="W280" t="str" cm="1">
        <f t="array" ref="W28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1" spans="1:23" x14ac:dyDescent="0.35">
      <c r="A281" t="s">
        <v>400</v>
      </c>
      <c r="B281" s="7">
        <v>46192</v>
      </c>
      <c r="C281" t="s">
        <v>945</v>
      </c>
      <c r="D281">
        <v>6</v>
      </c>
      <c r="E281" t="s">
        <v>65</v>
      </c>
      <c r="F281" t="s">
        <v>40</v>
      </c>
      <c r="G281" t="s">
        <v>32</v>
      </c>
      <c r="H281" t="s">
        <v>33</v>
      </c>
      <c r="I281" t="s">
        <v>66</v>
      </c>
      <c r="J281" t="s">
        <v>67</v>
      </c>
      <c r="K281" t="s">
        <v>51</v>
      </c>
      <c r="L281">
        <v>4</v>
      </c>
      <c r="M281" s="10">
        <v>0.08</v>
      </c>
      <c r="N281" s="11">
        <v>1140800</v>
      </c>
      <c r="O281" s="11">
        <v>760000</v>
      </c>
      <c r="P281" s="11">
        <v>380800</v>
      </c>
      <c r="Q281" t="s">
        <v>52</v>
      </c>
      <c r="R281" t="b">
        <f>COUNTIF($A$6     : CleanedSalesData[[#This Row],[Order ID]], CleanedSalesData[[#This Row],[Order ID]])&gt;1</f>
        <v>0</v>
      </c>
      <c r="S281" t="b">
        <f>IF(ISBLANK(CleanedSalesData[[#This Row],[Quantity]]), TRUE, FALSE)</f>
        <v>0</v>
      </c>
      <c r="T281" t="b">
        <f>IF(ISBLANK(CleanedSalesData[[#This Row],[Order Date]]), TRUE, FALSE)</f>
        <v>0</v>
      </c>
      <c r="U281" t="b">
        <f>IF(ISBLANK(CleanedSalesData[[#This Row],[Revenue]]), TRUE, FALSE)</f>
        <v>0</v>
      </c>
      <c r="V281" t="b">
        <f>IF(OR(CleanedSalesData[[#This Row],[Order Status]]="Cancelled", CleanedSalesData[[#This Row],[Order Status]]="Returned"), TRUE, FALSE)</f>
        <v>0</v>
      </c>
      <c r="W281" t="str" cm="1">
        <f t="array" ref="W28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2" spans="1:23" x14ac:dyDescent="0.35">
      <c r="A282" t="s">
        <v>401</v>
      </c>
      <c r="B282" s="7">
        <v>46035</v>
      </c>
      <c r="C282" t="s">
        <v>948</v>
      </c>
      <c r="D282">
        <v>1</v>
      </c>
      <c r="E282" t="s">
        <v>65</v>
      </c>
      <c r="F282" t="s">
        <v>47</v>
      </c>
      <c r="G282" t="s">
        <v>81</v>
      </c>
      <c r="H282" t="s">
        <v>33</v>
      </c>
      <c r="I282" t="s">
        <v>71</v>
      </c>
      <c r="J282" t="s">
        <v>72</v>
      </c>
      <c r="K282" t="s">
        <v>73</v>
      </c>
      <c r="L282">
        <v>6</v>
      </c>
      <c r="M282" s="10">
        <v>0.15</v>
      </c>
      <c r="N282" s="11">
        <v>637500</v>
      </c>
      <c r="O282" s="11">
        <v>420000</v>
      </c>
      <c r="P282" s="11">
        <v>217500</v>
      </c>
      <c r="Q282" t="s">
        <v>93</v>
      </c>
      <c r="R282" t="b">
        <f>COUNTIF($A$6     : CleanedSalesData[[#This Row],[Order ID]], CleanedSalesData[[#This Row],[Order ID]])&gt;1</f>
        <v>0</v>
      </c>
      <c r="S282" t="b">
        <f>IF(ISBLANK(CleanedSalesData[[#This Row],[Quantity]]), TRUE, FALSE)</f>
        <v>0</v>
      </c>
      <c r="T282" t="b">
        <f>IF(ISBLANK(CleanedSalesData[[#This Row],[Order Date]]), TRUE, FALSE)</f>
        <v>0</v>
      </c>
      <c r="U282" t="b">
        <f>IF(ISBLANK(CleanedSalesData[[#This Row],[Revenue]]), TRUE, FALSE)</f>
        <v>0</v>
      </c>
      <c r="V282" t="b">
        <f>IF(OR(CleanedSalesData[[#This Row],[Order Status]]="Cancelled", CleanedSalesData[[#This Row],[Order Status]]="Returned"), TRUE, FALSE)</f>
        <v>0</v>
      </c>
      <c r="W282" t="str" cm="1">
        <f t="array" ref="W28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3" spans="1:23" x14ac:dyDescent="0.35">
      <c r="A283" t="s">
        <v>402</v>
      </c>
      <c r="B283" s="7">
        <v>46061</v>
      </c>
      <c r="C283" t="s">
        <v>944</v>
      </c>
      <c r="D283">
        <v>2</v>
      </c>
      <c r="E283" t="s">
        <v>39</v>
      </c>
      <c r="F283" t="s">
        <v>47</v>
      </c>
      <c r="G283" t="s">
        <v>48</v>
      </c>
      <c r="H283" t="s">
        <v>33</v>
      </c>
      <c r="I283" t="s">
        <v>78</v>
      </c>
      <c r="J283" t="s">
        <v>79</v>
      </c>
      <c r="K283" t="s">
        <v>62</v>
      </c>
      <c r="L283">
        <v>5</v>
      </c>
      <c r="M283" s="10">
        <v>0.08</v>
      </c>
      <c r="N283" s="11">
        <v>391000</v>
      </c>
      <c r="O283" s="11">
        <v>215000</v>
      </c>
      <c r="P283" s="11">
        <v>176000</v>
      </c>
      <c r="Q283" t="s">
        <v>45</v>
      </c>
      <c r="R283" t="b">
        <f>COUNTIF($A$6     : CleanedSalesData[[#This Row],[Order ID]], CleanedSalesData[[#This Row],[Order ID]])&gt;1</f>
        <v>0</v>
      </c>
      <c r="S283" t="b">
        <f>IF(ISBLANK(CleanedSalesData[[#This Row],[Quantity]]), TRUE, FALSE)</f>
        <v>0</v>
      </c>
      <c r="T283" t="b">
        <f>IF(ISBLANK(CleanedSalesData[[#This Row],[Order Date]]), TRUE, FALSE)</f>
        <v>0</v>
      </c>
      <c r="U283" t="b">
        <f>IF(ISBLANK(CleanedSalesData[[#This Row],[Revenue]]), TRUE, FALSE)</f>
        <v>0</v>
      </c>
      <c r="V283" t="b">
        <f>IF(OR(CleanedSalesData[[#This Row],[Order Status]]="Cancelled", CleanedSalesData[[#This Row],[Order Status]]="Returned"), TRUE, FALSE)</f>
        <v>0</v>
      </c>
      <c r="W283" t="str" cm="1">
        <f t="array" ref="W28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4" spans="1:23" x14ac:dyDescent="0.35">
      <c r="A284" t="s">
        <v>403</v>
      </c>
      <c r="B284" s="7">
        <v>46099</v>
      </c>
      <c r="C284" t="s">
        <v>947</v>
      </c>
      <c r="D284">
        <v>3</v>
      </c>
      <c r="E284" t="s">
        <v>30</v>
      </c>
      <c r="F284" t="s">
        <v>59</v>
      </c>
      <c r="G284" t="s">
        <v>48</v>
      </c>
      <c r="H284" t="s">
        <v>112</v>
      </c>
      <c r="I284" t="s">
        <v>82</v>
      </c>
      <c r="J284" t="s">
        <v>83</v>
      </c>
      <c r="K284" t="s">
        <v>44</v>
      </c>
      <c r="L284">
        <v>3</v>
      </c>
      <c r="M284" s="10">
        <v>0.08</v>
      </c>
      <c r="N284" s="11">
        <v>2001000</v>
      </c>
      <c r="O284" s="11">
        <v>2940000</v>
      </c>
      <c r="P284" s="11">
        <v>-939000</v>
      </c>
      <c r="Q284" t="s">
        <v>93</v>
      </c>
      <c r="R284" t="b">
        <f>COUNTIF($A$6     : CleanedSalesData[[#This Row],[Order ID]], CleanedSalesData[[#This Row],[Order ID]])&gt;1</f>
        <v>0</v>
      </c>
      <c r="S284" t="b">
        <f>IF(ISBLANK(CleanedSalesData[[#This Row],[Quantity]]), TRUE, FALSE)</f>
        <v>0</v>
      </c>
      <c r="T284" t="b">
        <f>IF(ISBLANK(CleanedSalesData[[#This Row],[Order Date]]), TRUE, FALSE)</f>
        <v>0</v>
      </c>
      <c r="U284" t="b">
        <f>IF(ISBLANK(CleanedSalesData[[#This Row],[Revenue]]), TRUE, FALSE)</f>
        <v>0</v>
      </c>
      <c r="V284" t="b">
        <f>IF(OR(CleanedSalesData[[#This Row],[Order Status]]="Cancelled", CleanedSalesData[[#This Row],[Order Status]]="Returned"), TRUE, FALSE)</f>
        <v>1</v>
      </c>
      <c r="W284" t="str" cm="1">
        <f t="array" ref="W28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85" spans="1:23" x14ac:dyDescent="0.35">
      <c r="A285" t="s">
        <v>404</v>
      </c>
      <c r="B285" s="7">
        <v>46085</v>
      </c>
      <c r="C285" t="s">
        <v>947</v>
      </c>
      <c r="D285">
        <v>3</v>
      </c>
      <c r="E285" t="s">
        <v>54</v>
      </c>
      <c r="F285" t="s">
        <v>40</v>
      </c>
      <c r="G285" t="s">
        <v>48</v>
      </c>
      <c r="H285" t="s">
        <v>33</v>
      </c>
      <c r="I285" t="s">
        <v>86</v>
      </c>
      <c r="J285" t="s">
        <v>87</v>
      </c>
      <c r="K285" t="s">
        <v>36</v>
      </c>
      <c r="L285">
        <v>5</v>
      </c>
      <c r="M285" s="10">
        <v>0.03</v>
      </c>
      <c r="N285" s="11">
        <v>1697500</v>
      </c>
      <c r="O285" s="11">
        <v>1050000</v>
      </c>
      <c r="P285" s="11">
        <v>647500</v>
      </c>
      <c r="Q285" t="s">
        <v>37</v>
      </c>
      <c r="R285" t="b">
        <f>COUNTIF($A$6     : CleanedSalesData[[#This Row],[Order ID]], CleanedSalesData[[#This Row],[Order ID]])&gt;1</f>
        <v>0</v>
      </c>
      <c r="S285" t="b">
        <f>IF(ISBLANK(CleanedSalesData[[#This Row],[Quantity]]), TRUE, FALSE)</f>
        <v>0</v>
      </c>
      <c r="T285" t="b">
        <f>IF(ISBLANK(CleanedSalesData[[#This Row],[Order Date]]), TRUE, FALSE)</f>
        <v>0</v>
      </c>
      <c r="U285" t="b">
        <f>IF(ISBLANK(CleanedSalesData[[#This Row],[Revenue]]), TRUE, FALSE)</f>
        <v>0</v>
      </c>
      <c r="V285" t="b">
        <f>IF(OR(CleanedSalesData[[#This Row],[Order Status]]="Cancelled", CleanedSalesData[[#This Row],[Order Status]]="Returned"), TRUE, FALSE)</f>
        <v>0</v>
      </c>
      <c r="W285" t="str" cm="1">
        <f t="array" ref="W28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6" spans="1:23" x14ac:dyDescent="0.35">
      <c r="A286" t="s">
        <v>405</v>
      </c>
      <c r="B286" s="7">
        <v>46160</v>
      </c>
      <c r="C286" t="s">
        <v>946</v>
      </c>
      <c r="D286">
        <v>5</v>
      </c>
      <c r="E286" t="s">
        <v>69</v>
      </c>
      <c r="F286" t="s">
        <v>47</v>
      </c>
      <c r="G286" t="s">
        <v>41</v>
      </c>
      <c r="H286" t="s">
        <v>33</v>
      </c>
      <c r="I286" t="s">
        <v>34</v>
      </c>
      <c r="J286" t="s">
        <v>35</v>
      </c>
      <c r="K286" t="s">
        <v>36</v>
      </c>
      <c r="L286">
        <v>4</v>
      </c>
      <c r="M286" s="10">
        <v>0</v>
      </c>
      <c r="N286" s="11">
        <v>1900000</v>
      </c>
      <c r="O286" s="11">
        <v>1140000</v>
      </c>
      <c r="P286" s="11">
        <v>760000</v>
      </c>
      <c r="Q286" t="s">
        <v>45</v>
      </c>
      <c r="R286" t="b">
        <f>COUNTIF($A$6     : CleanedSalesData[[#This Row],[Order ID]], CleanedSalesData[[#This Row],[Order ID]])&gt;1</f>
        <v>0</v>
      </c>
      <c r="S286" t="b">
        <f>IF(ISBLANK(CleanedSalesData[[#This Row],[Quantity]]), TRUE, FALSE)</f>
        <v>0</v>
      </c>
      <c r="T286" t="b">
        <f>IF(ISBLANK(CleanedSalesData[[#This Row],[Order Date]]), TRUE, FALSE)</f>
        <v>0</v>
      </c>
      <c r="U286" t="b">
        <f>IF(ISBLANK(CleanedSalesData[[#This Row],[Revenue]]), TRUE, FALSE)</f>
        <v>0</v>
      </c>
      <c r="V286" t="b">
        <f>IF(OR(CleanedSalesData[[#This Row],[Order Status]]="Cancelled", CleanedSalesData[[#This Row],[Order Status]]="Returned"), TRUE, FALSE)</f>
        <v>0</v>
      </c>
      <c r="W286" t="str" cm="1">
        <f t="array" ref="W28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7" spans="1:23" x14ac:dyDescent="0.35">
      <c r="A287" t="s">
        <v>406</v>
      </c>
      <c r="B287" s="7">
        <v>46173</v>
      </c>
      <c r="C287" t="s">
        <v>946</v>
      </c>
      <c r="D287">
        <v>5</v>
      </c>
      <c r="E287" t="s">
        <v>95</v>
      </c>
      <c r="F287" t="s">
        <v>70</v>
      </c>
      <c r="G287" t="s">
        <v>81</v>
      </c>
      <c r="H287" t="s">
        <v>33</v>
      </c>
      <c r="I287" t="s">
        <v>42</v>
      </c>
      <c r="J287" t="s">
        <v>43</v>
      </c>
      <c r="K287" t="s">
        <v>44</v>
      </c>
      <c r="L287">
        <v>4</v>
      </c>
      <c r="M287" s="10">
        <v>0.08</v>
      </c>
      <c r="N287" s="11">
        <v>1012000</v>
      </c>
      <c r="O287" s="11">
        <v>620000</v>
      </c>
      <c r="P287" s="11">
        <v>392000</v>
      </c>
      <c r="Q287" t="s">
        <v>45</v>
      </c>
      <c r="R287" t="b">
        <f>COUNTIF($A$6     : CleanedSalesData[[#This Row],[Order ID]], CleanedSalesData[[#This Row],[Order ID]])&gt;1</f>
        <v>0</v>
      </c>
      <c r="S287" t="b">
        <f>IF(ISBLANK(CleanedSalesData[[#This Row],[Quantity]]), TRUE, FALSE)</f>
        <v>0</v>
      </c>
      <c r="T287" t="b">
        <f>IF(ISBLANK(CleanedSalesData[[#This Row],[Order Date]]), TRUE, FALSE)</f>
        <v>0</v>
      </c>
      <c r="U287" t="b">
        <f>IF(ISBLANK(CleanedSalesData[[#This Row],[Revenue]]), TRUE, FALSE)</f>
        <v>0</v>
      </c>
      <c r="V287" t="b">
        <f>IF(OR(CleanedSalesData[[#This Row],[Order Status]]="Cancelled", CleanedSalesData[[#This Row],[Order Status]]="Returned"), TRUE, FALSE)</f>
        <v>0</v>
      </c>
      <c r="W287" t="str" cm="1">
        <f t="array" ref="W28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88" spans="1:23" x14ac:dyDescent="0.35">
      <c r="A288" t="s">
        <v>408</v>
      </c>
      <c r="B288" s="7">
        <v>46071</v>
      </c>
      <c r="C288" t="s">
        <v>944</v>
      </c>
      <c r="D288">
        <v>2</v>
      </c>
      <c r="E288" t="s">
        <v>65</v>
      </c>
      <c r="F288" t="s">
        <v>31</v>
      </c>
      <c r="G288" t="s">
        <v>32</v>
      </c>
      <c r="H288" t="s">
        <v>77</v>
      </c>
      <c r="I288" t="s">
        <v>49</v>
      </c>
      <c r="J288" t="s">
        <v>50</v>
      </c>
      <c r="K288" t="s">
        <v>51</v>
      </c>
      <c r="L288">
        <v>2</v>
      </c>
      <c r="M288" s="10">
        <v>0.15</v>
      </c>
      <c r="N288" s="11">
        <v>104125</v>
      </c>
      <c r="O288" s="11">
        <v>290000</v>
      </c>
      <c r="P288" s="11">
        <v>-185875</v>
      </c>
      <c r="Q288" t="s">
        <v>45</v>
      </c>
      <c r="R288" t="b">
        <f>COUNTIF($A$6     : CleanedSalesData[[#This Row],[Order ID]], CleanedSalesData[[#This Row],[Order ID]])&gt;1</f>
        <v>0</v>
      </c>
      <c r="S288" t="b">
        <f>IF(ISBLANK(CleanedSalesData[[#This Row],[Quantity]]), TRUE, FALSE)</f>
        <v>0</v>
      </c>
      <c r="T288" t="b">
        <f>IF(ISBLANK(CleanedSalesData[[#This Row],[Order Date]]), TRUE, FALSE)</f>
        <v>0</v>
      </c>
      <c r="U288" t="b">
        <f>IF(ISBLANK(CleanedSalesData[[#This Row],[Revenue]]), TRUE, FALSE)</f>
        <v>0</v>
      </c>
      <c r="V288" t="b">
        <f>IF(OR(CleanedSalesData[[#This Row],[Order Status]]="Cancelled", CleanedSalesData[[#This Row],[Order Status]]="Returned"), TRUE, FALSE)</f>
        <v>1</v>
      </c>
      <c r="W288" t="str" cm="1">
        <f t="array" ref="W28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289" spans="1:23" x14ac:dyDescent="0.35">
      <c r="A289" t="s">
        <v>409</v>
      </c>
      <c r="B289" s="7">
        <v>46164</v>
      </c>
      <c r="C289" t="s">
        <v>946</v>
      </c>
      <c r="D289">
        <v>5</v>
      </c>
      <c r="E289" t="s">
        <v>76</v>
      </c>
      <c r="F289" t="s">
        <v>47</v>
      </c>
      <c r="G289" t="s">
        <v>81</v>
      </c>
      <c r="H289" t="s">
        <v>33</v>
      </c>
      <c r="I289" t="s">
        <v>410</v>
      </c>
      <c r="J289" t="s">
        <v>56</v>
      </c>
      <c r="K289" t="s">
        <v>36</v>
      </c>
      <c r="L289">
        <v>6</v>
      </c>
      <c r="M289" s="10">
        <v>0.05</v>
      </c>
      <c r="N289" s="11">
        <v>10545000</v>
      </c>
      <c r="O289" s="11">
        <v>7920000</v>
      </c>
      <c r="P289" s="11">
        <v>2625000</v>
      </c>
      <c r="Q289" t="s">
        <v>57</v>
      </c>
      <c r="R289" t="b">
        <f>COUNTIF($A$6     : CleanedSalesData[[#This Row],[Order ID]], CleanedSalesData[[#This Row],[Order ID]])&gt;1</f>
        <v>0</v>
      </c>
      <c r="S289" t="b">
        <f>IF(ISBLANK(CleanedSalesData[[#This Row],[Quantity]]), TRUE, FALSE)</f>
        <v>0</v>
      </c>
      <c r="T289" t="b">
        <f>IF(ISBLANK(CleanedSalesData[[#This Row],[Order Date]]), TRUE, FALSE)</f>
        <v>0</v>
      </c>
      <c r="U289" t="b">
        <f>IF(ISBLANK(CleanedSalesData[[#This Row],[Revenue]]), TRUE, FALSE)</f>
        <v>0</v>
      </c>
      <c r="V289" t="b">
        <f>IF(OR(CleanedSalesData[[#This Row],[Order Status]]="Cancelled", CleanedSalesData[[#This Row],[Order Status]]="Returned"), TRUE, FALSE)</f>
        <v>0</v>
      </c>
      <c r="W289" t="str" cm="1">
        <f t="array" ref="W28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0" spans="1:23" x14ac:dyDescent="0.35">
      <c r="A290" t="s">
        <v>411</v>
      </c>
      <c r="B290" s="7">
        <v>46115</v>
      </c>
      <c r="C290" t="s">
        <v>949</v>
      </c>
      <c r="D290">
        <v>4</v>
      </c>
      <c r="E290" t="s">
        <v>39</v>
      </c>
      <c r="F290" t="s">
        <v>59</v>
      </c>
      <c r="G290" t="s">
        <v>81</v>
      </c>
      <c r="H290" t="s">
        <v>33</v>
      </c>
      <c r="I290" t="s">
        <v>60</v>
      </c>
      <c r="J290" t="s">
        <v>61</v>
      </c>
      <c r="K290" t="s">
        <v>62</v>
      </c>
      <c r="L290">
        <v>8</v>
      </c>
      <c r="M290" s="10">
        <v>0.08</v>
      </c>
      <c r="N290" s="11">
        <v>478400</v>
      </c>
      <c r="O290" s="11">
        <v>248000</v>
      </c>
      <c r="P290" s="11">
        <v>230400</v>
      </c>
      <c r="Q290" t="s">
        <v>63</v>
      </c>
      <c r="R290" t="b">
        <f>COUNTIF($A$6     : CleanedSalesData[[#This Row],[Order ID]], CleanedSalesData[[#This Row],[Order ID]])&gt;1</f>
        <v>0</v>
      </c>
      <c r="S290" t="b">
        <f>IF(ISBLANK(CleanedSalesData[[#This Row],[Quantity]]), TRUE, FALSE)</f>
        <v>0</v>
      </c>
      <c r="T290" t="b">
        <f>IF(ISBLANK(CleanedSalesData[[#This Row],[Order Date]]), TRUE, FALSE)</f>
        <v>0</v>
      </c>
      <c r="U290" t="b">
        <f>IF(ISBLANK(CleanedSalesData[[#This Row],[Revenue]]), TRUE, FALSE)</f>
        <v>0</v>
      </c>
      <c r="V290" t="b">
        <f>IF(OR(CleanedSalesData[[#This Row],[Order Status]]="Cancelled", CleanedSalesData[[#This Row],[Order Status]]="Returned"), TRUE, FALSE)</f>
        <v>0</v>
      </c>
      <c r="W290" t="str" cm="1">
        <f t="array" ref="W29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1" spans="1:23" x14ac:dyDescent="0.35">
      <c r="A291" t="s">
        <v>412</v>
      </c>
      <c r="B291" s="7">
        <v>46103</v>
      </c>
      <c r="C291" t="s">
        <v>947</v>
      </c>
      <c r="D291">
        <v>3</v>
      </c>
      <c r="E291" t="s">
        <v>95</v>
      </c>
      <c r="F291" t="s">
        <v>31</v>
      </c>
      <c r="G291" t="s">
        <v>32</v>
      </c>
      <c r="H291" t="s">
        <v>33</v>
      </c>
      <c r="I291" t="s">
        <v>66</v>
      </c>
      <c r="J291" t="s">
        <v>67</v>
      </c>
      <c r="K291" t="s">
        <v>51</v>
      </c>
      <c r="L291">
        <v>7</v>
      </c>
      <c r="M291" s="10">
        <v>0</v>
      </c>
      <c r="N291" s="11">
        <v>2170000</v>
      </c>
      <c r="O291" s="11">
        <v>1330000</v>
      </c>
      <c r="P291" s="11">
        <v>840000</v>
      </c>
      <c r="Q291" t="s">
        <v>57</v>
      </c>
      <c r="R291" t="b">
        <f>COUNTIF($A$6     : CleanedSalesData[[#This Row],[Order ID]], CleanedSalesData[[#This Row],[Order ID]])&gt;1</f>
        <v>0</v>
      </c>
      <c r="S291" t="b">
        <f>IF(ISBLANK(CleanedSalesData[[#This Row],[Quantity]]), TRUE, FALSE)</f>
        <v>0</v>
      </c>
      <c r="T291" t="b">
        <f>IF(ISBLANK(CleanedSalesData[[#This Row],[Order Date]]), TRUE, FALSE)</f>
        <v>0</v>
      </c>
      <c r="U291" t="b">
        <f>IF(ISBLANK(CleanedSalesData[[#This Row],[Revenue]]), TRUE, FALSE)</f>
        <v>0</v>
      </c>
      <c r="V291" t="b">
        <f>IF(OR(CleanedSalesData[[#This Row],[Order Status]]="Cancelled", CleanedSalesData[[#This Row],[Order Status]]="Returned"), TRUE, FALSE)</f>
        <v>0</v>
      </c>
      <c r="W291" t="str" cm="1">
        <f t="array" ref="W29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2" spans="1:23" x14ac:dyDescent="0.35">
      <c r="A292" t="s">
        <v>413</v>
      </c>
      <c r="B292" s="7">
        <v>46164</v>
      </c>
      <c r="C292" t="s">
        <v>946</v>
      </c>
      <c r="D292">
        <v>5</v>
      </c>
      <c r="E292" t="s">
        <v>65</v>
      </c>
      <c r="F292" t="s">
        <v>70</v>
      </c>
      <c r="G292" t="s">
        <v>32</v>
      </c>
      <c r="H292" t="s">
        <v>33</v>
      </c>
      <c r="I292" t="s">
        <v>71</v>
      </c>
      <c r="J292" t="s">
        <v>72</v>
      </c>
      <c r="K292" t="s">
        <v>73</v>
      </c>
      <c r="L292">
        <v>7</v>
      </c>
      <c r="M292" s="10">
        <v>0.05</v>
      </c>
      <c r="N292" s="11">
        <v>831250</v>
      </c>
      <c r="O292" s="11">
        <v>490000</v>
      </c>
      <c r="P292" s="11">
        <v>341250</v>
      </c>
      <c r="Q292" t="s">
        <v>45</v>
      </c>
      <c r="R292" t="b">
        <f>COUNTIF($A$6     : CleanedSalesData[[#This Row],[Order ID]], CleanedSalesData[[#This Row],[Order ID]])&gt;1</f>
        <v>0</v>
      </c>
      <c r="S292" t="b">
        <f>IF(ISBLANK(CleanedSalesData[[#This Row],[Quantity]]), TRUE, FALSE)</f>
        <v>0</v>
      </c>
      <c r="T292" t="b">
        <f>IF(ISBLANK(CleanedSalesData[[#This Row],[Order Date]]), TRUE, FALSE)</f>
        <v>0</v>
      </c>
      <c r="U292" t="b">
        <f>IF(ISBLANK(CleanedSalesData[[#This Row],[Revenue]]), TRUE, FALSE)</f>
        <v>0</v>
      </c>
      <c r="V292" t="b">
        <f>IF(OR(CleanedSalesData[[#This Row],[Order Status]]="Cancelled", CleanedSalesData[[#This Row],[Order Status]]="Returned"), TRUE, FALSE)</f>
        <v>0</v>
      </c>
      <c r="W292" t="str" cm="1">
        <f t="array" ref="W29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3" spans="1:23" x14ac:dyDescent="0.35">
      <c r="A293" t="s">
        <v>415</v>
      </c>
      <c r="B293" s="7">
        <v>46150</v>
      </c>
      <c r="C293" t="s">
        <v>946</v>
      </c>
      <c r="D293">
        <v>5</v>
      </c>
      <c r="E293" t="s">
        <v>111</v>
      </c>
      <c r="F293" t="s">
        <v>59</v>
      </c>
      <c r="G293" t="s">
        <v>48</v>
      </c>
      <c r="H293" t="s">
        <v>33</v>
      </c>
      <c r="I293" t="s">
        <v>78</v>
      </c>
      <c r="J293" t="s">
        <v>79</v>
      </c>
      <c r="K293" t="s">
        <v>62</v>
      </c>
      <c r="L293">
        <v>6</v>
      </c>
      <c r="M293" s="10">
        <v>0.05</v>
      </c>
      <c r="N293" s="11">
        <v>484500</v>
      </c>
      <c r="O293" s="11">
        <v>258000</v>
      </c>
      <c r="P293" s="11">
        <v>226500</v>
      </c>
      <c r="Q293" t="s">
        <v>84</v>
      </c>
      <c r="R293" t="b">
        <f>COUNTIF($A$6     : CleanedSalesData[[#This Row],[Order ID]], CleanedSalesData[[#This Row],[Order ID]])&gt;1</f>
        <v>0</v>
      </c>
      <c r="S293" t="b">
        <f>IF(ISBLANK(CleanedSalesData[[#This Row],[Quantity]]), TRUE, FALSE)</f>
        <v>0</v>
      </c>
      <c r="T293" t="b">
        <f>IF(ISBLANK(CleanedSalesData[[#This Row],[Order Date]]), TRUE, FALSE)</f>
        <v>0</v>
      </c>
      <c r="U293" t="b">
        <f>IF(ISBLANK(CleanedSalesData[[#This Row],[Revenue]]), TRUE, FALSE)</f>
        <v>0</v>
      </c>
      <c r="V293" t="b">
        <f>IF(OR(CleanedSalesData[[#This Row],[Order Status]]="Cancelled", CleanedSalesData[[#This Row],[Order Status]]="Returned"), TRUE, FALSE)</f>
        <v>0</v>
      </c>
      <c r="W293" t="str" cm="1">
        <f t="array" ref="W29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4" spans="1:23" x14ac:dyDescent="0.35">
      <c r="A294" t="s">
        <v>416</v>
      </c>
      <c r="B294" s="7">
        <v>46113</v>
      </c>
      <c r="C294" t="s">
        <v>949</v>
      </c>
      <c r="D294">
        <v>4</v>
      </c>
      <c r="E294" t="s">
        <v>95</v>
      </c>
      <c r="F294" t="s">
        <v>59</v>
      </c>
      <c r="G294" t="s">
        <v>32</v>
      </c>
      <c r="H294" t="s">
        <v>33</v>
      </c>
      <c r="I294" t="s">
        <v>82</v>
      </c>
      <c r="J294" t="s">
        <v>83</v>
      </c>
      <c r="K294" t="s">
        <v>44</v>
      </c>
      <c r="L294">
        <v>3</v>
      </c>
      <c r="M294" s="10">
        <v>0.03</v>
      </c>
      <c r="N294" s="11">
        <v>4219500</v>
      </c>
      <c r="O294" s="11">
        <v>2940000</v>
      </c>
      <c r="P294" s="11">
        <v>1279500</v>
      </c>
      <c r="Q294" t="s">
        <v>74</v>
      </c>
      <c r="R294" t="b">
        <f>COUNTIF($A$6     : CleanedSalesData[[#This Row],[Order ID]], CleanedSalesData[[#This Row],[Order ID]])&gt;1</f>
        <v>0</v>
      </c>
      <c r="S294" t="b">
        <f>IF(ISBLANK(CleanedSalesData[[#This Row],[Quantity]]), TRUE, FALSE)</f>
        <v>0</v>
      </c>
      <c r="T294" t="b">
        <f>IF(ISBLANK(CleanedSalesData[[#This Row],[Order Date]]), TRUE, FALSE)</f>
        <v>0</v>
      </c>
      <c r="U294" t="b">
        <f>IF(ISBLANK(CleanedSalesData[[#This Row],[Revenue]]), TRUE, FALSE)</f>
        <v>0</v>
      </c>
      <c r="V294" t="b">
        <f>IF(OR(CleanedSalesData[[#This Row],[Order Status]]="Cancelled", CleanedSalesData[[#This Row],[Order Status]]="Returned"), TRUE, FALSE)</f>
        <v>0</v>
      </c>
      <c r="W294" t="str" cm="1">
        <f t="array" ref="W29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5" spans="1:23" x14ac:dyDescent="0.35">
      <c r="A295" t="s">
        <v>417</v>
      </c>
      <c r="B295" s="7">
        <v>46042</v>
      </c>
      <c r="C295" t="s">
        <v>948</v>
      </c>
      <c r="D295">
        <v>1</v>
      </c>
      <c r="E295" t="s">
        <v>30</v>
      </c>
      <c r="F295" t="s">
        <v>31</v>
      </c>
      <c r="G295" t="s">
        <v>41</v>
      </c>
      <c r="H295" t="s">
        <v>33</v>
      </c>
      <c r="I295" t="s">
        <v>86</v>
      </c>
      <c r="J295" t="s">
        <v>87</v>
      </c>
      <c r="K295" t="s">
        <v>36</v>
      </c>
      <c r="L295">
        <v>1</v>
      </c>
      <c r="M295" s="10">
        <v>0</v>
      </c>
      <c r="N295" s="11">
        <v>350000</v>
      </c>
      <c r="O295" s="11">
        <v>210000</v>
      </c>
      <c r="P295" s="11">
        <v>140000</v>
      </c>
      <c r="Q295" t="s">
        <v>74</v>
      </c>
      <c r="R295" t="b">
        <f>COUNTIF($A$6     : CleanedSalesData[[#This Row],[Order ID]], CleanedSalesData[[#This Row],[Order ID]])&gt;1</f>
        <v>0</v>
      </c>
      <c r="S295" t="b">
        <f>IF(ISBLANK(CleanedSalesData[[#This Row],[Quantity]]), TRUE, FALSE)</f>
        <v>0</v>
      </c>
      <c r="T295" t="b">
        <f>IF(ISBLANK(CleanedSalesData[[#This Row],[Order Date]]), TRUE, FALSE)</f>
        <v>0</v>
      </c>
      <c r="U295" t="b">
        <f>IF(ISBLANK(CleanedSalesData[[#This Row],[Revenue]]), TRUE, FALSE)</f>
        <v>0</v>
      </c>
      <c r="V295" t="b">
        <f>IF(OR(CleanedSalesData[[#This Row],[Order Status]]="Cancelled", CleanedSalesData[[#This Row],[Order Status]]="Returned"), TRUE, FALSE)</f>
        <v>0</v>
      </c>
      <c r="W295" t="str" cm="1">
        <f t="array" ref="W29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6" spans="1:23" x14ac:dyDescent="0.35">
      <c r="A296" t="s">
        <v>418</v>
      </c>
      <c r="B296" s="7">
        <v>46078</v>
      </c>
      <c r="C296" t="s">
        <v>944</v>
      </c>
      <c r="D296">
        <v>2</v>
      </c>
      <c r="E296" t="s">
        <v>111</v>
      </c>
      <c r="F296" t="s">
        <v>47</v>
      </c>
      <c r="G296" t="s">
        <v>48</v>
      </c>
      <c r="H296" t="s">
        <v>33</v>
      </c>
      <c r="I296" t="s">
        <v>34</v>
      </c>
      <c r="J296" t="s">
        <v>35</v>
      </c>
      <c r="K296" t="s">
        <v>36</v>
      </c>
      <c r="L296">
        <v>8</v>
      </c>
      <c r="M296" s="10">
        <v>0.05</v>
      </c>
      <c r="N296" s="11">
        <v>3610000</v>
      </c>
      <c r="O296" s="11">
        <v>2280000</v>
      </c>
      <c r="P296" s="11">
        <v>1330000</v>
      </c>
      <c r="Q296" t="s">
        <v>74</v>
      </c>
      <c r="R296" t="b">
        <f>COUNTIF($A$6     : CleanedSalesData[[#This Row],[Order ID]], CleanedSalesData[[#This Row],[Order ID]])&gt;1</f>
        <v>0</v>
      </c>
      <c r="S296" t="b">
        <f>IF(ISBLANK(CleanedSalesData[[#This Row],[Quantity]]), TRUE, FALSE)</f>
        <v>0</v>
      </c>
      <c r="T296" t="b">
        <f>IF(ISBLANK(CleanedSalesData[[#This Row],[Order Date]]), TRUE, FALSE)</f>
        <v>0</v>
      </c>
      <c r="U296" t="b">
        <f>IF(ISBLANK(CleanedSalesData[[#This Row],[Revenue]]), TRUE, FALSE)</f>
        <v>0</v>
      </c>
      <c r="V296" t="b">
        <f>IF(OR(CleanedSalesData[[#This Row],[Order Status]]="Cancelled", CleanedSalesData[[#This Row],[Order Status]]="Returned"), TRUE, FALSE)</f>
        <v>0</v>
      </c>
      <c r="W296" t="str" cm="1">
        <f t="array" ref="W29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7" spans="1:23" x14ac:dyDescent="0.35">
      <c r="A297" t="s">
        <v>419</v>
      </c>
      <c r="B297" s="7">
        <v>46024</v>
      </c>
      <c r="C297" t="s">
        <v>948</v>
      </c>
      <c r="D297">
        <v>1</v>
      </c>
      <c r="E297" t="s">
        <v>95</v>
      </c>
      <c r="F297" t="s">
        <v>70</v>
      </c>
      <c r="G297" t="s">
        <v>81</v>
      </c>
      <c r="H297" t="s">
        <v>33</v>
      </c>
      <c r="I297" t="s">
        <v>42</v>
      </c>
      <c r="J297" t="s">
        <v>43</v>
      </c>
      <c r="K297" t="s">
        <v>44</v>
      </c>
      <c r="L297">
        <v>7</v>
      </c>
      <c r="M297" s="10">
        <v>0</v>
      </c>
      <c r="N297" s="11">
        <v>1925000</v>
      </c>
      <c r="O297" s="11">
        <v>1085000</v>
      </c>
      <c r="P297" s="11">
        <v>840000</v>
      </c>
      <c r="Q297" t="s">
        <v>93</v>
      </c>
      <c r="R297" t="b">
        <f>COUNTIF($A$6     : CleanedSalesData[[#This Row],[Order ID]], CleanedSalesData[[#This Row],[Order ID]])&gt;1</f>
        <v>0</v>
      </c>
      <c r="S297" t="b">
        <f>IF(ISBLANK(CleanedSalesData[[#This Row],[Quantity]]), TRUE, FALSE)</f>
        <v>0</v>
      </c>
      <c r="T297" t="b">
        <f>IF(ISBLANK(CleanedSalesData[[#This Row],[Order Date]]), TRUE, FALSE)</f>
        <v>0</v>
      </c>
      <c r="U297" t="b">
        <f>IF(ISBLANK(CleanedSalesData[[#This Row],[Revenue]]), TRUE, FALSE)</f>
        <v>0</v>
      </c>
      <c r="V297" t="b">
        <f>IF(OR(CleanedSalesData[[#This Row],[Order Status]]="Cancelled", CleanedSalesData[[#This Row],[Order Status]]="Returned"), TRUE, FALSE)</f>
        <v>0</v>
      </c>
      <c r="W297" t="str" cm="1">
        <f t="array" ref="W29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8" spans="1:23" x14ac:dyDescent="0.35">
      <c r="A298" t="s">
        <v>420</v>
      </c>
      <c r="B298" s="7">
        <v>46068</v>
      </c>
      <c r="C298" t="s">
        <v>944</v>
      </c>
      <c r="D298">
        <v>2</v>
      </c>
      <c r="E298" t="s">
        <v>76</v>
      </c>
      <c r="F298" t="s">
        <v>31</v>
      </c>
      <c r="G298" t="s">
        <v>32</v>
      </c>
      <c r="H298" t="s">
        <v>33</v>
      </c>
      <c r="I298" t="s">
        <v>49</v>
      </c>
      <c r="J298" t="s">
        <v>50</v>
      </c>
      <c r="K298" t="s">
        <v>51</v>
      </c>
      <c r="L298">
        <v>2</v>
      </c>
      <c r="M298" s="10">
        <v>0</v>
      </c>
      <c r="N298" s="11">
        <v>490000</v>
      </c>
      <c r="O298" s="11">
        <v>290000</v>
      </c>
      <c r="P298" s="11">
        <v>200000</v>
      </c>
      <c r="Q298" t="s">
        <v>63</v>
      </c>
      <c r="R298" t="b">
        <f>COUNTIF($A$6     : CleanedSalesData[[#This Row],[Order ID]], CleanedSalesData[[#This Row],[Order ID]])&gt;1</f>
        <v>0</v>
      </c>
      <c r="S298" t="b">
        <f>IF(ISBLANK(CleanedSalesData[[#This Row],[Quantity]]), TRUE, FALSE)</f>
        <v>0</v>
      </c>
      <c r="T298" t="b">
        <f>IF(ISBLANK(CleanedSalesData[[#This Row],[Order Date]]), TRUE, FALSE)</f>
        <v>0</v>
      </c>
      <c r="U298" t="b">
        <f>IF(ISBLANK(CleanedSalesData[[#This Row],[Revenue]]), TRUE, FALSE)</f>
        <v>0</v>
      </c>
      <c r="V298" t="b">
        <f>IF(OR(CleanedSalesData[[#This Row],[Order Status]]="Cancelled", CleanedSalesData[[#This Row],[Order Status]]="Returned"), TRUE, FALSE)</f>
        <v>0</v>
      </c>
      <c r="W298" t="str" cm="1">
        <f t="array" ref="W29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299" spans="1:23" x14ac:dyDescent="0.35">
      <c r="A299" t="s">
        <v>421</v>
      </c>
      <c r="B299" s="7">
        <v>46091</v>
      </c>
      <c r="C299" t="s">
        <v>947</v>
      </c>
      <c r="D299">
        <v>3</v>
      </c>
      <c r="E299" t="s">
        <v>39</v>
      </c>
      <c r="F299" t="s">
        <v>59</v>
      </c>
      <c r="G299" t="s">
        <v>48</v>
      </c>
      <c r="H299" t="s">
        <v>33</v>
      </c>
      <c r="I299" t="s">
        <v>55</v>
      </c>
      <c r="J299" t="s">
        <v>56</v>
      </c>
      <c r="K299" t="s">
        <v>36</v>
      </c>
      <c r="L299">
        <v>7</v>
      </c>
      <c r="M299" s="10">
        <v>0</v>
      </c>
      <c r="N299" s="11">
        <v>12950000</v>
      </c>
      <c r="O299" s="11">
        <v>9240000</v>
      </c>
      <c r="P299" s="11">
        <v>3710000</v>
      </c>
      <c r="Q299" t="s">
        <v>45</v>
      </c>
      <c r="R299" t="b">
        <f>COUNTIF($A$6     : CleanedSalesData[[#This Row],[Order ID]], CleanedSalesData[[#This Row],[Order ID]])&gt;1</f>
        <v>0</v>
      </c>
      <c r="S299" t="b">
        <f>IF(ISBLANK(CleanedSalesData[[#This Row],[Quantity]]), TRUE, FALSE)</f>
        <v>0</v>
      </c>
      <c r="T299" t="b">
        <f>IF(ISBLANK(CleanedSalesData[[#This Row],[Order Date]]), TRUE, FALSE)</f>
        <v>0</v>
      </c>
      <c r="U299" t="b">
        <f>IF(ISBLANK(CleanedSalesData[[#This Row],[Revenue]]), TRUE, FALSE)</f>
        <v>0</v>
      </c>
      <c r="V299" t="b">
        <f>IF(OR(CleanedSalesData[[#This Row],[Order Status]]="Cancelled", CleanedSalesData[[#This Row],[Order Status]]="Returned"), TRUE, FALSE)</f>
        <v>0</v>
      </c>
      <c r="W299" t="str" cm="1">
        <f t="array" ref="W29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0" spans="1:23" x14ac:dyDescent="0.35">
      <c r="A300" t="s">
        <v>422</v>
      </c>
      <c r="B300" s="7">
        <v>32874</v>
      </c>
      <c r="C300" t="s">
        <v>948</v>
      </c>
      <c r="D300">
        <v>1</v>
      </c>
      <c r="E300" t="s">
        <v>65</v>
      </c>
      <c r="F300" t="s">
        <v>40</v>
      </c>
      <c r="G300" t="s">
        <v>41</v>
      </c>
      <c r="H300" t="s">
        <v>77</v>
      </c>
      <c r="I300" t="s">
        <v>60</v>
      </c>
      <c r="J300" t="s">
        <v>61</v>
      </c>
      <c r="K300" t="s">
        <v>62</v>
      </c>
      <c r="L300">
        <v>2</v>
      </c>
      <c r="M300" s="10">
        <v>0.15</v>
      </c>
      <c r="N300" s="11">
        <v>55250</v>
      </c>
      <c r="O300" s="11">
        <v>62000</v>
      </c>
      <c r="P300" s="11">
        <v>-6750</v>
      </c>
      <c r="Q300" t="s">
        <v>93</v>
      </c>
      <c r="R300" t="b">
        <f>COUNTIF($A$6     : CleanedSalesData[[#This Row],[Order ID]], CleanedSalesData[[#This Row],[Order ID]])&gt;1</f>
        <v>0</v>
      </c>
      <c r="S300" t="b">
        <f>IF(ISBLANK(CleanedSalesData[[#This Row],[Quantity]]), TRUE, FALSE)</f>
        <v>0</v>
      </c>
      <c r="T300" t="b">
        <f>IF(ISBLANK(CleanedSalesData[[#This Row],[Order Date]]), TRUE, FALSE)</f>
        <v>0</v>
      </c>
      <c r="U300" t="b">
        <f>IF(ISBLANK(CleanedSalesData[[#This Row],[Revenue]]), TRUE, FALSE)</f>
        <v>0</v>
      </c>
      <c r="V300" t="b">
        <f>IF(OR(CleanedSalesData[[#This Row],[Order Status]]="Cancelled", CleanedSalesData[[#This Row],[Order Status]]="Returned"), TRUE, FALSE)</f>
        <v>1</v>
      </c>
      <c r="W300" t="str" cm="1">
        <f t="array" ref="W30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01" spans="1:23" x14ac:dyDescent="0.35">
      <c r="A301" t="s">
        <v>424</v>
      </c>
      <c r="B301" s="7">
        <v>46119</v>
      </c>
      <c r="C301" t="s">
        <v>949</v>
      </c>
      <c r="D301">
        <v>4</v>
      </c>
      <c r="E301" t="s">
        <v>111</v>
      </c>
      <c r="F301" t="s">
        <v>31</v>
      </c>
      <c r="G301" t="s">
        <v>41</v>
      </c>
      <c r="H301" t="s">
        <v>33</v>
      </c>
      <c r="I301" t="s">
        <v>66</v>
      </c>
      <c r="J301" t="s">
        <v>67</v>
      </c>
      <c r="K301" t="s">
        <v>51</v>
      </c>
      <c r="L301">
        <v>8</v>
      </c>
      <c r="M301" s="10">
        <v>0</v>
      </c>
      <c r="N301" s="11">
        <v>2480000</v>
      </c>
      <c r="O301" s="11">
        <v>1520000</v>
      </c>
      <c r="P301" s="11">
        <v>960000</v>
      </c>
      <c r="Q301" t="s">
        <v>93</v>
      </c>
      <c r="R301" t="b">
        <f>COUNTIF($A$6     : CleanedSalesData[[#This Row],[Order ID]], CleanedSalesData[[#This Row],[Order ID]])&gt;1</f>
        <v>0</v>
      </c>
      <c r="S301" t="b">
        <f>IF(ISBLANK(CleanedSalesData[[#This Row],[Quantity]]), TRUE, FALSE)</f>
        <v>0</v>
      </c>
      <c r="T301" t="b">
        <f>IF(ISBLANK(CleanedSalesData[[#This Row],[Order Date]]), TRUE, FALSE)</f>
        <v>0</v>
      </c>
      <c r="U301" t="b">
        <f>IF(ISBLANK(CleanedSalesData[[#This Row],[Revenue]]), TRUE, FALSE)</f>
        <v>0</v>
      </c>
      <c r="V301" t="b">
        <f>IF(OR(CleanedSalesData[[#This Row],[Order Status]]="Cancelled", CleanedSalesData[[#This Row],[Order Status]]="Returned"), TRUE, FALSE)</f>
        <v>0</v>
      </c>
      <c r="W301" t="str" cm="1">
        <f t="array" ref="W30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2" spans="1:23" x14ac:dyDescent="0.35">
      <c r="A302" t="s">
        <v>425</v>
      </c>
      <c r="B302" s="7">
        <v>46188</v>
      </c>
      <c r="C302" t="s">
        <v>945</v>
      </c>
      <c r="D302">
        <v>6</v>
      </c>
      <c r="E302" t="s">
        <v>39</v>
      </c>
      <c r="F302" t="s">
        <v>47</v>
      </c>
      <c r="G302" t="s">
        <v>41</v>
      </c>
      <c r="H302" t="s">
        <v>77</v>
      </c>
      <c r="I302" t="s">
        <v>71</v>
      </c>
      <c r="J302" t="s">
        <v>72</v>
      </c>
      <c r="K302" t="s">
        <v>73</v>
      </c>
      <c r="L302">
        <v>6</v>
      </c>
      <c r="M302" s="10">
        <v>0.1</v>
      </c>
      <c r="N302" s="11">
        <v>0</v>
      </c>
      <c r="O302" s="11">
        <v>420000</v>
      </c>
      <c r="P302" s="11">
        <v>-420000</v>
      </c>
      <c r="Q302" t="s">
        <v>45</v>
      </c>
      <c r="R302" t="b">
        <f>COUNTIF($A$6     : CleanedSalesData[[#This Row],[Order ID]], CleanedSalesData[[#This Row],[Order ID]])&gt;1</f>
        <v>0</v>
      </c>
      <c r="S302" t="b">
        <f>IF(ISBLANK(CleanedSalesData[[#This Row],[Quantity]]), TRUE, FALSE)</f>
        <v>0</v>
      </c>
      <c r="T302" t="b">
        <f>IF(ISBLANK(CleanedSalesData[[#This Row],[Order Date]]), TRUE, FALSE)</f>
        <v>0</v>
      </c>
      <c r="U302" t="b">
        <f>IF(ISBLANK(CleanedSalesData[[#This Row],[Revenue]]), TRUE, FALSE)</f>
        <v>0</v>
      </c>
      <c r="V302" t="b">
        <f>IF(OR(CleanedSalesData[[#This Row],[Order Status]]="Cancelled", CleanedSalesData[[#This Row],[Order Status]]="Returned"), TRUE, FALSE)</f>
        <v>1</v>
      </c>
      <c r="W302" t="str" cm="1">
        <f t="array" ref="W30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03" spans="1:23" x14ac:dyDescent="0.35">
      <c r="A303" t="s">
        <v>426</v>
      </c>
      <c r="B303" s="7">
        <v>46200</v>
      </c>
      <c r="C303" t="s">
        <v>945</v>
      </c>
      <c r="D303">
        <v>6</v>
      </c>
      <c r="E303" t="s">
        <v>95</v>
      </c>
      <c r="F303" t="s">
        <v>40</v>
      </c>
      <c r="G303" t="s">
        <v>81</v>
      </c>
      <c r="H303" t="s">
        <v>33</v>
      </c>
      <c r="I303" t="s">
        <v>78</v>
      </c>
      <c r="J303" t="s">
        <v>79</v>
      </c>
      <c r="K303" t="s">
        <v>62</v>
      </c>
      <c r="L303">
        <v>8</v>
      </c>
      <c r="M303" s="10">
        <v>0.05</v>
      </c>
      <c r="N303" s="11">
        <v>646000</v>
      </c>
      <c r="O303" s="11">
        <v>344000</v>
      </c>
      <c r="P303" s="11">
        <v>302000</v>
      </c>
      <c r="Q303" t="s">
        <v>84</v>
      </c>
      <c r="R303" t="b">
        <f>COUNTIF($A$6     : CleanedSalesData[[#This Row],[Order ID]], CleanedSalesData[[#This Row],[Order ID]])&gt;1</f>
        <v>0</v>
      </c>
      <c r="S303" t="b">
        <f>IF(ISBLANK(CleanedSalesData[[#This Row],[Quantity]]), TRUE, FALSE)</f>
        <v>0</v>
      </c>
      <c r="T303" t="b">
        <f>IF(ISBLANK(CleanedSalesData[[#This Row],[Order Date]]), TRUE, FALSE)</f>
        <v>0</v>
      </c>
      <c r="U303" t="b">
        <f>IF(ISBLANK(CleanedSalesData[[#This Row],[Revenue]]), TRUE, FALSE)</f>
        <v>0</v>
      </c>
      <c r="V303" t="b">
        <f>IF(OR(CleanedSalesData[[#This Row],[Order Status]]="Cancelled", CleanedSalesData[[#This Row],[Order Status]]="Returned"), TRUE, FALSE)</f>
        <v>0</v>
      </c>
      <c r="W303" t="str" cm="1">
        <f t="array" ref="W30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4" spans="1:23" x14ac:dyDescent="0.35">
      <c r="A304" t="s">
        <v>427</v>
      </c>
      <c r="B304" s="7">
        <v>46103</v>
      </c>
      <c r="C304" t="s">
        <v>947</v>
      </c>
      <c r="D304">
        <v>3</v>
      </c>
      <c r="E304" t="s">
        <v>76</v>
      </c>
      <c r="F304" t="s">
        <v>59</v>
      </c>
      <c r="G304" t="s">
        <v>41</v>
      </c>
      <c r="H304" t="s">
        <v>33</v>
      </c>
      <c r="I304" t="s">
        <v>82</v>
      </c>
      <c r="J304" t="s">
        <v>83</v>
      </c>
      <c r="K304" t="s">
        <v>44</v>
      </c>
      <c r="L304">
        <v>1</v>
      </c>
      <c r="M304" s="10">
        <v>0.03</v>
      </c>
      <c r="N304" s="11">
        <v>1406500</v>
      </c>
      <c r="O304" s="11">
        <v>980000</v>
      </c>
      <c r="P304" s="11">
        <v>426500</v>
      </c>
      <c r="Q304" t="s">
        <v>84</v>
      </c>
      <c r="R304" t="b">
        <f>COUNTIF($A$6     : CleanedSalesData[[#This Row],[Order ID]], CleanedSalesData[[#This Row],[Order ID]])&gt;1</f>
        <v>0</v>
      </c>
      <c r="S304" t="b">
        <f>IF(ISBLANK(CleanedSalesData[[#This Row],[Quantity]]), TRUE, FALSE)</f>
        <v>0</v>
      </c>
      <c r="T304" t="b">
        <f>IF(ISBLANK(CleanedSalesData[[#This Row],[Order Date]]), TRUE, FALSE)</f>
        <v>0</v>
      </c>
      <c r="U304" t="b">
        <f>IF(ISBLANK(CleanedSalesData[[#This Row],[Revenue]]), TRUE, FALSE)</f>
        <v>0</v>
      </c>
      <c r="V304" t="b">
        <f>IF(OR(CleanedSalesData[[#This Row],[Order Status]]="Cancelled", CleanedSalesData[[#This Row],[Order Status]]="Returned"), TRUE, FALSE)</f>
        <v>0</v>
      </c>
      <c r="W304" t="str" cm="1">
        <f t="array" ref="W30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5" spans="1:23" x14ac:dyDescent="0.35">
      <c r="A305" t="s">
        <v>428</v>
      </c>
      <c r="B305" s="7">
        <v>46167</v>
      </c>
      <c r="C305" t="s">
        <v>946</v>
      </c>
      <c r="D305">
        <v>5</v>
      </c>
      <c r="E305" t="s">
        <v>65</v>
      </c>
      <c r="F305" t="s">
        <v>59</v>
      </c>
      <c r="G305" t="s">
        <v>81</v>
      </c>
      <c r="H305" t="s">
        <v>90</v>
      </c>
      <c r="I305" t="s">
        <v>86</v>
      </c>
      <c r="J305" t="s">
        <v>87</v>
      </c>
      <c r="K305" t="s">
        <v>36</v>
      </c>
      <c r="L305">
        <v>4</v>
      </c>
      <c r="M305" s="10">
        <v>0.1</v>
      </c>
      <c r="N305" s="11">
        <v>1260000</v>
      </c>
      <c r="O305" s="11">
        <v>840000</v>
      </c>
      <c r="P305" s="11">
        <v>420000</v>
      </c>
      <c r="Q305" t="s">
        <v>84</v>
      </c>
      <c r="R305" t="b">
        <f>COUNTIF($A$6     : CleanedSalesData[[#This Row],[Order ID]], CleanedSalesData[[#This Row],[Order ID]])&gt;1</f>
        <v>0</v>
      </c>
      <c r="S305" t="b">
        <f>IF(ISBLANK(CleanedSalesData[[#This Row],[Quantity]]), TRUE, FALSE)</f>
        <v>0</v>
      </c>
      <c r="T305" t="b">
        <f>IF(ISBLANK(CleanedSalesData[[#This Row],[Order Date]]), TRUE, FALSE)</f>
        <v>0</v>
      </c>
      <c r="U305" t="b">
        <f>IF(ISBLANK(CleanedSalesData[[#This Row],[Revenue]]), TRUE, FALSE)</f>
        <v>0</v>
      </c>
      <c r="V305" t="b">
        <f>IF(OR(CleanedSalesData[[#This Row],[Order Status]]="Cancelled", CleanedSalesData[[#This Row],[Order Status]]="Returned"), TRUE, FALSE)</f>
        <v>0</v>
      </c>
      <c r="W305" t="str" cm="1">
        <f t="array" ref="W30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6" spans="1:23" x14ac:dyDescent="0.35">
      <c r="A306" t="s">
        <v>430</v>
      </c>
      <c r="B306" s="7">
        <v>46199</v>
      </c>
      <c r="C306" t="s">
        <v>945</v>
      </c>
      <c r="D306">
        <v>6</v>
      </c>
      <c r="E306" t="s">
        <v>69</v>
      </c>
      <c r="F306" t="s">
        <v>70</v>
      </c>
      <c r="G306" t="s">
        <v>41</v>
      </c>
      <c r="H306" t="s">
        <v>33</v>
      </c>
      <c r="I306" t="s">
        <v>34</v>
      </c>
      <c r="J306" t="s">
        <v>35</v>
      </c>
      <c r="K306" t="s">
        <v>36</v>
      </c>
      <c r="L306">
        <v>2</v>
      </c>
      <c r="M306" s="10">
        <v>0.1</v>
      </c>
      <c r="N306" s="11">
        <v>855000</v>
      </c>
      <c r="O306" s="11">
        <v>570000</v>
      </c>
      <c r="P306" s="11">
        <v>285000</v>
      </c>
      <c r="Q306" t="s">
        <v>93</v>
      </c>
      <c r="R306" t="b">
        <f>COUNTIF($A$6     : CleanedSalesData[[#This Row],[Order ID]], CleanedSalesData[[#This Row],[Order ID]])&gt;1</f>
        <v>0</v>
      </c>
      <c r="S306" t="b">
        <f>IF(ISBLANK(CleanedSalesData[[#This Row],[Quantity]]), TRUE, FALSE)</f>
        <v>0</v>
      </c>
      <c r="T306" t="b">
        <f>IF(ISBLANK(CleanedSalesData[[#This Row],[Order Date]]), TRUE, FALSE)</f>
        <v>0</v>
      </c>
      <c r="U306" t="b">
        <f>IF(ISBLANK(CleanedSalesData[[#This Row],[Revenue]]), TRUE, FALSE)</f>
        <v>0</v>
      </c>
      <c r="V306" t="b">
        <f>IF(OR(CleanedSalesData[[#This Row],[Order Status]]="Cancelled", CleanedSalesData[[#This Row],[Order Status]]="Returned"), TRUE, FALSE)</f>
        <v>0</v>
      </c>
      <c r="W306" t="str" cm="1">
        <f t="array" ref="W30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7" spans="1:23" x14ac:dyDescent="0.35">
      <c r="A307" t="s">
        <v>431</v>
      </c>
      <c r="B307" s="7">
        <v>46082</v>
      </c>
      <c r="C307" t="s">
        <v>947</v>
      </c>
      <c r="D307">
        <v>3</v>
      </c>
      <c r="E307" t="s">
        <v>54</v>
      </c>
      <c r="F307" t="s">
        <v>47</v>
      </c>
      <c r="G307" t="s">
        <v>48</v>
      </c>
      <c r="H307" t="s">
        <v>33</v>
      </c>
      <c r="I307" t="s">
        <v>42</v>
      </c>
      <c r="J307" t="s">
        <v>43</v>
      </c>
      <c r="K307" t="s">
        <v>44</v>
      </c>
      <c r="L307">
        <v>2</v>
      </c>
      <c r="M307" s="10">
        <v>0.05</v>
      </c>
      <c r="N307" s="11">
        <v>522500</v>
      </c>
      <c r="O307" s="11">
        <v>310000</v>
      </c>
      <c r="P307" s="11">
        <v>212500</v>
      </c>
      <c r="Q307" t="s">
        <v>74</v>
      </c>
      <c r="R307" t="b">
        <f>COUNTIF($A$6     : CleanedSalesData[[#This Row],[Order ID]], CleanedSalesData[[#This Row],[Order ID]])&gt;1</f>
        <v>0</v>
      </c>
      <c r="S307" t="b">
        <f>IF(ISBLANK(CleanedSalesData[[#This Row],[Quantity]]), TRUE, FALSE)</f>
        <v>0</v>
      </c>
      <c r="T307" t="b">
        <f>IF(ISBLANK(CleanedSalesData[[#This Row],[Order Date]]), TRUE, FALSE)</f>
        <v>0</v>
      </c>
      <c r="U307" t="b">
        <f>IF(ISBLANK(CleanedSalesData[[#This Row],[Revenue]]), TRUE, FALSE)</f>
        <v>0</v>
      </c>
      <c r="V307" t="b">
        <f>IF(OR(CleanedSalesData[[#This Row],[Order Status]]="Cancelled", CleanedSalesData[[#This Row],[Order Status]]="Returned"), TRUE, FALSE)</f>
        <v>0</v>
      </c>
      <c r="W307" t="str" cm="1">
        <f t="array" ref="W30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8" spans="1:23" x14ac:dyDescent="0.35">
      <c r="A308" t="s">
        <v>432</v>
      </c>
      <c r="B308" s="7">
        <v>46185</v>
      </c>
      <c r="C308" t="s">
        <v>945</v>
      </c>
      <c r="D308">
        <v>6</v>
      </c>
      <c r="E308" t="s">
        <v>65</v>
      </c>
      <c r="F308" t="s">
        <v>70</v>
      </c>
      <c r="G308" t="s">
        <v>48</v>
      </c>
      <c r="H308" t="s">
        <v>33</v>
      </c>
      <c r="I308" t="s">
        <v>49</v>
      </c>
      <c r="J308" t="s">
        <v>50</v>
      </c>
      <c r="K308" t="s">
        <v>51</v>
      </c>
      <c r="L308">
        <v>5</v>
      </c>
      <c r="M308" s="10">
        <v>0.08</v>
      </c>
      <c r="N308" s="11">
        <v>1127000</v>
      </c>
      <c r="O308" s="11">
        <v>725000</v>
      </c>
      <c r="P308" s="11">
        <v>402000</v>
      </c>
      <c r="Q308" t="s">
        <v>84</v>
      </c>
      <c r="R308" t="b">
        <f>COUNTIF($A$6     : CleanedSalesData[[#This Row],[Order ID]], CleanedSalesData[[#This Row],[Order ID]])&gt;1</f>
        <v>0</v>
      </c>
      <c r="S308" t="b">
        <f>IF(ISBLANK(CleanedSalesData[[#This Row],[Quantity]]), TRUE, FALSE)</f>
        <v>0</v>
      </c>
      <c r="T308" t="b">
        <f>IF(ISBLANK(CleanedSalesData[[#This Row],[Order Date]]), TRUE, FALSE)</f>
        <v>0</v>
      </c>
      <c r="U308" t="b">
        <f>IF(ISBLANK(CleanedSalesData[[#This Row],[Revenue]]), TRUE, FALSE)</f>
        <v>0</v>
      </c>
      <c r="V308" t="b">
        <f>IF(OR(CleanedSalesData[[#This Row],[Order Status]]="Cancelled", CleanedSalesData[[#This Row],[Order Status]]="Returned"), TRUE, FALSE)</f>
        <v>0</v>
      </c>
      <c r="W308" t="str" cm="1">
        <f t="array" ref="W30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09" spans="1:23" x14ac:dyDescent="0.35">
      <c r="A309" t="s">
        <v>433</v>
      </c>
      <c r="B309" s="7">
        <v>46197</v>
      </c>
      <c r="C309" t="s">
        <v>945</v>
      </c>
      <c r="D309">
        <v>6</v>
      </c>
      <c r="E309" t="s">
        <v>69</v>
      </c>
      <c r="F309" t="s">
        <v>70</v>
      </c>
      <c r="G309" t="s">
        <v>32</v>
      </c>
      <c r="H309" t="s">
        <v>33</v>
      </c>
      <c r="I309" t="s">
        <v>55</v>
      </c>
      <c r="J309" t="s">
        <v>56</v>
      </c>
      <c r="K309" t="s">
        <v>36</v>
      </c>
      <c r="L309">
        <v>7</v>
      </c>
      <c r="M309" s="10">
        <v>0</v>
      </c>
      <c r="N309" s="11">
        <v>12950000</v>
      </c>
      <c r="O309" s="11">
        <v>9240000</v>
      </c>
      <c r="P309" s="11">
        <v>3710000</v>
      </c>
      <c r="Q309" t="s">
        <v>37</v>
      </c>
      <c r="R309" t="b">
        <f>COUNTIF($A$6     : CleanedSalesData[[#This Row],[Order ID]], CleanedSalesData[[#This Row],[Order ID]])&gt;1</f>
        <v>0</v>
      </c>
      <c r="S309" t="b">
        <f>IF(ISBLANK(CleanedSalesData[[#This Row],[Quantity]]), TRUE, FALSE)</f>
        <v>0</v>
      </c>
      <c r="T309" t="b">
        <f>IF(ISBLANK(CleanedSalesData[[#This Row],[Order Date]]), TRUE, FALSE)</f>
        <v>0</v>
      </c>
      <c r="U309" t="b">
        <f>IF(ISBLANK(CleanedSalesData[[#This Row],[Revenue]]), TRUE, FALSE)</f>
        <v>0</v>
      </c>
      <c r="V309" t="b">
        <f>IF(OR(CleanedSalesData[[#This Row],[Order Status]]="Cancelled", CleanedSalesData[[#This Row],[Order Status]]="Returned"), TRUE, FALSE)</f>
        <v>0</v>
      </c>
      <c r="W309" t="str" cm="1">
        <f t="array" ref="W30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0" spans="1:23" x14ac:dyDescent="0.35">
      <c r="A310" t="s">
        <v>434</v>
      </c>
      <c r="B310" s="7">
        <v>46091</v>
      </c>
      <c r="C310" t="s">
        <v>947</v>
      </c>
      <c r="D310">
        <v>3</v>
      </c>
      <c r="E310" t="s">
        <v>54</v>
      </c>
      <c r="F310" t="s">
        <v>31</v>
      </c>
      <c r="G310" t="s">
        <v>48</v>
      </c>
      <c r="H310" t="s">
        <v>33</v>
      </c>
      <c r="I310" t="s">
        <v>60</v>
      </c>
      <c r="J310" t="s">
        <v>61</v>
      </c>
      <c r="K310" t="s">
        <v>62</v>
      </c>
      <c r="L310">
        <v>3</v>
      </c>
      <c r="M310" s="10">
        <v>0.08</v>
      </c>
      <c r="N310" s="11">
        <v>179400</v>
      </c>
      <c r="O310" s="11">
        <v>93000</v>
      </c>
      <c r="P310" s="11">
        <v>86400</v>
      </c>
      <c r="Q310" t="s">
        <v>63</v>
      </c>
      <c r="R310" t="b">
        <f>COUNTIF($A$6     : CleanedSalesData[[#This Row],[Order ID]], CleanedSalesData[[#This Row],[Order ID]])&gt;1</f>
        <v>0</v>
      </c>
      <c r="S310" t="b">
        <f>IF(ISBLANK(CleanedSalesData[[#This Row],[Quantity]]), TRUE, FALSE)</f>
        <v>0</v>
      </c>
      <c r="T310" t="b">
        <f>IF(ISBLANK(CleanedSalesData[[#This Row],[Order Date]]), TRUE, FALSE)</f>
        <v>0</v>
      </c>
      <c r="U310" t="b">
        <f>IF(ISBLANK(CleanedSalesData[[#This Row],[Revenue]]), TRUE, FALSE)</f>
        <v>0</v>
      </c>
      <c r="V310" t="b">
        <f>IF(OR(CleanedSalesData[[#This Row],[Order Status]]="Cancelled", CleanedSalesData[[#This Row],[Order Status]]="Returned"), TRUE, FALSE)</f>
        <v>0</v>
      </c>
      <c r="W310" t="str" cm="1">
        <f t="array" ref="W31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1" spans="1:23" x14ac:dyDescent="0.35">
      <c r="A311" t="s">
        <v>436</v>
      </c>
      <c r="B311" s="7">
        <v>46050</v>
      </c>
      <c r="C311" t="s">
        <v>948</v>
      </c>
      <c r="D311">
        <v>1</v>
      </c>
      <c r="E311" t="s">
        <v>69</v>
      </c>
      <c r="F311" t="s">
        <v>70</v>
      </c>
      <c r="G311" t="s">
        <v>81</v>
      </c>
      <c r="H311" t="s">
        <v>112</v>
      </c>
      <c r="I311" t="s">
        <v>66</v>
      </c>
      <c r="J311" t="s">
        <v>67</v>
      </c>
      <c r="K311" t="s">
        <v>51</v>
      </c>
      <c r="L311">
        <v>2</v>
      </c>
      <c r="M311" s="10">
        <v>0</v>
      </c>
      <c r="N311" s="11">
        <v>155000</v>
      </c>
      <c r="O311" s="11">
        <v>380000</v>
      </c>
      <c r="P311" s="11">
        <v>-225000</v>
      </c>
      <c r="Q311" t="s">
        <v>84</v>
      </c>
      <c r="R311" t="b">
        <f>COUNTIF($A$6     : CleanedSalesData[[#This Row],[Order ID]], CleanedSalesData[[#This Row],[Order ID]])&gt;1</f>
        <v>0</v>
      </c>
      <c r="S311" t="b">
        <f>IF(ISBLANK(CleanedSalesData[[#This Row],[Quantity]]), TRUE, FALSE)</f>
        <v>0</v>
      </c>
      <c r="T311" t="b">
        <f>IF(ISBLANK(CleanedSalesData[[#This Row],[Order Date]]), TRUE, FALSE)</f>
        <v>0</v>
      </c>
      <c r="U311" t="b">
        <f>IF(ISBLANK(CleanedSalesData[[#This Row],[Revenue]]), TRUE, FALSE)</f>
        <v>0</v>
      </c>
      <c r="V311" t="b">
        <f>IF(OR(CleanedSalesData[[#This Row],[Order Status]]="Cancelled", CleanedSalesData[[#This Row],[Order Status]]="Returned"), TRUE, FALSE)</f>
        <v>1</v>
      </c>
      <c r="W311" t="str" cm="1">
        <f t="array" ref="W31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12" spans="1:23" x14ac:dyDescent="0.35">
      <c r="A312" t="s">
        <v>437</v>
      </c>
      <c r="B312" s="7">
        <v>46045</v>
      </c>
      <c r="C312" t="s">
        <v>948</v>
      </c>
      <c r="D312">
        <v>1</v>
      </c>
      <c r="E312" t="s">
        <v>69</v>
      </c>
      <c r="F312" t="s">
        <v>47</v>
      </c>
      <c r="G312" t="s">
        <v>48</v>
      </c>
      <c r="H312" t="s">
        <v>33</v>
      </c>
      <c r="I312" t="s">
        <v>71</v>
      </c>
      <c r="J312" t="s">
        <v>72</v>
      </c>
      <c r="K312" t="s">
        <v>73</v>
      </c>
      <c r="L312">
        <v>3</v>
      </c>
      <c r="M312" s="10">
        <v>0.08</v>
      </c>
      <c r="N312" s="11">
        <v>345000</v>
      </c>
      <c r="O312" s="11">
        <v>210000</v>
      </c>
      <c r="P312" s="11">
        <v>135000</v>
      </c>
      <c r="Q312" t="s">
        <v>74</v>
      </c>
      <c r="R312" t="b">
        <f>COUNTIF($A$6     : CleanedSalesData[[#This Row],[Order ID]], CleanedSalesData[[#This Row],[Order ID]])&gt;1</f>
        <v>0</v>
      </c>
      <c r="S312" t="b">
        <f>IF(ISBLANK(CleanedSalesData[[#This Row],[Quantity]]), TRUE, FALSE)</f>
        <v>0</v>
      </c>
      <c r="T312" t="b">
        <f>IF(ISBLANK(CleanedSalesData[[#This Row],[Order Date]]), TRUE, FALSE)</f>
        <v>0</v>
      </c>
      <c r="U312" t="b">
        <f>IF(ISBLANK(CleanedSalesData[[#This Row],[Revenue]]), TRUE, FALSE)</f>
        <v>0</v>
      </c>
      <c r="V312" t="b">
        <f>IF(OR(CleanedSalesData[[#This Row],[Order Status]]="Cancelled", CleanedSalesData[[#This Row],[Order Status]]="Returned"), TRUE, FALSE)</f>
        <v>0</v>
      </c>
      <c r="W312" t="str" cm="1">
        <f t="array" ref="W31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3" spans="1:23" x14ac:dyDescent="0.35">
      <c r="A313" t="s">
        <v>438</v>
      </c>
      <c r="B313" s="7">
        <v>46045</v>
      </c>
      <c r="C313" t="s">
        <v>948</v>
      </c>
      <c r="D313">
        <v>1</v>
      </c>
      <c r="E313" t="s">
        <v>65</v>
      </c>
      <c r="F313" t="s">
        <v>47</v>
      </c>
      <c r="G313" t="s">
        <v>81</v>
      </c>
      <c r="H313" t="s">
        <v>33</v>
      </c>
      <c r="I313" t="s">
        <v>78</v>
      </c>
      <c r="J313" t="s">
        <v>79</v>
      </c>
      <c r="K313" t="s">
        <v>62</v>
      </c>
      <c r="L313">
        <v>6</v>
      </c>
      <c r="M313" s="10">
        <v>0.1</v>
      </c>
      <c r="N313" s="11">
        <v>459000</v>
      </c>
      <c r="O313" s="11">
        <v>258000</v>
      </c>
      <c r="P313" s="11">
        <v>201000</v>
      </c>
      <c r="Q313" t="s">
        <v>74</v>
      </c>
      <c r="R313" t="b">
        <f>COUNTIF($A$6     : CleanedSalesData[[#This Row],[Order ID]], CleanedSalesData[[#This Row],[Order ID]])&gt;1</f>
        <v>0</v>
      </c>
      <c r="S313" t="b">
        <f>IF(ISBLANK(CleanedSalesData[[#This Row],[Quantity]]), TRUE, FALSE)</f>
        <v>0</v>
      </c>
      <c r="T313" t="b">
        <f>IF(ISBLANK(CleanedSalesData[[#This Row],[Order Date]]), TRUE, FALSE)</f>
        <v>0</v>
      </c>
      <c r="U313" t="b">
        <f>IF(ISBLANK(CleanedSalesData[[#This Row],[Revenue]]), TRUE, FALSE)</f>
        <v>0</v>
      </c>
      <c r="V313" t="b">
        <f>IF(OR(CleanedSalesData[[#This Row],[Order Status]]="Cancelled", CleanedSalesData[[#This Row],[Order Status]]="Returned"), TRUE, FALSE)</f>
        <v>0</v>
      </c>
      <c r="W313" t="str" cm="1">
        <f t="array" ref="W31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4" spans="1:23" x14ac:dyDescent="0.35">
      <c r="A314" t="s">
        <v>439</v>
      </c>
      <c r="B314" s="7">
        <v>46097</v>
      </c>
      <c r="C314" t="s">
        <v>947</v>
      </c>
      <c r="D314">
        <v>3</v>
      </c>
      <c r="E314" t="s">
        <v>30</v>
      </c>
      <c r="F314" t="s">
        <v>47</v>
      </c>
      <c r="G314" t="s">
        <v>32</v>
      </c>
      <c r="H314" t="s">
        <v>33</v>
      </c>
      <c r="I314" t="s">
        <v>82</v>
      </c>
      <c r="J314" t="s">
        <v>83</v>
      </c>
      <c r="K314" t="s">
        <v>44</v>
      </c>
      <c r="L314">
        <v>7</v>
      </c>
      <c r="M314" s="10">
        <v>0.08</v>
      </c>
      <c r="N314" s="11">
        <v>9338000</v>
      </c>
      <c r="O314" s="11">
        <v>6860000</v>
      </c>
      <c r="P314" s="11">
        <v>2478000</v>
      </c>
      <c r="Q314" t="s">
        <v>93</v>
      </c>
      <c r="R314" t="b">
        <f>COUNTIF($A$6     : CleanedSalesData[[#This Row],[Order ID]], CleanedSalesData[[#This Row],[Order ID]])&gt;1</f>
        <v>0</v>
      </c>
      <c r="S314" t="b">
        <f>IF(ISBLANK(CleanedSalesData[[#This Row],[Quantity]]), TRUE, FALSE)</f>
        <v>0</v>
      </c>
      <c r="T314" t="b">
        <f>IF(ISBLANK(CleanedSalesData[[#This Row],[Order Date]]), TRUE, FALSE)</f>
        <v>0</v>
      </c>
      <c r="U314" t="b">
        <f>IF(ISBLANK(CleanedSalesData[[#This Row],[Revenue]]), TRUE, FALSE)</f>
        <v>0</v>
      </c>
      <c r="V314" t="b">
        <f>IF(OR(CleanedSalesData[[#This Row],[Order Status]]="Cancelled", CleanedSalesData[[#This Row],[Order Status]]="Returned"), TRUE, FALSE)</f>
        <v>0</v>
      </c>
      <c r="W314" t="str" cm="1">
        <f t="array" ref="W31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5" spans="1:23" x14ac:dyDescent="0.35">
      <c r="A315" t="s">
        <v>440</v>
      </c>
      <c r="B315" s="7">
        <v>46066</v>
      </c>
      <c r="C315" t="s">
        <v>944</v>
      </c>
      <c r="D315">
        <v>2</v>
      </c>
      <c r="E315" t="s">
        <v>69</v>
      </c>
      <c r="F315" t="s">
        <v>59</v>
      </c>
      <c r="G315" t="s">
        <v>32</v>
      </c>
      <c r="H315" t="s">
        <v>33</v>
      </c>
      <c r="I315" t="s">
        <v>86</v>
      </c>
      <c r="J315" t="s">
        <v>87</v>
      </c>
      <c r="K315" t="s">
        <v>36</v>
      </c>
      <c r="L315">
        <v>3</v>
      </c>
      <c r="M315" s="10">
        <v>0.05</v>
      </c>
      <c r="N315" s="11">
        <v>997500</v>
      </c>
      <c r="O315" s="11">
        <v>630000</v>
      </c>
      <c r="P315" s="11">
        <v>367500</v>
      </c>
      <c r="Q315" t="s">
        <v>84</v>
      </c>
      <c r="R315" t="b">
        <f>COUNTIF($A$6     : CleanedSalesData[[#This Row],[Order ID]], CleanedSalesData[[#This Row],[Order ID]])&gt;1</f>
        <v>0</v>
      </c>
      <c r="S315" t="b">
        <f>IF(ISBLANK(CleanedSalesData[[#This Row],[Quantity]]), TRUE, FALSE)</f>
        <v>0</v>
      </c>
      <c r="T315" t="b">
        <f>IF(ISBLANK(CleanedSalesData[[#This Row],[Order Date]]), TRUE, FALSE)</f>
        <v>0</v>
      </c>
      <c r="U315" t="b">
        <f>IF(ISBLANK(CleanedSalesData[[#This Row],[Revenue]]), TRUE, FALSE)</f>
        <v>0</v>
      </c>
      <c r="V315" t="b">
        <f>IF(OR(CleanedSalesData[[#This Row],[Order Status]]="Cancelled", CleanedSalesData[[#This Row],[Order Status]]="Returned"), TRUE, FALSE)</f>
        <v>0</v>
      </c>
      <c r="W315" t="str" cm="1">
        <f t="array" ref="W31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6" spans="1:23" x14ac:dyDescent="0.35">
      <c r="A316" t="s">
        <v>441</v>
      </c>
      <c r="B316" s="7">
        <v>46134</v>
      </c>
      <c r="C316" t="s">
        <v>949</v>
      </c>
      <c r="D316">
        <v>4</v>
      </c>
      <c r="E316" t="s">
        <v>76</v>
      </c>
      <c r="F316" t="s">
        <v>40</v>
      </c>
      <c r="G316" t="s">
        <v>81</v>
      </c>
      <c r="H316" t="s">
        <v>33</v>
      </c>
      <c r="I316" t="s">
        <v>34</v>
      </c>
      <c r="J316" t="s">
        <v>35</v>
      </c>
      <c r="K316" t="s">
        <v>36</v>
      </c>
      <c r="L316">
        <v>5</v>
      </c>
      <c r="M316" s="10">
        <v>0.08</v>
      </c>
      <c r="N316" s="11">
        <v>2185000</v>
      </c>
      <c r="O316" s="11">
        <v>1425000</v>
      </c>
      <c r="P316" s="11">
        <v>760000</v>
      </c>
      <c r="Q316" t="s">
        <v>45</v>
      </c>
      <c r="R316" t="b">
        <f>COUNTIF($A$6     : CleanedSalesData[[#This Row],[Order ID]], CleanedSalesData[[#This Row],[Order ID]])&gt;1</f>
        <v>0</v>
      </c>
      <c r="S316" t="b">
        <f>IF(ISBLANK(CleanedSalesData[[#This Row],[Quantity]]), TRUE, FALSE)</f>
        <v>0</v>
      </c>
      <c r="T316" t="b">
        <f>IF(ISBLANK(CleanedSalesData[[#This Row],[Order Date]]), TRUE, FALSE)</f>
        <v>0</v>
      </c>
      <c r="U316" t="b">
        <f>IF(ISBLANK(CleanedSalesData[[#This Row],[Revenue]]), TRUE, FALSE)</f>
        <v>0</v>
      </c>
      <c r="V316" t="b">
        <f>IF(OR(CleanedSalesData[[#This Row],[Order Status]]="Cancelled", CleanedSalesData[[#This Row],[Order Status]]="Returned"), TRUE, FALSE)</f>
        <v>0</v>
      </c>
      <c r="W316" t="str" cm="1">
        <f t="array" ref="W31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7" spans="1:23" x14ac:dyDescent="0.35">
      <c r="A317" t="s">
        <v>442</v>
      </c>
      <c r="B317" s="7">
        <v>46183</v>
      </c>
      <c r="C317" t="s">
        <v>945</v>
      </c>
      <c r="D317">
        <v>6</v>
      </c>
      <c r="E317" t="s">
        <v>30</v>
      </c>
      <c r="F317" t="s">
        <v>59</v>
      </c>
      <c r="G317" t="s">
        <v>41</v>
      </c>
      <c r="H317" t="s">
        <v>33</v>
      </c>
      <c r="I317" t="s">
        <v>42</v>
      </c>
      <c r="J317" t="s">
        <v>43</v>
      </c>
      <c r="K317" t="s">
        <v>44</v>
      </c>
      <c r="L317">
        <v>8</v>
      </c>
      <c r="M317" s="10">
        <v>0.1</v>
      </c>
      <c r="N317" s="11">
        <v>1980000</v>
      </c>
      <c r="O317" s="11">
        <v>1240000</v>
      </c>
      <c r="P317" s="11">
        <v>740000</v>
      </c>
      <c r="Q317" t="s">
        <v>57</v>
      </c>
      <c r="R317" t="b">
        <f>COUNTIF($A$6     : CleanedSalesData[[#This Row],[Order ID]], CleanedSalesData[[#This Row],[Order ID]])&gt;1</f>
        <v>0</v>
      </c>
      <c r="S317" t="b">
        <f>IF(ISBLANK(CleanedSalesData[[#This Row],[Quantity]]), TRUE, FALSE)</f>
        <v>0</v>
      </c>
      <c r="T317" t="b">
        <f>IF(ISBLANK(CleanedSalesData[[#This Row],[Order Date]]), TRUE, FALSE)</f>
        <v>0</v>
      </c>
      <c r="U317" t="b">
        <f>IF(ISBLANK(CleanedSalesData[[#This Row],[Revenue]]), TRUE, FALSE)</f>
        <v>0</v>
      </c>
      <c r="V317" t="b">
        <f>IF(OR(CleanedSalesData[[#This Row],[Order Status]]="Cancelled", CleanedSalesData[[#This Row],[Order Status]]="Returned"), TRUE, FALSE)</f>
        <v>0</v>
      </c>
      <c r="W317" t="str" cm="1">
        <f t="array" ref="W31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8" spans="1:23" x14ac:dyDescent="0.35">
      <c r="A318" t="s">
        <v>443</v>
      </c>
      <c r="B318" s="7">
        <v>46024</v>
      </c>
      <c r="C318" t="s">
        <v>948</v>
      </c>
      <c r="D318">
        <v>1</v>
      </c>
      <c r="E318" t="s">
        <v>111</v>
      </c>
      <c r="F318" t="s">
        <v>59</v>
      </c>
      <c r="G318" t="s">
        <v>81</v>
      </c>
      <c r="H318" t="s">
        <v>90</v>
      </c>
      <c r="I318" t="s">
        <v>49</v>
      </c>
      <c r="J318" t="s">
        <v>50</v>
      </c>
      <c r="K318" t="s">
        <v>51</v>
      </c>
      <c r="L318">
        <v>7</v>
      </c>
      <c r="M318" s="10">
        <v>0.05</v>
      </c>
      <c r="N318" s="11">
        <v>1629250</v>
      </c>
      <c r="O318" s="11">
        <v>1015000</v>
      </c>
      <c r="P318" s="11">
        <v>614250</v>
      </c>
      <c r="Q318" t="s">
        <v>63</v>
      </c>
      <c r="R318" t="b">
        <f>COUNTIF($A$6     : CleanedSalesData[[#This Row],[Order ID]], CleanedSalesData[[#This Row],[Order ID]])&gt;1</f>
        <v>0</v>
      </c>
      <c r="S318" t="b">
        <f>IF(ISBLANK(CleanedSalesData[[#This Row],[Quantity]]), TRUE, FALSE)</f>
        <v>0</v>
      </c>
      <c r="T318" t="b">
        <f>IF(ISBLANK(CleanedSalesData[[#This Row],[Order Date]]), TRUE, FALSE)</f>
        <v>0</v>
      </c>
      <c r="U318" t="b">
        <f>IF(ISBLANK(CleanedSalesData[[#This Row],[Revenue]]), TRUE, FALSE)</f>
        <v>0</v>
      </c>
      <c r="V318" t="b">
        <f>IF(OR(CleanedSalesData[[#This Row],[Order Status]]="Cancelled", CleanedSalesData[[#This Row],[Order Status]]="Returned"), TRUE, FALSE)</f>
        <v>0</v>
      </c>
      <c r="W318" t="str" cm="1">
        <f t="array" ref="W31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19" spans="1:23" x14ac:dyDescent="0.35">
      <c r="A319" t="s">
        <v>444</v>
      </c>
      <c r="B319" s="7">
        <v>46133</v>
      </c>
      <c r="C319" t="s">
        <v>949</v>
      </c>
      <c r="D319">
        <v>4</v>
      </c>
      <c r="E319" t="s">
        <v>54</v>
      </c>
      <c r="F319" t="s">
        <v>31</v>
      </c>
      <c r="G319" t="s">
        <v>48</v>
      </c>
      <c r="H319" t="s">
        <v>33</v>
      </c>
      <c r="I319" t="s">
        <v>55</v>
      </c>
      <c r="J319" t="s">
        <v>56</v>
      </c>
      <c r="K319" t="s">
        <v>36</v>
      </c>
      <c r="L319">
        <v>3</v>
      </c>
      <c r="M319" s="10">
        <v>0.05</v>
      </c>
      <c r="N319" s="11">
        <v>5272500</v>
      </c>
      <c r="O319" s="11">
        <v>3960000</v>
      </c>
      <c r="P319" s="11">
        <v>1312500</v>
      </c>
      <c r="Q319" t="s">
        <v>84</v>
      </c>
      <c r="R319" t="b">
        <f>COUNTIF($A$6     : CleanedSalesData[[#This Row],[Order ID]], CleanedSalesData[[#This Row],[Order ID]])&gt;1</f>
        <v>0</v>
      </c>
      <c r="S319" t="b">
        <f>IF(ISBLANK(CleanedSalesData[[#This Row],[Quantity]]), TRUE, FALSE)</f>
        <v>0</v>
      </c>
      <c r="T319" t="b">
        <f>IF(ISBLANK(CleanedSalesData[[#This Row],[Order Date]]), TRUE, FALSE)</f>
        <v>0</v>
      </c>
      <c r="U319" t="b">
        <f>IF(ISBLANK(CleanedSalesData[[#This Row],[Revenue]]), TRUE, FALSE)</f>
        <v>0</v>
      </c>
      <c r="V319" t="b">
        <f>IF(OR(CleanedSalesData[[#This Row],[Order Status]]="Cancelled", CleanedSalesData[[#This Row],[Order Status]]="Returned"), TRUE, FALSE)</f>
        <v>0</v>
      </c>
      <c r="W319" t="str" cm="1">
        <f t="array" ref="W31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0" spans="1:23" x14ac:dyDescent="0.35">
      <c r="A320" t="s">
        <v>445</v>
      </c>
      <c r="B320" s="7">
        <v>46124</v>
      </c>
      <c r="C320" t="s">
        <v>949</v>
      </c>
      <c r="D320">
        <v>4</v>
      </c>
      <c r="E320" t="s">
        <v>54</v>
      </c>
      <c r="F320" t="s">
        <v>59</v>
      </c>
      <c r="G320" t="s">
        <v>32</v>
      </c>
      <c r="H320" t="s">
        <v>33</v>
      </c>
      <c r="I320" t="s">
        <v>60</v>
      </c>
      <c r="J320" t="s">
        <v>61</v>
      </c>
      <c r="K320" t="s">
        <v>62</v>
      </c>
      <c r="L320">
        <v>6</v>
      </c>
      <c r="M320" s="10">
        <v>0.05</v>
      </c>
      <c r="N320" s="11">
        <v>370500</v>
      </c>
      <c r="O320" s="11">
        <v>186000</v>
      </c>
      <c r="P320" s="11">
        <v>184500</v>
      </c>
      <c r="Q320" t="s">
        <v>93</v>
      </c>
      <c r="R320" t="b">
        <f>COUNTIF($A$6     : CleanedSalesData[[#This Row],[Order ID]], CleanedSalesData[[#This Row],[Order ID]])&gt;1</f>
        <v>0</v>
      </c>
      <c r="S320" t="b">
        <f>IF(ISBLANK(CleanedSalesData[[#This Row],[Quantity]]), TRUE, FALSE)</f>
        <v>0</v>
      </c>
      <c r="T320" t="b">
        <f>IF(ISBLANK(CleanedSalesData[[#This Row],[Order Date]]), TRUE, FALSE)</f>
        <v>0</v>
      </c>
      <c r="U320" t="b">
        <f>IF(ISBLANK(CleanedSalesData[[#This Row],[Revenue]]), TRUE, FALSE)</f>
        <v>0</v>
      </c>
      <c r="V320" t="b">
        <f>IF(OR(CleanedSalesData[[#This Row],[Order Status]]="Cancelled", CleanedSalesData[[#This Row],[Order Status]]="Returned"), TRUE, FALSE)</f>
        <v>0</v>
      </c>
      <c r="W320" t="str" cm="1">
        <f t="array" ref="W32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1" spans="1:23" x14ac:dyDescent="0.35">
      <c r="A321" t="s">
        <v>446</v>
      </c>
      <c r="B321" s="7">
        <v>46094</v>
      </c>
      <c r="C321" t="s">
        <v>947</v>
      </c>
      <c r="D321">
        <v>3</v>
      </c>
      <c r="E321" t="s">
        <v>30</v>
      </c>
      <c r="F321" t="s">
        <v>47</v>
      </c>
      <c r="G321" t="s">
        <v>32</v>
      </c>
      <c r="H321" t="s">
        <v>33</v>
      </c>
      <c r="I321" t="s">
        <v>66</v>
      </c>
      <c r="J321" t="s">
        <v>67</v>
      </c>
      <c r="K321" t="s">
        <v>51</v>
      </c>
      <c r="L321">
        <v>7</v>
      </c>
      <c r="M321" s="10">
        <v>0.05</v>
      </c>
      <c r="N321" s="11">
        <v>2061500</v>
      </c>
      <c r="O321" s="11">
        <v>1330000</v>
      </c>
      <c r="P321" s="11">
        <v>731500</v>
      </c>
      <c r="Q321" t="s">
        <v>74</v>
      </c>
      <c r="R321" t="b">
        <f>COUNTIF($A$6     : CleanedSalesData[[#This Row],[Order ID]], CleanedSalesData[[#This Row],[Order ID]])&gt;1</f>
        <v>0</v>
      </c>
      <c r="S321" t="b">
        <f>IF(ISBLANK(CleanedSalesData[[#This Row],[Quantity]]), TRUE, FALSE)</f>
        <v>0</v>
      </c>
      <c r="T321" t="b">
        <f>IF(ISBLANK(CleanedSalesData[[#This Row],[Order Date]]), TRUE, FALSE)</f>
        <v>0</v>
      </c>
      <c r="U321" t="b">
        <f>IF(ISBLANK(CleanedSalesData[[#This Row],[Revenue]]), TRUE, FALSE)</f>
        <v>0</v>
      </c>
      <c r="V321" t="b">
        <f>IF(OR(CleanedSalesData[[#This Row],[Order Status]]="Cancelled", CleanedSalesData[[#This Row],[Order Status]]="Returned"), TRUE, FALSE)</f>
        <v>0</v>
      </c>
      <c r="W321" t="str" cm="1">
        <f t="array" ref="W32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2" spans="1:23" x14ac:dyDescent="0.35">
      <c r="A322" t="s">
        <v>447</v>
      </c>
      <c r="B322" s="7">
        <v>46141</v>
      </c>
      <c r="C322" t="s">
        <v>949</v>
      </c>
      <c r="D322">
        <v>4</v>
      </c>
      <c r="E322" t="s">
        <v>111</v>
      </c>
      <c r="F322" t="s">
        <v>40</v>
      </c>
      <c r="G322" t="s">
        <v>48</v>
      </c>
      <c r="H322" t="s">
        <v>90</v>
      </c>
      <c r="I322" t="s">
        <v>71</v>
      </c>
      <c r="J322" t="s">
        <v>72</v>
      </c>
      <c r="K322" t="s">
        <v>73</v>
      </c>
      <c r="L322">
        <v>4</v>
      </c>
      <c r="M322" s="10">
        <v>0.08</v>
      </c>
      <c r="N322" s="11">
        <v>460000</v>
      </c>
      <c r="O322" s="11">
        <v>280000</v>
      </c>
      <c r="P322" s="11">
        <v>180000</v>
      </c>
      <c r="Q322" t="s">
        <v>84</v>
      </c>
      <c r="R322" t="b">
        <f>COUNTIF($A$6     : CleanedSalesData[[#This Row],[Order ID]], CleanedSalesData[[#This Row],[Order ID]])&gt;1</f>
        <v>0</v>
      </c>
      <c r="S322" t="b">
        <f>IF(ISBLANK(CleanedSalesData[[#This Row],[Quantity]]), TRUE, FALSE)</f>
        <v>0</v>
      </c>
      <c r="T322" t="b">
        <f>IF(ISBLANK(CleanedSalesData[[#This Row],[Order Date]]), TRUE, FALSE)</f>
        <v>0</v>
      </c>
      <c r="U322" t="b">
        <f>IF(ISBLANK(CleanedSalesData[[#This Row],[Revenue]]), TRUE, FALSE)</f>
        <v>0</v>
      </c>
      <c r="V322" t="b">
        <f>IF(OR(CleanedSalesData[[#This Row],[Order Status]]="Cancelled", CleanedSalesData[[#This Row],[Order Status]]="Returned"), TRUE, FALSE)</f>
        <v>0</v>
      </c>
      <c r="W322" t="str" cm="1">
        <f t="array" ref="W32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3" spans="1:23" x14ac:dyDescent="0.35">
      <c r="A323" t="s">
        <v>448</v>
      </c>
      <c r="B323" s="7">
        <v>46185</v>
      </c>
      <c r="C323" t="s">
        <v>945</v>
      </c>
      <c r="D323">
        <v>6</v>
      </c>
      <c r="E323" t="s">
        <v>65</v>
      </c>
      <c r="F323" t="s">
        <v>31</v>
      </c>
      <c r="G323" t="s">
        <v>48</v>
      </c>
      <c r="H323" t="s">
        <v>33</v>
      </c>
      <c r="I323" t="s">
        <v>78</v>
      </c>
      <c r="J323" t="s">
        <v>79</v>
      </c>
      <c r="K323" t="s">
        <v>62</v>
      </c>
      <c r="L323">
        <v>5</v>
      </c>
      <c r="M323" s="10">
        <v>0.03</v>
      </c>
      <c r="N323" s="11">
        <v>412250</v>
      </c>
      <c r="O323" s="11">
        <v>215000</v>
      </c>
      <c r="P323" s="11">
        <v>197250</v>
      </c>
      <c r="Q323" t="s">
        <v>37</v>
      </c>
      <c r="R323" t="b">
        <f>COUNTIF($A$6     : CleanedSalesData[[#This Row],[Order ID]], CleanedSalesData[[#This Row],[Order ID]])&gt;1</f>
        <v>0</v>
      </c>
      <c r="S323" t="b">
        <f>IF(ISBLANK(CleanedSalesData[[#This Row],[Quantity]]), TRUE, FALSE)</f>
        <v>0</v>
      </c>
      <c r="T323" t="b">
        <f>IF(ISBLANK(CleanedSalesData[[#This Row],[Order Date]]), TRUE, FALSE)</f>
        <v>0</v>
      </c>
      <c r="U323" t="b">
        <f>IF(ISBLANK(CleanedSalesData[[#This Row],[Revenue]]), TRUE, FALSE)</f>
        <v>0</v>
      </c>
      <c r="V323" t="b">
        <f>IF(OR(CleanedSalesData[[#This Row],[Order Status]]="Cancelled", CleanedSalesData[[#This Row],[Order Status]]="Returned"), TRUE, FALSE)</f>
        <v>0</v>
      </c>
      <c r="W323" t="str" cm="1">
        <f t="array" ref="W32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4" spans="1:23" x14ac:dyDescent="0.35">
      <c r="A324" t="s">
        <v>449</v>
      </c>
      <c r="B324" s="7">
        <v>46137</v>
      </c>
      <c r="C324" t="s">
        <v>949</v>
      </c>
      <c r="D324">
        <v>4</v>
      </c>
      <c r="E324" t="s">
        <v>95</v>
      </c>
      <c r="F324" t="s">
        <v>47</v>
      </c>
      <c r="G324" t="s">
        <v>48</v>
      </c>
      <c r="H324" t="s">
        <v>33</v>
      </c>
      <c r="I324" t="s">
        <v>82</v>
      </c>
      <c r="J324" t="s">
        <v>83</v>
      </c>
      <c r="K324" t="s">
        <v>44</v>
      </c>
      <c r="L324">
        <v>8</v>
      </c>
      <c r="M324" s="10">
        <v>0.1</v>
      </c>
      <c r="N324" s="11">
        <v>10440000</v>
      </c>
      <c r="O324" s="11">
        <v>7840000</v>
      </c>
      <c r="P324" s="11">
        <v>2600000</v>
      </c>
      <c r="Q324" t="s">
        <v>63</v>
      </c>
      <c r="R324" t="b">
        <f>COUNTIF($A$6     : CleanedSalesData[[#This Row],[Order ID]], CleanedSalesData[[#This Row],[Order ID]])&gt;1</f>
        <v>0</v>
      </c>
      <c r="S324" t="b">
        <f>IF(ISBLANK(CleanedSalesData[[#This Row],[Quantity]]), TRUE, FALSE)</f>
        <v>0</v>
      </c>
      <c r="T324" t="b">
        <f>IF(ISBLANK(CleanedSalesData[[#This Row],[Order Date]]), TRUE, FALSE)</f>
        <v>0</v>
      </c>
      <c r="U324" t="b">
        <f>IF(ISBLANK(CleanedSalesData[[#This Row],[Revenue]]), TRUE, FALSE)</f>
        <v>0</v>
      </c>
      <c r="V324" t="b">
        <f>IF(OR(CleanedSalesData[[#This Row],[Order Status]]="Cancelled", CleanedSalesData[[#This Row],[Order Status]]="Returned"), TRUE, FALSE)</f>
        <v>0</v>
      </c>
      <c r="W324" t="str" cm="1">
        <f t="array" ref="W32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5" spans="1:23" x14ac:dyDescent="0.35">
      <c r="A325" t="s">
        <v>450</v>
      </c>
      <c r="B325" s="7">
        <v>46202</v>
      </c>
      <c r="C325" t="s">
        <v>945</v>
      </c>
      <c r="D325">
        <v>6</v>
      </c>
      <c r="E325" t="s">
        <v>95</v>
      </c>
      <c r="F325" t="s">
        <v>70</v>
      </c>
      <c r="G325" t="s">
        <v>32</v>
      </c>
      <c r="H325" t="s">
        <v>33</v>
      </c>
      <c r="I325" t="s">
        <v>86</v>
      </c>
      <c r="J325" t="s">
        <v>87</v>
      </c>
      <c r="K325" t="s">
        <v>36</v>
      </c>
      <c r="L325">
        <v>2</v>
      </c>
      <c r="M325" s="10">
        <v>0</v>
      </c>
      <c r="N325" s="11">
        <v>700000</v>
      </c>
      <c r="O325" s="11">
        <v>420000</v>
      </c>
      <c r="P325" s="11">
        <v>280000</v>
      </c>
      <c r="Q325" t="s">
        <v>93</v>
      </c>
      <c r="R325" t="b">
        <f>COUNTIF($A$6     : CleanedSalesData[[#This Row],[Order ID]], CleanedSalesData[[#This Row],[Order ID]])&gt;1</f>
        <v>0</v>
      </c>
      <c r="S325" t="b">
        <f>IF(ISBLANK(CleanedSalesData[[#This Row],[Quantity]]), TRUE, FALSE)</f>
        <v>0</v>
      </c>
      <c r="T325" t="b">
        <f>IF(ISBLANK(CleanedSalesData[[#This Row],[Order Date]]), TRUE, FALSE)</f>
        <v>0</v>
      </c>
      <c r="U325" t="b">
        <f>IF(ISBLANK(CleanedSalesData[[#This Row],[Revenue]]), TRUE, FALSE)</f>
        <v>0</v>
      </c>
      <c r="V325" t="b">
        <f>IF(OR(CleanedSalesData[[#This Row],[Order Status]]="Cancelled", CleanedSalesData[[#This Row],[Order Status]]="Returned"), TRUE, FALSE)</f>
        <v>0</v>
      </c>
      <c r="W325" t="str" cm="1">
        <f t="array" ref="W32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6" spans="1:23" x14ac:dyDescent="0.35">
      <c r="A326" t="s">
        <v>451</v>
      </c>
      <c r="B326" s="7">
        <v>46107</v>
      </c>
      <c r="C326" t="s">
        <v>947</v>
      </c>
      <c r="D326">
        <v>3</v>
      </c>
      <c r="E326" t="s">
        <v>39</v>
      </c>
      <c r="F326" t="s">
        <v>70</v>
      </c>
      <c r="G326" t="s">
        <v>32</v>
      </c>
      <c r="H326" t="s">
        <v>33</v>
      </c>
      <c r="I326" t="s">
        <v>34</v>
      </c>
      <c r="J326" t="s">
        <v>35</v>
      </c>
      <c r="K326" t="s">
        <v>36</v>
      </c>
      <c r="L326">
        <v>7</v>
      </c>
      <c r="M326" s="10">
        <v>0</v>
      </c>
      <c r="N326" s="11">
        <v>3325000</v>
      </c>
      <c r="O326" s="11">
        <v>1995000</v>
      </c>
      <c r="P326" s="11">
        <v>1330000</v>
      </c>
      <c r="Q326" t="s">
        <v>52</v>
      </c>
      <c r="R326" t="b">
        <f>COUNTIF($A$6     : CleanedSalesData[[#This Row],[Order ID]], CleanedSalesData[[#This Row],[Order ID]])&gt;1</f>
        <v>0</v>
      </c>
      <c r="S326" t="b">
        <f>IF(ISBLANK(CleanedSalesData[[#This Row],[Quantity]]), TRUE, FALSE)</f>
        <v>0</v>
      </c>
      <c r="T326" t="b">
        <f>IF(ISBLANK(CleanedSalesData[[#This Row],[Order Date]]), TRUE, FALSE)</f>
        <v>0</v>
      </c>
      <c r="U326" t="b">
        <f>IF(ISBLANK(CleanedSalesData[[#This Row],[Revenue]]), TRUE, FALSE)</f>
        <v>0</v>
      </c>
      <c r="V326" t="b">
        <f>IF(OR(CleanedSalesData[[#This Row],[Order Status]]="Cancelled", CleanedSalesData[[#This Row],[Order Status]]="Returned"), TRUE, FALSE)</f>
        <v>0</v>
      </c>
      <c r="W326" t="str" cm="1">
        <f t="array" ref="W32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7" spans="1:23" x14ac:dyDescent="0.35">
      <c r="A327" t="s">
        <v>452</v>
      </c>
      <c r="B327" s="7">
        <v>46118</v>
      </c>
      <c r="C327" t="s">
        <v>949</v>
      </c>
      <c r="D327">
        <v>4</v>
      </c>
      <c r="E327" t="s">
        <v>54</v>
      </c>
      <c r="F327" t="s">
        <v>47</v>
      </c>
      <c r="G327" t="s">
        <v>32</v>
      </c>
      <c r="H327" t="s">
        <v>33</v>
      </c>
      <c r="I327" t="s">
        <v>42</v>
      </c>
      <c r="J327" t="s">
        <v>43</v>
      </c>
      <c r="K327" t="s">
        <v>44</v>
      </c>
      <c r="L327">
        <v>7</v>
      </c>
      <c r="M327" s="10">
        <v>0.08</v>
      </c>
      <c r="N327" s="11">
        <v>1771000</v>
      </c>
      <c r="O327" s="11">
        <v>1085000</v>
      </c>
      <c r="P327" s="11">
        <v>686000</v>
      </c>
      <c r="Q327" t="s">
        <v>74</v>
      </c>
      <c r="R327" t="b">
        <f>COUNTIF($A$6     : CleanedSalesData[[#This Row],[Order ID]], CleanedSalesData[[#This Row],[Order ID]])&gt;1</f>
        <v>0</v>
      </c>
      <c r="S327" t="b">
        <f>IF(ISBLANK(CleanedSalesData[[#This Row],[Quantity]]), TRUE, FALSE)</f>
        <v>0</v>
      </c>
      <c r="T327" t="b">
        <f>IF(ISBLANK(CleanedSalesData[[#This Row],[Order Date]]), TRUE, FALSE)</f>
        <v>0</v>
      </c>
      <c r="U327" t="b">
        <f>IF(ISBLANK(CleanedSalesData[[#This Row],[Revenue]]), TRUE, FALSE)</f>
        <v>0</v>
      </c>
      <c r="V327" t="b">
        <f>IF(OR(CleanedSalesData[[#This Row],[Order Status]]="Cancelled", CleanedSalesData[[#This Row],[Order Status]]="Returned"), TRUE, FALSE)</f>
        <v>0</v>
      </c>
      <c r="W327" t="str" cm="1">
        <f t="array" ref="W32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8" spans="1:23" x14ac:dyDescent="0.35">
      <c r="A328" t="s">
        <v>453</v>
      </c>
      <c r="B328" s="7">
        <v>46146</v>
      </c>
      <c r="C328" t="s">
        <v>946</v>
      </c>
      <c r="D328">
        <v>5</v>
      </c>
      <c r="E328" t="s">
        <v>30</v>
      </c>
      <c r="F328" t="s">
        <v>40</v>
      </c>
      <c r="G328" t="s">
        <v>41</v>
      </c>
      <c r="H328" t="s">
        <v>33</v>
      </c>
      <c r="I328" t="s">
        <v>49</v>
      </c>
      <c r="J328" t="s">
        <v>50</v>
      </c>
      <c r="K328" t="s">
        <v>51</v>
      </c>
      <c r="L328">
        <v>2</v>
      </c>
      <c r="M328" s="10">
        <v>0.05</v>
      </c>
      <c r="N328" s="11">
        <v>465500</v>
      </c>
      <c r="O328" s="11">
        <v>290000</v>
      </c>
      <c r="P328" s="11">
        <v>175500</v>
      </c>
      <c r="Q328" t="s">
        <v>63</v>
      </c>
      <c r="R328" t="b">
        <f>COUNTIF($A$6     : CleanedSalesData[[#This Row],[Order ID]], CleanedSalesData[[#This Row],[Order ID]])&gt;1</f>
        <v>0</v>
      </c>
      <c r="S328" t="b">
        <f>IF(ISBLANK(CleanedSalesData[[#This Row],[Quantity]]), TRUE, FALSE)</f>
        <v>0</v>
      </c>
      <c r="T328" t="b">
        <f>IF(ISBLANK(CleanedSalesData[[#This Row],[Order Date]]), TRUE, FALSE)</f>
        <v>0</v>
      </c>
      <c r="U328" t="b">
        <f>IF(ISBLANK(CleanedSalesData[[#This Row],[Revenue]]), TRUE, FALSE)</f>
        <v>0</v>
      </c>
      <c r="V328" t="b">
        <f>IF(OR(CleanedSalesData[[#This Row],[Order Status]]="Cancelled", CleanedSalesData[[#This Row],[Order Status]]="Returned"), TRUE, FALSE)</f>
        <v>0</v>
      </c>
      <c r="W328" t="str" cm="1">
        <f t="array" ref="W32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29" spans="1:23" x14ac:dyDescent="0.35">
      <c r="A329" t="s">
        <v>454</v>
      </c>
      <c r="B329" s="7">
        <v>46102</v>
      </c>
      <c r="C329" t="s">
        <v>947</v>
      </c>
      <c r="D329">
        <v>3</v>
      </c>
      <c r="E329" t="s">
        <v>54</v>
      </c>
      <c r="F329" t="s">
        <v>47</v>
      </c>
      <c r="G329" t="s">
        <v>48</v>
      </c>
      <c r="H329" t="s">
        <v>90</v>
      </c>
      <c r="I329" t="s">
        <v>55</v>
      </c>
      <c r="J329" t="s">
        <v>56</v>
      </c>
      <c r="K329" t="s">
        <v>36</v>
      </c>
      <c r="L329">
        <v>6</v>
      </c>
      <c r="M329" s="10">
        <v>0.08</v>
      </c>
      <c r="N329" s="11">
        <v>10212000</v>
      </c>
      <c r="O329" s="11">
        <v>7920000</v>
      </c>
      <c r="P329" s="11">
        <v>2292000</v>
      </c>
      <c r="Q329" t="s">
        <v>52</v>
      </c>
      <c r="R329" t="b">
        <f>COUNTIF($A$6     : CleanedSalesData[[#This Row],[Order ID]], CleanedSalesData[[#This Row],[Order ID]])&gt;1</f>
        <v>0</v>
      </c>
      <c r="S329" t="b">
        <f>IF(ISBLANK(CleanedSalesData[[#This Row],[Quantity]]), TRUE, FALSE)</f>
        <v>0</v>
      </c>
      <c r="T329" t="b">
        <f>IF(ISBLANK(CleanedSalesData[[#This Row],[Order Date]]), TRUE, FALSE)</f>
        <v>0</v>
      </c>
      <c r="U329" t="b">
        <f>IF(ISBLANK(CleanedSalesData[[#This Row],[Revenue]]), TRUE, FALSE)</f>
        <v>0</v>
      </c>
      <c r="V329" t="b">
        <f>IF(OR(CleanedSalesData[[#This Row],[Order Status]]="Cancelled", CleanedSalesData[[#This Row],[Order Status]]="Returned"), TRUE, FALSE)</f>
        <v>0</v>
      </c>
      <c r="W329" t="str" cm="1">
        <f t="array" ref="W32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0" spans="1:23" x14ac:dyDescent="0.35">
      <c r="A330" t="s">
        <v>455</v>
      </c>
      <c r="B330" s="7">
        <v>46047</v>
      </c>
      <c r="C330" t="s">
        <v>948</v>
      </c>
      <c r="D330">
        <v>1</v>
      </c>
      <c r="E330" t="s">
        <v>76</v>
      </c>
      <c r="F330" t="s">
        <v>70</v>
      </c>
      <c r="G330" t="s">
        <v>41</v>
      </c>
      <c r="H330" t="s">
        <v>33</v>
      </c>
      <c r="I330" t="s">
        <v>60</v>
      </c>
      <c r="J330" t="s">
        <v>61</v>
      </c>
      <c r="K330" t="s">
        <v>62</v>
      </c>
      <c r="L330">
        <v>8</v>
      </c>
      <c r="M330" s="10">
        <v>0.15</v>
      </c>
      <c r="N330" s="11">
        <v>442000</v>
      </c>
      <c r="O330" s="11">
        <v>248000</v>
      </c>
      <c r="P330" s="11">
        <v>194000</v>
      </c>
      <c r="Q330" t="s">
        <v>74</v>
      </c>
      <c r="R330" t="b">
        <f>COUNTIF($A$6     : CleanedSalesData[[#This Row],[Order ID]], CleanedSalesData[[#This Row],[Order ID]])&gt;1</f>
        <v>0</v>
      </c>
      <c r="S330" t="b">
        <f>IF(ISBLANK(CleanedSalesData[[#This Row],[Quantity]]), TRUE, FALSE)</f>
        <v>0</v>
      </c>
      <c r="T330" t="b">
        <f>IF(ISBLANK(CleanedSalesData[[#This Row],[Order Date]]), TRUE, FALSE)</f>
        <v>0</v>
      </c>
      <c r="U330" t="b">
        <f>IF(ISBLANK(CleanedSalesData[[#This Row],[Revenue]]), TRUE, FALSE)</f>
        <v>0</v>
      </c>
      <c r="V330" t="b">
        <f>IF(OR(CleanedSalesData[[#This Row],[Order Status]]="Cancelled", CleanedSalesData[[#This Row],[Order Status]]="Returned"), TRUE, FALSE)</f>
        <v>0</v>
      </c>
      <c r="W330" t="str" cm="1">
        <f t="array" ref="W33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1" spans="1:23" x14ac:dyDescent="0.35">
      <c r="A331" t="s">
        <v>456</v>
      </c>
      <c r="B331" s="7">
        <v>46052</v>
      </c>
      <c r="C331" t="s">
        <v>948</v>
      </c>
      <c r="D331">
        <v>1</v>
      </c>
      <c r="E331" t="s">
        <v>30</v>
      </c>
      <c r="F331" t="s">
        <v>31</v>
      </c>
      <c r="G331" t="s">
        <v>32</v>
      </c>
      <c r="H331" t="s">
        <v>33</v>
      </c>
      <c r="I331" t="s">
        <v>66</v>
      </c>
      <c r="J331" t="s">
        <v>67</v>
      </c>
      <c r="K331" t="s">
        <v>51</v>
      </c>
      <c r="L331">
        <v>1</v>
      </c>
      <c r="M331" s="10">
        <v>0.05</v>
      </c>
      <c r="N331" s="11">
        <v>294500</v>
      </c>
      <c r="O331" s="11">
        <v>190000</v>
      </c>
      <c r="P331" s="11">
        <v>104500</v>
      </c>
      <c r="Q331" t="s">
        <v>84</v>
      </c>
      <c r="R331" t="b">
        <f>COUNTIF($A$6     : CleanedSalesData[[#This Row],[Order ID]], CleanedSalesData[[#This Row],[Order ID]])&gt;1</f>
        <v>0</v>
      </c>
      <c r="S331" t="b">
        <f>IF(ISBLANK(CleanedSalesData[[#This Row],[Quantity]]), TRUE, FALSE)</f>
        <v>0</v>
      </c>
      <c r="T331" t="b">
        <f>IF(ISBLANK(CleanedSalesData[[#This Row],[Order Date]]), TRUE, FALSE)</f>
        <v>0</v>
      </c>
      <c r="U331" t="b">
        <f>IF(ISBLANK(CleanedSalesData[[#This Row],[Revenue]]), TRUE, FALSE)</f>
        <v>0</v>
      </c>
      <c r="V331" t="b">
        <f>IF(OR(CleanedSalesData[[#This Row],[Order Status]]="Cancelled", CleanedSalesData[[#This Row],[Order Status]]="Returned"), TRUE, FALSE)</f>
        <v>0</v>
      </c>
      <c r="W331" t="str" cm="1">
        <f t="array" ref="W33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2" spans="1:23" x14ac:dyDescent="0.35">
      <c r="A332" t="s">
        <v>457</v>
      </c>
      <c r="B332" s="7">
        <v>46107</v>
      </c>
      <c r="C332" t="s">
        <v>947</v>
      </c>
      <c r="D332">
        <v>3</v>
      </c>
      <c r="E332" t="s">
        <v>30</v>
      </c>
      <c r="F332" t="s">
        <v>59</v>
      </c>
      <c r="G332" t="s">
        <v>32</v>
      </c>
      <c r="H332" t="s">
        <v>33</v>
      </c>
      <c r="I332" t="s">
        <v>71</v>
      </c>
      <c r="J332" t="s">
        <v>72</v>
      </c>
      <c r="K332" t="s">
        <v>73</v>
      </c>
      <c r="L332">
        <v>7</v>
      </c>
      <c r="M332" s="10">
        <v>0.08</v>
      </c>
      <c r="N332" s="11">
        <v>805000</v>
      </c>
      <c r="O332" s="11">
        <v>490000</v>
      </c>
      <c r="P332" s="11">
        <v>315000</v>
      </c>
      <c r="Q332" t="s">
        <v>93</v>
      </c>
      <c r="R332" t="b">
        <f>COUNTIF($A$6     : CleanedSalesData[[#This Row],[Order ID]], CleanedSalesData[[#This Row],[Order ID]])&gt;1</f>
        <v>0</v>
      </c>
      <c r="S332" t="b">
        <f>IF(ISBLANK(CleanedSalesData[[#This Row],[Quantity]]), TRUE, FALSE)</f>
        <v>0</v>
      </c>
      <c r="T332" t="b">
        <f>IF(ISBLANK(CleanedSalesData[[#This Row],[Order Date]]), TRUE, FALSE)</f>
        <v>0</v>
      </c>
      <c r="U332" t="b">
        <f>IF(ISBLANK(CleanedSalesData[[#This Row],[Revenue]]), TRUE, FALSE)</f>
        <v>0</v>
      </c>
      <c r="V332" t="b">
        <f>IF(OR(CleanedSalesData[[#This Row],[Order Status]]="Cancelled", CleanedSalesData[[#This Row],[Order Status]]="Returned"), TRUE, FALSE)</f>
        <v>0</v>
      </c>
      <c r="W332" t="str" cm="1">
        <f t="array" ref="W33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3" spans="1:23" x14ac:dyDescent="0.35">
      <c r="A333" t="s">
        <v>458</v>
      </c>
      <c r="B333" s="7">
        <v>46124</v>
      </c>
      <c r="C333" t="s">
        <v>949</v>
      </c>
      <c r="D333">
        <v>4</v>
      </c>
      <c r="E333" t="s">
        <v>65</v>
      </c>
      <c r="F333" t="s">
        <v>31</v>
      </c>
      <c r="G333" t="s">
        <v>48</v>
      </c>
      <c r="H333" t="s">
        <v>33</v>
      </c>
      <c r="I333" t="s">
        <v>78</v>
      </c>
      <c r="J333" t="s">
        <v>79</v>
      </c>
      <c r="K333" t="s">
        <v>62</v>
      </c>
      <c r="L333">
        <v>1</v>
      </c>
      <c r="M333" s="10">
        <v>0.15</v>
      </c>
      <c r="N333" s="11">
        <v>72250</v>
      </c>
      <c r="O333" s="11">
        <v>43000</v>
      </c>
      <c r="P333" s="11">
        <v>29250</v>
      </c>
      <c r="Q333" t="s">
        <v>93</v>
      </c>
      <c r="R333" t="b">
        <f>COUNTIF($A$6     : CleanedSalesData[[#This Row],[Order ID]], CleanedSalesData[[#This Row],[Order ID]])&gt;1</f>
        <v>0</v>
      </c>
      <c r="S333" t="b">
        <f>IF(ISBLANK(CleanedSalesData[[#This Row],[Quantity]]), TRUE, FALSE)</f>
        <v>0</v>
      </c>
      <c r="T333" t="b">
        <f>IF(ISBLANK(CleanedSalesData[[#This Row],[Order Date]]), TRUE, FALSE)</f>
        <v>0</v>
      </c>
      <c r="U333" t="b">
        <f>IF(ISBLANK(CleanedSalesData[[#This Row],[Revenue]]), TRUE, FALSE)</f>
        <v>0</v>
      </c>
      <c r="V333" t="b">
        <f>IF(OR(CleanedSalesData[[#This Row],[Order Status]]="Cancelled", CleanedSalesData[[#This Row],[Order Status]]="Returned"), TRUE, FALSE)</f>
        <v>0</v>
      </c>
      <c r="W333" t="str" cm="1">
        <f t="array" ref="W33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4" spans="1:23" x14ac:dyDescent="0.35">
      <c r="A334" t="s">
        <v>460</v>
      </c>
      <c r="B334" s="7">
        <v>46024</v>
      </c>
      <c r="C334" t="s">
        <v>948</v>
      </c>
      <c r="D334">
        <v>1</v>
      </c>
      <c r="E334" t="s">
        <v>30</v>
      </c>
      <c r="F334" t="s">
        <v>40</v>
      </c>
      <c r="G334" t="s">
        <v>41</v>
      </c>
      <c r="H334" t="s">
        <v>33</v>
      </c>
      <c r="I334" t="s">
        <v>82</v>
      </c>
      <c r="J334" t="s">
        <v>83</v>
      </c>
      <c r="K334" t="s">
        <v>44</v>
      </c>
      <c r="L334">
        <v>4</v>
      </c>
      <c r="M334" s="10">
        <v>0.03</v>
      </c>
      <c r="N334" s="11">
        <v>5626000</v>
      </c>
      <c r="O334" s="11">
        <v>3920000</v>
      </c>
      <c r="P334" s="11">
        <v>1706000</v>
      </c>
      <c r="Q334" t="s">
        <v>63</v>
      </c>
      <c r="R334" t="b">
        <f>COUNTIF($A$6     : CleanedSalesData[[#This Row],[Order ID]], CleanedSalesData[[#This Row],[Order ID]])&gt;1</f>
        <v>0</v>
      </c>
      <c r="S334" t="b">
        <f>IF(ISBLANK(CleanedSalesData[[#This Row],[Quantity]]), TRUE, FALSE)</f>
        <v>0</v>
      </c>
      <c r="T334" t="b">
        <f>IF(ISBLANK(CleanedSalesData[[#This Row],[Order Date]]), TRUE, FALSE)</f>
        <v>0</v>
      </c>
      <c r="U334" t="b">
        <f>IF(ISBLANK(CleanedSalesData[[#This Row],[Revenue]]), TRUE, FALSE)</f>
        <v>0</v>
      </c>
      <c r="V334" t="b">
        <f>IF(OR(CleanedSalesData[[#This Row],[Order Status]]="Cancelled", CleanedSalesData[[#This Row],[Order Status]]="Returned"), TRUE, FALSE)</f>
        <v>0</v>
      </c>
      <c r="W334" t="str" cm="1">
        <f t="array" ref="W33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5" spans="1:23" x14ac:dyDescent="0.35">
      <c r="A335" t="s">
        <v>462</v>
      </c>
      <c r="B335" s="7">
        <v>46106</v>
      </c>
      <c r="C335" t="s">
        <v>947</v>
      </c>
      <c r="D335">
        <v>3</v>
      </c>
      <c r="E335" t="s">
        <v>65</v>
      </c>
      <c r="F335" t="s">
        <v>59</v>
      </c>
      <c r="G335" t="s">
        <v>81</v>
      </c>
      <c r="H335" t="s">
        <v>33</v>
      </c>
      <c r="I335" t="s">
        <v>86</v>
      </c>
      <c r="J335" t="s">
        <v>87</v>
      </c>
      <c r="K335" t="s">
        <v>36</v>
      </c>
      <c r="L335">
        <v>4</v>
      </c>
      <c r="M335" s="10">
        <v>0.08</v>
      </c>
      <c r="N335" s="11">
        <v>1288000</v>
      </c>
      <c r="O335" s="11">
        <v>840000</v>
      </c>
      <c r="P335" s="11">
        <v>448000</v>
      </c>
      <c r="Q335" t="s">
        <v>93</v>
      </c>
      <c r="R335" t="b">
        <f>COUNTIF($A$6     : CleanedSalesData[[#This Row],[Order ID]], CleanedSalesData[[#This Row],[Order ID]])&gt;1</f>
        <v>0</v>
      </c>
      <c r="S335" t="b">
        <f>IF(ISBLANK(CleanedSalesData[[#This Row],[Quantity]]), TRUE, FALSE)</f>
        <v>0</v>
      </c>
      <c r="T335" t="b">
        <f>IF(ISBLANK(CleanedSalesData[[#This Row],[Order Date]]), TRUE, FALSE)</f>
        <v>0</v>
      </c>
      <c r="U335" t="b">
        <f>IF(ISBLANK(CleanedSalesData[[#This Row],[Revenue]]), TRUE, FALSE)</f>
        <v>0</v>
      </c>
      <c r="V335" t="b">
        <f>IF(OR(CleanedSalesData[[#This Row],[Order Status]]="Cancelled", CleanedSalesData[[#This Row],[Order Status]]="Returned"), TRUE, FALSE)</f>
        <v>0</v>
      </c>
      <c r="W335" t="str" cm="1">
        <f t="array" ref="W33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6" spans="1:23" x14ac:dyDescent="0.35">
      <c r="A336" t="s">
        <v>463</v>
      </c>
      <c r="B336" s="7">
        <v>46173</v>
      </c>
      <c r="C336" t="s">
        <v>946</v>
      </c>
      <c r="D336">
        <v>5</v>
      </c>
      <c r="E336" t="s">
        <v>76</v>
      </c>
      <c r="F336" t="s">
        <v>59</v>
      </c>
      <c r="G336" t="s">
        <v>32</v>
      </c>
      <c r="H336" t="s">
        <v>33</v>
      </c>
      <c r="I336" t="s">
        <v>34</v>
      </c>
      <c r="J336" t="s">
        <v>35</v>
      </c>
      <c r="K336" t="s">
        <v>36</v>
      </c>
      <c r="L336">
        <v>2</v>
      </c>
      <c r="M336" s="10">
        <v>0.05</v>
      </c>
      <c r="N336" s="11">
        <v>902500</v>
      </c>
      <c r="O336" s="11">
        <v>570000</v>
      </c>
      <c r="P336" s="11">
        <v>332500</v>
      </c>
      <c r="Q336" t="s">
        <v>37</v>
      </c>
      <c r="R336" t="b">
        <f>COUNTIF($A$6     : CleanedSalesData[[#This Row],[Order ID]], CleanedSalesData[[#This Row],[Order ID]])&gt;1</f>
        <v>0</v>
      </c>
      <c r="S336" t="b">
        <f>IF(ISBLANK(CleanedSalesData[[#This Row],[Quantity]]), TRUE, FALSE)</f>
        <v>0</v>
      </c>
      <c r="T336" t="b">
        <f>IF(ISBLANK(CleanedSalesData[[#This Row],[Order Date]]), TRUE, FALSE)</f>
        <v>0</v>
      </c>
      <c r="U336" t="b">
        <f>IF(ISBLANK(CleanedSalesData[[#This Row],[Revenue]]), TRUE, FALSE)</f>
        <v>0</v>
      </c>
      <c r="V336" t="b">
        <f>IF(OR(CleanedSalesData[[#This Row],[Order Status]]="Cancelled", CleanedSalesData[[#This Row],[Order Status]]="Returned"), TRUE, FALSE)</f>
        <v>0</v>
      </c>
      <c r="W336" t="str" cm="1">
        <f t="array" ref="W33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7" spans="1:23" x14ac:dyDescent="0.35">
      <c r="A337" t="s">
        <v>464</v>
      </c>
      <c r="E337" t="s">
        <v>30</v>
      </c>
      <c r="F337" t="s">
        <v>70</v>
      </c>
      <c r="G337" t="s">
        <v>41</v>
      </c>
      <c r="H337" t="s">
        <v>33</v>
      </c>
      <c r="I337" t="s">
        <v>42</v>
      </c>
      <c r="J337" t="s">
        <v>43</v>
      </c>
      <c r="K337" t="s">
        <v>44</v>
      </c>
      <c r="L337">
        <v>3</v>
      </c>
      <c r="M337" s="10">
        <v>0.05</v>
      </c>
      <c r="N337" s="11">
        <v>783750</v>
      </c>
      <c r="O337" s="11">
        <v>465000</v>
      </c>
      <c r="P337" s="11">
        <v>318750</v>
      </c>
      <c r="Q337" t="s">
        <v>63</v>
      </c>
      <c r="R337" t="b">
        <f>COUNTIF($A$6     : CleanedSalesData[[#This Row],[Order ID]], CleanedSalesData[[#This Row],[Order ID]])&gt;1</f>
        <v>0</v>
      </c>
      <c r="S337" t="b">
        <f>IF(ISBLANK(CleanedSalesData[[#This Row],[Quantity]]), TRUE, FALSE)</f>
        <v>0</v>
      </c>
      <c r="T337" t="b">
        <f>IF(ISBLANK(CleanedSalesData[[#This Row],[Order Date]]), TRUE, FALSE)</f>
        <v>1</v>
      </c>
      <c r="U337" t="b">
        <f>IF(ISBLANK(CleanedSalesData[[#This Row],[Revenue]]), TRUE, FALSE)</f>
        <v>0</v>
      </c>
      <c r="V337" t="b">
        <f>IF(OR(CleanedSalesData[[#This Row],[Order Status]]="Cancelled", CleanedSalesData[[#This Row],[Order Status]]="Returned"), TRUE, FALSE)</f>
        <v>0</v>
      </c>
      <c r="W337" t="str" cm="1">
        <f t="array" ref="W33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Date</v>
      </c>
    </row>
    <row r="338" spans="1:23" x14ac:dyDescent="0.35">
      <c r="A338" t="s">
        <v>465</v>
      </c>
      <c r="B338" s="7">
        <v>46200</v>
      </c>
      <c r="C338" t="s">
        <v>945</v>
      </c>
      <c r="D338">
        <v>6</v>
      </c>
      <c r="E338" t="s">
        <v>65</v>
      </c>
      <c r="F338" t="s">
        <v>47</v>
      </c>
      <c r="G338" t="s">
        <v>32</v>
      </c>
      <c r="H338" t="s">
        <v>33</v>
      </c>
      <c r="I338" t="s">
        <v>49</v>
      </c>
      <c r="J338" t="s">
        <v>50</v>
      </c>
      <c r="K338" t="s">
        <v>51</v>
      </c>
      <c r="L338">
        <v>3</v>
      </c>
      <c r="M338" s="10">
        <v>0.1</v>
      </c>
      <c r="N338" s="11">
        <v>661500</v>
      </c>
      <c r="O338" s="11">
        <v>435000</v>
      </c>
      <c r="P338" s="11">
        <v>226500</v>
      </c>
      <c r="Q338" t="s">
        <v>93</v>
      </c>
      <c r="R338" t="b">
        <f>COUNTIF($A$6     : CleanedSalesData[[#This Row],[Order ID]], CleanedSalesData[[#This Row],[Order ID]])&gt;1</f>
        <v>0</v>
      </c>
      <c r="S338" t="b">
        <f>IF(ISBLANK(CleanedSalesData[[#This Row],[Quantity]]), TRUE, FALSE)</f>
        <v>0</v>
      </c>
      <c r="T338" t="b">
        <f>IF(ISBLANK(CleanedSalesData[[#This Row],[Order Date]]), TRUE, FALSE)</f>
        <v>0</v>
      </c>
      <c r="U338" t="b">
        <f>IF(ISBLANK(CleanedSalesData[[#This Row],[Revenue]]), TRUE, FALSE)</f>
        <v>0</v>
      </c>
      <c r="V338" t="b">
        <f>IF(OR(CleanedSalesData[[#This Row],[Order Status]]="Cancelled", CleanedSalesData[[#This Row],[Order Status]]="Returned"), TRUE, FALSE)</f>
        <v>0</v>
      </c>
      <c r="W338" t="str" cm="1">
        <f t="array" ref="W33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39" spans="1:23" x14ac:dyDescent="0.35">
      <c r="A339" t="s">
        <v>466</v>
      </c>
      <c r="B339" s="7">
        <v>46070</v>
      </c>
      <c r="C339" t="s">
        <v>944</v>
      </c>
      <c r="D339">
        <v>2</v>
      </c>
      <c r="E339" t="s">
        <v>111</v>
      </c>
      <c r="F339" t="s">
        <v>31</v>
      </c>
      <c r="G339" t="s">
        <v>32</v>
      </c>
      <c r="H339" t="s">
        <v>33</v>
      </c>
      <c r="I339" t="s">
        <v>55</v>
      </c>
      <c r="J339" t="s">
        <v>56</v>
      </c>
      <c r="K339" t="s">
        <v>36</v>
      </c>
      <c r="L339">
        <v>8</v>
      </c>
      <c r="M339" s="10">
        <v>0.15</v>
      </c>
      <c r="N339" s="11">
        <v>12580000</v>
      </c>
      <c r="O339" s="11">
        <v>10560000</v>
      </c>
      <c r="P339" s="11">
        <v>2020000</v>
      </c>
      <c r="Q339" t="s">
        <v>57</v>
      </c>
      <c r="R339" t="b">
        <f>COUNTIF($A$6     : CleanedSalesData[[#This Row],[Order ID]], CleanedSalesData[[#This Row],[Order ID]])&gt;1</f>
        <v>0</v>
      </c>
      <c r="S339" t="b">
        <f>IF(ISBLANK(CleanedSalesData[[#This Row],[Quantity]]), TRUE, FALSE)</f>
        <v>0</v>
      </c>
      <c r="T339" t="b">
        <f>IF(ISBLANK(CleanedSalesData[[#This Row],[Order Date]]), TRUE, FALSE)</f>
        <v>0</v>
      </c>
      <c r="U339" t="b">
        <f>IF(ISBLANK(CleanedSalesData[[#This Row],[Revenue]]), TRUE, FALSE)</f>
        <v>0</v>
      </c>
      <c r="V339" t="b">
        <f>IF(OR(CleanedSalesData[[#This Row],[Order Status]]="Cancelled", CleanedSalesData[[#This Row],[Order Status]]="Returned"), TRUE, FALSE)</f>
        <v>0</v>
      </c>
      <c r="W339" t="str" cm="1">
        <f t="array" ref="W33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0" spans="1:23" x14ac:dyDescent="0.35">
      <c r="A340" t="s">
        <v>467</v>
      </c>
      <c r="B340" s="7">
        <v>46058</v>
      </c>
      <c r="C340" t="s">
        <v>944</v>
      </c>
      <c r="D340">
        <v>2</v>
      </c>
      <c r="E340" t="s">
        <v>54</v>
      </c>
      <c r="F340" t="s">
        <v>47</v>
      </c>
      <c r="G340" t="s">
        <v>41</v>
      </c>
      <c r="H340" t="s">
        <v>90</v>
      </c>
      <c r="I340" t="s">
        <v>60</v>
      </c>
      <c r="J340" t="s">
        <v>61</v>
      </c>
      <c r="K340" t="s">
        <v>62</v>
      </c>
      <c r="L340">
        <v>3</v>
      </c>
      <c r="M340" s="10">
        <v>0.05</v>
      </c>
      <c r="O340" s="11">
        <v>93000</v>
      </c>
      <c r="P340" s="11">
        <v>92250</v>
      </c>
      <c r="Q340" t="s">
        <v>74</v>
      </c>
      <c r="R340" t="b">
        <f>COUNTIF($A$6     : CleanedSalesData[[#This Row],[Order ID]], CleanedSalesData[[#This Row],[Order ID]])&gt;1</f>
        <v>0</v>
      </c>
      <c r="S340" t="b">
        <f>IF(ISBLANK(CleanedSalesData[[#This Row],[Quantity]]), TRUE, FALSE)</f>
        <v>0</v>
      </c>
      <c r="T340" t="b">
        <f>IF(ISBLANK(CleanedSalesData[[#This Row],[Order Date]]), TRUE, FALSE)</f>
        <v>0</v>
      </c>
      <c r="U340" t="b">
        <f>IF(ISBLANK(CleanedSalesData[[#This Row],[Revenue]]), TRUE, FALSE)</f>
        <v>1</v>
      </c>
      <c r="V340" t="b">
        <f>IF(OR(CleanedSalesData[[#This Row],[Order Status]]="Cancelled", CleanedSalesData[[#This Row],[Order Status]]="Returned"), TRUE, FALSE)</f>
        <v>0</v>
      </c>
      <c r="W340" t="str" cm="1">
        <f t="array" ref="W34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341" spans="1:23" x14ac:dyDescent="0.35">
      <c r="A341" t="s">
        <v>468</v>
      </c>
      <c r="B341" s="7">
        <v>46147</v>
      </c>
      <c r="C341" t="s">
        <v>946</v>
      </c>
      <c r="D341">
        <v>5</v>
      </c>
      <c r="E341" t="s">
        <v>65</v>
      </c>
      <c r="F341" t="s">
        <v>47</v>
      </c>
      <c r="G341" t="s">
        <v>48</v>
      </c>
      <c r="H341" t="s">
        <v>90</v>
      </c>
      <c r="I341" t="s">
        <v>66</v>
      </c>
      <c r="J341" t="s">
        <v>67</v>
      </c>
      <c r="K341" t="s">
        <v>51</v>
      </c>
      <c r="L341">
        <v>3</v>
      </c>
      <c r="M341" s="10">
        <v>0.03</v>
      </c>
      <c r="N341" s="11">
        <v>902100</v>
      </c>
      <c r="O341" s="11">
        <v>570000</v>
      </c>
      <c r="P341" s="11">
        <v>332100</v>
      </c>
      <c r="Q341" t="s">
        <v>52</v>
      </c>
      <c r="R341" t="b">
        <f>COUNTIF($A$6     : CleanedSalesData[[#This Row],[Order ID]], CleanedSalesData[[#This Row],[Order ID]])&gt;1</f>
        <v>0</v>
      </c>
      <c r="S341" t="b">
        <f>IF(ISBLANK(CleanedSalesData[[#This Row],[Quantity]]), TRUE, FALSE)</f>
        <v>0</v>
      </c>
      <c r="T341" t="b">
        <f>IF(ISBLANK(CleanedSalesData[[#This Row],[Order Date]]), TRUE, FALSE)</f>
        <v>0</v>
      </c>
      <c r="U341" t="b">
        <f>IF(ISBLANK(CleanedSalesData[[#This Row],[Revenue]]), TRUE, FALSE)</f>
        <v>0</v>
      </c>
      <c r="V341" t="b">
        <f>IF(OR(CleanedSalesData[[#This Row],[Order Status]]="Cancelled", CleanedSalesData[[#This Row],[Order Status]]="Returned"), TRUE, FALSE)</f>
        <v>0</v>
      </c>
      <c r="W341" t="str" cm="1">
        <f t="array" ref="W34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2" spans="1:23" x14ac:dyDescent="0.35">
      <c r="A342" t="s">
        <v>469</v>
      </c>
      <c r="B342" s="7">
        <v>46129</v>
      </c>
      <c r="C342" t="s">
        <v>949</v>
      </c>
      <c r="D342">
        <v>4</v>
      </c>
      <c r="E342" t="s">
        <v>39</v>
      </c>
      <c r="F342" t="s">
        <v>47</v>
      </c>
      <c r="G342" t="s">
        <v>41</v>
      </c>
      <c r="H342" t="s">
        <v>33</v>
      </c>
      <c r="I342" t="s">
        <v>71</v>
      </c>
      <c r="J342" t="s">
        <v>72</v>
      </c>
      <c r="K342" t="s">
        <v>73</v>
      </c>
      <c r="L342">
        <v>8</v>
      </c>
      <c r="M342" s="10">
        <v>0.08</v>
      </c>
      <c r="N342" s="11">
        <v>920000</v>
      </c>
      <c r="O342" s="11">
        <v>560000</v>
      </c>
      <c r="P342" s="11">
        <v>360000</v>
      </c>
      <c r="Q342" t="s">
        <v>57</v>
      </c>
      <c r="R342" t="b">
        <f>COUNTIF($A$6     : CleanedSalesData[[#This Row],[Order ID]], CleanedSalesData[[#This Row],[Order ID]])&gt;1</f>
        <v>0</v>
      </c>
      <c r="S342" t="b">
        <f>IF(ISBLANK(CleanedSalesData[[#This Row],[Quantity]]), TRUE, FALSE)</f>
        <v>0</v>
      </c>
      <c r="T342" t="b">
        <f>IF(ISBLANK(CleanedSalesData[[#This Row],[Order Date]]), TRUE, FALSE)</f>
        <v>0</v>
      </c>
      <c r="U342" t="b">
        <f>IF(ISBLANK(CleanedSalesData[[#This Row],[Revenue]]), TRUE, FALSE)</f>
        <v>0</v>
      </c>
      <c r="V342" t="b">
        <f>IF(OR(CleanedSalesData[[#This Row],[Order Status]]="Cancelled", CleanedSalesData[[#This Row],[Order Status]]="Returned"), TRUE, FALSE)</f>
        <v>0</v>
      </c>
      <c r="W342" t="str" cm="1">
        <f t="array" ref="W34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3" spans="1:23" x14ac:dyDescent="0.35">
      <c r="A343" t="s">
        <v>470</v>
      </c>
      <c r="B343" s="7">
        <v>46031</v>
      </c>
      <c r="C343" t="s">
        <v>948</v>
      </c>
      <c r="D343">
        <v>1</v>
      </c>
      <c r="E343" t="s">
        <v>111</v>
      </c>
      <c r="F343" t="s">
        <v>31</v>
      </c>
      <c r="G343" t="s">
        <v>48</v>
      </c>
      <c r="H343" t="s">
        <v>33</v>
      </c>
      <c r="I343" t="s">
        <v>78</v>
      </c>
      <c r="J343" t="s">
        <v>79</v>
      </c>
      <c r="K343" t="s">
        <v>62</v>
      </c>
      <c r="L343">
        <v>5</v>
      </c>
      <c r="M343" s="10">
        <v>0.03</v>
      </c>
      <c r="N343" s="11">
        <v>412250</v>
      </c>
      <c r="O343" s="11">
        <v>215000</v>
      </c>
      <c r="P343" s="11">
        <v>197250</v>
      </c>
      <c r="Q343" t="s">
        <v>37</v>
      </c>
      <c r="R343" t="b">
        <f>COUNTIF($A$6     : CleanedSalesData[[#This Row],[Order ID]], CleanedSalesData[[#This Row],[Order ID]])&gt;1</f>
        <v>0</v>
      </c>
      <c r="S343" t="b">
        <f>IF(ISBLANK(CleanedSalesData[[#This Row],[Quantity]]), TRUE, FALSE)</f>
        <v>0</v>
      </c>
      <c r="T343" t="b">
        <f>IF(ISBLANK(CleanedSalesData[[#This Row],[Order Date]]), TRUE, FALSE)</f>
        <v>0</v>
      </c>
      <c r="U343" t="b">
        <f>IF(ISBLANK(CleanedSalesData[[#This Row],[Revenue]]), TRUE, FALSE)</f>
        <v>0</v>
      </c>
      <c r="V343" t="b">
        <f>IF(OR(CleanedSalesData[[#This Row],[Order Status]]="Cancelled", CleanedSalesData[[#This Row],[Order Status]]="Returned"), TRUE, FALSE)</f>
        <v>0</v>
      </c>
      <c r="W343" t="str" cm="1">
        <f t="array" ref="W34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4" spans="1:23" x14ac:dyDescent="0.35">
      <c r="A344" t="s">
        <v>471</v>
      </c>
      <c r="B344" s="7">
        <v>46169</v>
      </c>
      <c r="C344" t="s">
        <v>946</v>
      </c>
      <c r="D344">
        <v>5</v>
      </c>
      <c r="E344" t="s">
        <v>111</v>
      </c>
      <c r="F344" t="s">
        <v>70</v>
      </c>
      <c r="G344" t="s">
        <v>41</v>
      </c>
      <c r="H344" t="s">
        <v>33</v>
      </c>
      <c r="I344" t="s">
        <v>82</v>
      </c>
      <c r="J344" t="s">
        <v>83</v>
      </c>
      <c r="K344" t="s">
        <v>44</v>
      </c>
      <c r="L344">
        <v>2</v>
      </c>
      <c r="M344" s="10">
        <v>0.05</v>
      </c>
      <c r="N344" s="11">
        <v>2755000</v>
      </c>
      <c r="O344" s="11">
        <v>1960000</v>
      </c>
      <c r="P344" s="11">
        <v>795000</v>
      </c>
      <c r="Q344" t="s">
        <v>45</v>
      </c>
      <c r="R344" t="b">
        <f>COUNTIF($A$6     : CleanedSalesData[[#This Row],[Order ID]], CleanedSalesData[[#This Row],[Order ID]])&gt;1</f>
        <v>0</v>
      </c>
      <c r="S344" t="b">
        <f>IF(ISBLANK(CleanedSalesData[[#This Row],[Quantity]]), TRUE, FALSE)</f>
        <v>0</v>
      </c>
      <c r="T344" t="b">
        <f>IF(ISBLANK(CleanedSalesData[[#This Row],[Order Date]]), TRUE, FALSE)</f>
        <v>0</v>
      </c>
      <c r="U344" t="b">
        <f>IF(ISBLANK(CleanedSalesData[[#This Row],[Revenue]]), TRUE, FALSE)</f>
        <v>0</v>
      </c>
      <c r="V344" t="b">
        <f>IF(OR(CleanedSalesData[[#This Row],[Order Status]]="Cancelled", CleanedSalesData[[#This Row],[Order Status]]="Returned"), TRUE, FALSE)</f>
        <v>0</v>
      </c>
      <c r="W344" t="str" cm="1">
        <f t="array" ref="W34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5" spans="1:23" x14ac:dyDescent="0.35">
      <c r="A345" t="s">
        <v>472</v>
      </c>
      <c r="B345" s="7">
        <v>46131</v>
      </c>
      <c r="C345" t="s">
        <v>949</v>
      </c>
      <c r="D345">
        <v>4</v>
      </c>
      <c r="E345" t="s">
        <v>95</v>
      </c>
      <c r="F345" t="s">
        <v>31</v>
      </c>
      <c r="G345" t="s">
        <v>81</v>
      </c>
      <c r="H345" t="s">
        <v>90</v>
      </c>
      <c r="I345" t="s">
        <v>86</v>
      </c>
      <c r="J345" t="s">
        <v>87</v>
      </c>
      <c r="K345" t="s">
        <v>36</v>
      </c>
      <c r="L345">
        <v>2</v>
      </c>
      <c r="M345" s="10">
        <v>0.15</v>
      </c>
      <c r="N345" s="11">
        <v>595000</v>
      </c>
      <c r="O345" s="11">
        <v>420000</v>
      </c>
      <c r="P345" s="11">
        <v>175000</v>
      </c>
      <c r="Q345" t="s">
        <v>52</v>
      </c>
      <c r="R345" t="b">
        <f>COUNTIF($A$6     : CleanedSalesData[[#This Row],[Order ID]], CleanedSalesData[[#This Row],[Order ID]])&gt;1</f>
        <v>0</v>
      </c>
      <c r="S345" t="b">
        <f>IF(ISBLANK(CleanedSalesData[[#This Row],[Quantity]]), TRUE, FALSE)</f>
        <v>0</v>
      </c>
      <c r="T345" t="b">
        <f>IF(ISBLANK(CleanedSalesData[[#This Row],[Order Date]]), TRUE, FALSE)</f>
        <v>0</v>
      </c>
      <c r="U345" t="b">
        <f>IF(ISBLANK(CleanedSalesData[[#This Row],[Revenue]]), TRUE, FALSE)</f>
        <v>0</v>
      </c>
      <c r="V345" t="b">
        <f>IF(OR(CleanedSalesData[[#This Row],[Order Status]]="Cancelled", CleanedSalesData[[#This Row],[Order Status]]="Returned"), TRUE, FALSE)</f>
        <v>0</v>
      </c>
      <c r="W345" t="str" cm="1">
        <f t="array" ref="W34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6" spans="1:23" x14ac:dyDescent="0.35">
      <c r="A346" t="s">
        <v>473</v>
      </c>
      <c r="B346" s="7">
        <v>46090</v>
      </c>
      <c r="C346" t="s">
        <v>947</v>
      </c>
      <c r="D346">
        <v>3</v>
      </c>
      <c r="E346" t="s">
        <v>39</v>
      </c>
      <c r="F346" t="s">
        <v>40</v>
      </c>
      <c r="G346" t="s">
        <v>32</v>
      </c>
      <c r="H346" t="s">
        <v>33</v>
      </c>
      <c r="I346" t="s">
        <v>34</v>
      </c>
      <c r="J346" t="s">
        <v>35</v>
      </c>
      <c r="K346" t="s">
        <v>36</v>
      </c>
      <c r="L346">
        <v>6</v>
      </c>
      <c r="M346" s="10">
        <v>0</v>
      </c>
      <c r="N346" s="11">
        <v>2850000</v>
      </c>
      <c r="O346" s="11">
        <v>1710000</v>
      </c>
      <c r="P346" s="11">
        <v>1140000</v>
      </c>
      <c r="Q346" t="s">
        <v>63</v>
      </c>
      <c r="R346" t="b">
        <f>COUNTIF($A$6     : CleanedSalesData[[#This Row],[Order ID]], CleanedSalesData[[#This Row],[Order ID]])&gt;1</f>
        <v>0</v>
      </c>
      <c r="S346" t="b">
        <f>IF(ISBLANK(CleanedSalesData[[#This Row],[Quantity]]), TRUE, FALSE)</f>
        <v>0</v>
      </c>
      <c r="T346" t="b">
        <f>IF(ISBLANK(CleanedSalesData[[#This Row],[Order Date]]), TRUE, FALSE)</f>
        <v>0</v>
      </c>
      <c r="U346" t="b">
        <f>IF(ISBLANK(CleanedSalesData[[#This Row],[Revenue]]), TRUE, FALSE)</f>
        <v>0</v>
      </c>
      <c r="V346" t="b">
        <f>IF(OR(CleanedSalesData[[#This Row],[Order Status]]="Cancelled", CleanedSalesData[[#This Row],[Order Status]]="Returned"), TRUE, FALSE)</f>
        <v>0</v>
      </c>
      <c r="W346" t="str" cm="1">
        <f t="array" ref="W34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7" spans="1:23" x14ac:dyDescent="0.35">
      <c r="A347" t="s">
        <v>474</v>
      </c>
      <c r="B347" s="7">
        <v>46179</v>
      </c>
      <c r="C347" t="s">
        <v>945</v>
      </c>
      <c r="D347">
        <v>6</v>
      </c>
      <c r="E347" t="s">
        <v>95</v>
      </c>
      <c r="F347" t="s">
        <v>31</v>
      </c>
      <c r="G347" t="s">
        <v>32</v>
      </c>
      <c r="H347" t="s">
        <v>33</v>
      </c>
      <c r="I347" t="s">
        <v>42</v>
      </c>
      <c r="J347" t="s">
        <v>43</v>
      </c>
      <c r="K347" t="s">
        <v>44</v>
      </c>
      <c r="L347">
        <v>7</v>
      </c>
      <c r="M347" s="10">
        <v>0.03</v>
      </c>
      <c r="N347" s="11">
        <v>1867250</v>
      </c>
      <c r="O347" s="11">
        <v>1085000</v>
      </c>
      <c r="P347" s="11">
        <v>782250</v>
      </c>
      <c r="Q347" t="s">
        <v>63</v>
      </c>
      <c r="R347" t="b">
        <f>COUNTIF($A$6     : CleanedSalesData[[#This Row],[Order ID]], CleanedSalesData[[#This Row],[Order ID]])&gt;1</f>
        <v>0</v>
      </c>
      <c r="S347" t="b">
        <f>IF(ISBLANK(CleanedSalesData[[#This Row],[Quantity]]), TRUE, FALSE)</f>
        <v>0</v>
      </c>
      <c r="T347" t="b">
        <f>IF(ISBLANK(CleanedSalesData[[#This Row],[Order Date]]), TRUE, FALSE)</f>
        <v>0</v>
      </c>
      <c r="U347" t="b">
        <f>IF(ISBLANK(CleanedSalesData[[#This Row],[Revenue]]), TRUE, FALSE)</f>
        <v>0</v>
      </c>
      <c r="V347" t="b">
        <f>IF(OR(CleanedSalesData[[#This Row],[Order Status]]="Cancelled", CleanedSalesData[[#This Row],[Order Status]]="Returned"), TRUE, FALSE)</f>
        <v>0</v>
      </c>
      <c r="W347" t="str" cm="1">
        <f t="array" ref="W34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8" spans="1:23" x14ac:dyDescent="0.35">
      <c r="A348" t="s">
        <v>475</v>
      </c>
      <c r="B348" s="7">
        <v>46159</v>
      </c>
      <c r="C348" t="s">
        <v>946</v>
      </c>
      <c r="D348">
        <v>5</v>
      </c>
      <c r="E348" t="s">
        <v>76</v>
      </c>
      <c r="F348" t="s">
        <v>70</v>
      </c>
      <c r="G348" t="s">
        <v>81</v>
      </c>
      <c r="H348" t="s">
        <v>33</v>
      </c>
      <c r="I348" t="s">
        <v>49</v>
      </c>
      <c r="J348" t="s">
        <v>50</v>
      </c>
      <c r="K348" t="s">
        <v>51</v>
      </c>
      <c r="L348">
        <v>5</v>
      </c>
      <c r="M348" s="10">
        <v>0.1</v>
      </c>
      <c r="N348" s="11">
        <v>1102500</v>
      </c>
      <c r="O348" s="11">
        <v>725000</v>
      </c>
      <c r="P348" s="11">
        <v>377500</v>
      </c>
      <c r="Q348" t="s">
        <v>57</v>
      </c>
      <c r="R348" t="b">
        <f>COUNTIF($A$6     : CleanedSalesData[[#This Row],[Order ID]], CleanedSalesData[[#This Row],[Order ID]])&gt;1</f>
        <v>0</v>
      </c>
      <c r="S348" t="b">
        <f>IF(ISBLANK(CleanedSalesData[[#This Row],[Quantity]]), TRUE, FALSE)</f>
        <v>0</v>
      </c>
      <c r="T348" t="b">
        <f>IF(ISBLANK(CleanedSalesData[[#This Row],[Order Date]]), TRUE, FALSE)</f>
        <v>0</v>
      </c>
      <c r="U348" t="b">
        <f>IF(ISBLANK(CleanedSalesData[[#This Row],[Revenue]]), TRUE, FALSE)</f>
        <v>0</v>
      </c>
      <c r="V348" t="b">
        <f>IF(OR(CleanedSalesData[[#This Row],[Order Status]]="Cancelled", CleanedSalesData[[#This Row],[Order Status]]="Returned"), TRUE, FALSE)</f>
        <v>0</v>
      </c>
      <c r="W348" t="str" cm="1">
        <f t="array" ref="W34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49" spans="1:23" x14ac:dyDescent="0.35">
      <c r="A349" t="s">
        <v>476</v>
      </c>
      <c r="B349" s="7">
        <v>46154</v>
      </c>
      <c r="C349" t="s">
        <v>946</v>
      </c>
      <c r="D349">
        <v>5</v>
      </c>
      <c r="E349" t="s">
        <v>30</v>
      </c>
      <c r="F349" t="s">
        <v>40</v>
      </c>
      <c r="G349" t="s">
        <v>81</v>
      </c>
      <c r="H349" t="s">
        <v>77</v>
      </c>
      <c r="I349" t="s">
        <v>55</v>
      </c>
      <c r="J349" t="s">
        <v>56</v>
      </c>
      <c r="K349" t="s">
        <v>36</v>
      </c>
      <c r="L349">
        <v>2</v>
      </c>
      <c r="M349" s="10">
        <v>0.03</v>
      </c>
      <c r="N349" s="11">
        <v>897250</v>
      </c>
      <c r="O349" s="11">
        <v>2640000</v>
      </c>
      <c r="P349" s="11">
        <v>-1742750</v>
      </c>
      <c r="Q349" t="s">
        <v>84</v>
      </c>
      <c r="R349" t="b">
        <f>COUNTIF($A$6     : CleanedSalesData[[#This Row],[Order ID]], CleanedSalesData[[#This Row],[Order ID]])&gt;1</f>
        <v>0</v>
      </c>
      <c r="S349" t="b">
        <f>IF(ISBLANK(CleanedSalesData[[#This Row],[Quantity]]), TRUE, FALSE)</f>
        <v>0</v>
      </c>
      <c r="T349" t="b">
        <f>IF(ISBLANK(CleanedSalesData[[#This Row],[Order Date]]), TRUE, FALSE)</f>
        <v>0</v>
      </c>
      <c r="U349" t="b">
        <f>IF(ISBLANK(CleanedSalesData[[#This Row],[Revenue]]), TRUE, FALSE)</f>
        <v>0</v>
      </c>
      <c r="V349" t="b">
        <f>IF(OR(CleanedSalesData[[#This Row],[Order Status]]="Cancelled", CleanedSalesData[[#This Row],[Order Status]]="Returned"), TRUE, FALSE)</f>
        <v>1</v>
      </c>
      <c r="W349" t="str" cm="1">
        <f t="array" ref="W34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50" spans="1:23" x14ac:dyDescent="0.35">
      <c r="A350" t="s">
        <v>477</v>
      </c>
      <c r="B350" s="7">
        <v>46086</v>
      </c>
      <c r="C350" t="s">
        <v>947</v>
      </c>
      <c r="D350">
        <v>3</v>
      </c>
      <c r="E350" t="s">
        <v>111</v>
      </c>
      <c r="F350" t="s">
        <v>31</v>
      </c>
      <c r="G350" t="s">
        <v>48</v>
      </c>
      <c r="H350" t="s">
        <v>33</v>
      </c>
      <c r="I350" t="s">
        <v>60</v>
      </c>
      <c r="J350" t="s">
        <v>61</v>
      </c>
      <c r="K350" t="s">
        <v>62</v>
      </c>
      <c r="L350">
        <v>3</v>
      </c>
      <c r="M350" s="10">
        <v>0.15</v>
      </c>
      <c r="N350" s="11">
        <v>165750</v>
      </c>
      <c r="O350" s="11">
        <v>93000</v>
      </c>
      <c r="P350" s="11">
        <v>72750</v>
      </c>
      <c r="Q350" t="s">
        <v>84</v>
      </c>
      <c r="R350" t="b">
        <f>COUNTIF($A$6     : CleanedSalesData[[#This Row],[Order ID]], CleanedSalesData[[#This Row],[Order ID]])&gt;1</f>
        <v>0</v>
      </c>
      <c r="S350" t="b">
        <f>IF(ISBLANK(CleanedSalesData[[#This Row],[Quantity]]), TRUE, FALSE)</f>
        <v>0</v>
      </c>
      <c r="T350" t="b">
        <f>IF(ISBLANK(CleanedSalesData[[#This Row],[Order Date]]), TRUE, FALSE)</f>
        <v>0</v>
      </c>
      <c r="U350" t="b">
        <f>IF(ISBLANK(CleanedSalesData[[#This Row],[Revenue]]), TRUE, FALSE)</f>
        <v>0</v>
      </c>
      <c r="V350" t="b">
        <f>IF(OR(CleanedSalesData[[#This Row],[Order Status]]="Cancelled", CleanedSalesData[[#This Row],[Order Status]]="Returned"), TRUE, FALSE)</f>
        <v>0</v>
      </c>
      <c r="W350" t="str" cm="1">
        <f t="array" ref="W35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51" spans="1:23" x14ac:dyDescent="0.35">
      <c r="A351" t="s">
        <v>478</v>
      </c>
      <c r="B351" s="7">
        <v>46170</v>
      </c>
      <c r="C351" t="s">
        <v>946</v>
      </c>
      <c r="D351">
        <v>5</v>
      </c>
      <c r="E351" t="s">
        <v>69</v>
      </c>
      <c r="F351" t="s">
        <v>59</v>
      </c>
      <c r="G351" t="s">
        <v>41</v>
      </c>
      <c r="H351" t="s">
        <v>33</v>
      </c>
      <c r="I351" t="s">
        <v>66</v>
      </c>
      <c r="J351" t="s">
        <v>67</v>
      </c>
      <c r="K351" t="s">
        <v>51</v>
      </c>
      <c r="L351">
        <v>5</v>
      </c>
      <c r="M351" s="10">
        <v>0.15</v>
      </c>
      <c r="N351" s="11">
        <v>1317500</v>
      </c>
      <c r="O351" s="11">
        <v>950000</v>
      </c>
      <c r="P351" s="11">
        <v>367500</v>
      </c>
      <c r="Q351" t="s">
        <v>93</v>
      </c>
      <c r="R351" t="b">
        <f>COUNTIF($A$6     : CleanedSalesData[[#This Row],[Order ID]], CleanedSalesData[[#This Row],[Order ID]])&gt;1</f>
        <v>0</v>
      </c>
      <c r="S351" t="b">
        <f>IF(ISBLANK(CleanedSalesData[[#This Row],[Quantity]]), TRUE, FALSE)</f>
        <v>0</v>
      </c>
      <c r="T351" t="b">
        <f>IF(ISBLANK(CleanedSalesData[[#This Row],[Order Date]]), TRUE, FALSE)</f>
        <v>0</v>
      </c>
      <c r="U351" t="b">
        <f>IF(ISBLANK(CleanedSalesData[[#This Row],[Revenue]]), TRUE, FALSE)</f>
        <v>0</v>
      </c>
      <c r="V351" t="b">
        <f>IF(OR(CleanedSalesData[[#This Row],[Order Status]]="Cancelled", CleanedSalesData[[#This Row],[Order Status]]="Returned"), TRUE, FALSE)</f>
        <v>0</v>
      </c>
      <c r="W351" t="str" cm="1">
        <f t="array" ref="W35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52" spans="1:23" x14ac:dyDescent="0.35">
      <c r="A352" t="s">
        <v>479</v>
      </c>
      <c r="B352" s="7">
        <v>46154</v>
      </c>
      <c r="C352" t="s">
        <v>946</v>
      </c>
      <c r="D352">
        <v>5</v>
      </c>
      <c r="E352" t="s">
        <v>54</v>
      </c>
      <c r="F352" t="s">
        <v>59</v>
      </c>
      <c r="G352" t="s">
        <v>48</v>
      </c>
      <c r="H352" t="s">
        <v>112</v>
      </c>
      <c r="I352" t="s">
        <v>71</v>
      </c>
      <c r="J352" t="s">
        <v>72</v>
      </c>
      <c r="K352" t="s">
        <v>73</v>
      </c>
      <c r="L352">
        <v>5</v>
      </c>
      <c r="M352" s="10">
        <v>0.15</v>
      </c>
      <c r="N352" s="11">
        <v>132812</v>
      </c>
      <c r="O352" s="11">
        <v>350000</v>
      </c>
      <c r="P352" s="11">
        <v>-217188</v>
      </c>
      <c r="Q352" t="s">
        <v>74</v>
      </c>
      <c r="R352" t="b">
        <f>COUNTIF($A$6     : CleanedSalesData[[#This Row],[Order ID]], CleanedSalesData[[#This Row],[Order ID]])&gt;1</f>
        <v>0</v>
      </c>
      <c r="S352" t="b">
        <f>IF(ISBLANK(CleanedSalesData[[#This Row],[Quantity]]), TRUE, FALSE)</f>
        <v>0</v>
      </c>
      <c r="T352" t="b">
        <f>IF(ISBLANK(CleanedSalesData[[#This Row],[Order Date]]), TRUE, FALSE)</f>
        <v>0</v>
      </c>
      <c r="U352" t="b">
        <f>IF(ISBLANK(CleanedSalesData[[#This Row],[Revenue]]), TRUE, FALSE)</f>
        <v>0</v>
      </c>
      <c r="V352" t="b">
        <f>IF(OR(CleanedSalesData[[#This Row],[Order Status]]="Cancelled", CleanedSalesData[[#This Row],[Order Status]]="Returned"), TRUE, FALSE)</f>
        <v>1</v>
      </c>
      <c r="W352" t="str" cm="1">
        <f t="array" ref="W35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53" spans="1:23" x14ac:dyDescent="0.35">
      <c r="A353" t="s">
        <v>480</v>
      </c>
      <c r="B353" s="7">
        <v>46046</v>
      </c>
      <c r="C353" t="s">
        <v>948</v>
      </c>
      <c r="D353">
        <v>1</v>
      </c>
      <c r="E353" t="s">
        <v>65</v>
      </c>
      <c r="F353" t="s">
        <v>70</v>
      </c>
      <c r="G353" t="s">
        <v>41</v>
      </c>
      <c r="H353" t="s">
        <v>33</v>
      </c>
      <c r="I353" t="s">
        <v>78</v>
      </c>
      <c r="J353" t="s">
        <v>79</v>
      </c>
      <c r="K353" t="s">
        <v>62</v>
      </c>
      <c r="L353">
        <v>8</v>
      </c>
      <c r="M353" s="10">
        <v>0.15</v>
      </c>
      <c r="N353" s="11">
        <v>578000</v>
      </c>
      <c r="O353" s="11">
        <v>344000</v>
      </c>
      <c r="P353" s="11">
        <v>234000</v>
      </c>
      <c r="Q353" t="s">
        <v>45</v>
      </c>
      <c r="R353" t="b">
        <f>COUNTIF($A$6     : CleanedSalesData[[#This Row],[Order ID]], CleanedSalesData[[#This Row],[Order ID]])&gt;1</f>
        <v>0</v>
      </c>
      <c r="S353" t="b">
        <f>IF(ISBLANK(CleanedSalesData[[#This Row],[Quantity]]), TRUE, FALSE)</f>
        <v>0</v>
      </c>
      <c r="T353" t="b">
        <f>IF(ISBLANK(CleanedSalesData[[#This Row],[Order Date]]), TRUE, FALSE)</f>
        <v>0</v>
      </c>
      <c r="U353" t="b">
        <f>IF(ISBLANK(CleanedSalesData[[#This Row],[Revenue]]), TRUE, FALSE)</f>
        <v>0</v>
      </c>
      <c r="V353" t="b">
        <f>IF(OR(CleanedSalesData[[#This Row],[Order Status]]="Cancelled", CleanedSalesData[[#This Row],[Order Status]]="Returned"), TRUE, FALSE)</f>
        <v>0</v>
      </c>
      <c r="W353" t="str" cm="1">
        <f t="array" ref="W35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54" spans="1:23" x14ac:dyDescent="0.35">
      <c r="A354" t="s">
        <v>481</v>
      </c>
      <c r="B354" s="7">
        <v>46132</v>
      </c>
      <c r="C354" t="s">
        <v>949</v>
      </c>
      <c r="D354">
        <v>4</v>
      </c>
      <c r="E354" t="s">
        <v>30</v>
      </c>
      <c r="F354" t="s">
        <v>70</v>
      </c>
      <c r="G354" t="s">
        <v>81</v>
      </c>
      <c r="H354" t="s">
        <v>33</v>
      </c>
      <c r="I354" t="s">
        <v>82</v>
      </c>
      <c r="J354" t="s">
        <v>83</v>
      </c>
      <c r="K354" t="s">
        <v>44</v>
      </c>
      <c r="L354">
        <v>4</v>
      </c>
      <c r="M354" s="10">
        <v>0.08</v>
      </c>
      <c r="N354" s="11">
        <v>5336000</v>
      </c>
      <c r="O354" s="11">
        <v>3920000</v>
      </c>
      <c r="P354" s="11">
        <v>1416000</v>
      </c>
      <c r="Q354" t="s">
        <v>52</v>
      </c>
      <c r="R354" t="b">
        <f>COUNTIF($A$6     : CleanedSalesData[[#This Row],[Order ID]], CleanedSalesData[[#This Row],[Order ID]])&gt;1</f>
        <v>0</v>
      </c>
      <c r="S354" t="b">
        <f>IF(ISBLANK(CleanedSalesData[[#This Row],[Quantity]]), TRUE, FALSE)</f>
        <v>0</v>
      </c>
      <c r="T354" t="b">
        <f>IF(ISBLANK(CleanedSalesData[[#This Row],[Order Date]]), TRUE, FALSE)</f>
        <v>0</v>
      </c>
      <c r="U354" t="b">
        <f>IF(ISBLANK(CleanedSalesData[[#This Row],[Revenue]]), TRUE, FALSE)</f>
        <v>0</v>
      </c>
      <c r="V354" t="b">
        <f>IF(OR(CleanedSalesData[[#This Row],[Order Status]]="Cancelled", CleanedSalesData[[#This Row],[Order Status]]="Returned"), TRUE, FALSE)</f>
        <v>0</v>
      </c>
      <c r="W354" t="str" cm="1">
        <f t="array" ref="W35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55" spans="1:23" x14ac:dyDescent="0.35">
      <c r="A355" t="s">
        <v>482</v>
      </c>
      <c r="B355" s="7">
        <v>46110</v>
      </c>
      <c r="C355" t="s">
        <v>947</v>
      </c>
      <c r="D355">
        <v>3</v>
      </c>
      <c r="E355" t="s">
        <v>69</v>
      </c>
      <c r="F355" t="s">
        <v>59</v>
      </c>
      <c r="G355" t="s">
        <v>41</v>
      </c>
      <c r="H355" t="s">
        <v>33</v>
      </c>
      <c r="I355" t="s">
        <v>86</v>
      </c>
      <c r="J355" t="s">
        <v>87</v>
      </c>
      <c r="K355" t="s">
        <v>36</v>
      </c>
      <c r="L355">
        <v>1</v>
      </c>
      <c r="M355" s="10">
        <v>0</v>
      </c>
      <c r="N355" s="11">
        <v>350000</v>
      </c>
      <c r="O355" s="11">
        <v>210000</v>
      </c>
      <c r="P355" s="11">
        <v>140000</v>
      </c>
      <c r="Q355" t="s">
        <v>84</v>
      </c>
      <c r="R355" t="b">
        <f>COUNTIF($A$6     : CleanedSalesData[[#This Row],[Order ID]], CleanedSalesData[[#This Row],[Order ID]])&gt;1</f>
        <v>0</v>
      </c>
      <c r="S355" t="b">
        <f>IF(ISBLANK(CleanedSalesData[[#This Row],[Quantity]]), TRUE, FALSE)</f>
        <v>0</v>
      </c>
      <c r="T355" t="b">
        <f>IF(ISBLANK(CleanedSalesData[[#This Row],[Order Date]]), TRUE, FALSE)</f>
        <v>0</v>
      </c>
      <c r="U355" t="b">
        <f>IF(ISBLANK(CleanedSalesData[[#This Row],[Revenue]]), TRUE, FALSE)</f>
        <v>0</v>
      </c>
      <c r="V355" t="b">
        <f>IF(OR(CleanedSalesData[[#This Row],[Order Status]]="Cancelled", CleanedSalesData[[#This Row],[Order Status]]="Returned"), TRUE, FALSE)</f>
        <v>0</v>
      </c>
      <c r="W355" t="str" cm="1">
        <f t="array" ref="W35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56" spans="1:23" x14ac:dyDescent="0.35">
      <c r="A356" t="s">
        <v>483</v>
      </c>
      <c r="B356" s="7">
        <v>46135</v>
      </c>
      <c r="C356" t="s">
        <v>949</v>
      </c>
      <c r="D356">
        <v>4</v>
      </c>
      <c r="E356" t="s">
        <v>76</v>
      </c>
      <c r="F356" t="s">
        <v>31</v>
      </c>
      <c r="G356" t="s">
        <v>32</v>
      </c>
      <c r="H356" t="s">
        <v>77</v>
      </c>
      <c r="I356" t="s">
        <v>34</v>
      </c>
      <c r="J356" t="s">
        <v>35</v>
      </c>
      <c r="K356" t="s">
        <v>36</v>
      </c>
      <c r="L356">
        <v>8</v>
      </c>
      <c r="M356" s="10">
        <v>0</v>
      </c>
      <c r="N356" s="11">
        <v>950000</v>
      </c>
      <c r="O356" s="11">
        <v>2280000</v>
      </c>
      <c r="P356" s="11">
        <v>-1330000</v>
      </c>
      <c r="Q356" t="s">
        <v>84</v>
      </c>
      <c r="R356" t="b">
        <f>COUNTIF($A$6     : CleanedSalesData[[#This Row],[Order ID]], CleanedSalesData[[#This Row],[Order ID]])&gt;1</f>
        <v>0</v>
      </c>
      <c r="S356" t="b">
        <f>IF(ISBLANK(CleanedSalesData[[#This Row],[Quantity]]), TRUE, FALSE)</f>
        <v>0</v>
      </c>
      <c r="T356" t="b">
        <f>IF(ISBLANK(CleanedSalesData[[#This Row],[Order Date]]), TRUE, FALSE)</f>
        <v>0</v>
      </c>
      <c r="U356" t="b">
        <f>IF(ISBLANK(CleanedSalesData[[#This Row],[Revenue]]), TRUE, FALSE)</f>
        <v>0</v>
      </c>
      <c r="V356" t="b">
        <f>IF(OR(CleanedSalesData[[#This Row],[Order Status]]="Cancelled", CleanedSalesData[[#This Row],[Order Status]]="Returned"), TRUE, FALSE)</f>
        <v>1</v>
      </c>
      <c r="W356" t="str" cm="1">
        <f t="array" ref="W35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57" spans="1:23" x14ac:dyDescent="0.35">
      <c r="A357" t="s">
        <v>484</v>
      </c>
      <c r="B357" s="7">
        <v>46093</v>
      </c>
      <c r="C357" t="s">
        <v>947</v>
      </c>
      <c r="D357">
        <v>3</v>
      </c>
      <c r="E357" t="s">
        <v>30</v>
      </c>
      <c r="F357" t="s">
        <v>40</v>
      </c>
      <c r="G357" t="s">
        <v>81</v>
      </c>
      <c r="H357" t="s">
        <v>33</v>
      </c>
      <c r="I357" t="s">
        <v>42</v>
      </c>
      <c r="J357" t="s">
        <v>43</v>
      </c>
      <c r="K357" t="s">
        <v>44</v>
      </c>
      <c r="L357">
        <v>2</v>
      </c>
      <c r="M357" s="10">
        <v>0.15</v>
      </c>
      <c r="N357" s="11">
        <v>467500</v>
      </c>
      <c r="O357" s="11">
        <v>310000</v>
      </c>
      <c r="P357" s="11">
        <v>157500</v>
      </c>
      <c r="Q357" t="s">
        <v>74</v>
      </c>
      <c r="R357" t="b">
        <f>COUNTIF($A$6     : CleanedSalesData[[#This Row],[Order ID]], CleanedSalesData[[#This Row],[Order ID]])&gt;1</f>
        <v>0</v>
      </c>
      <c r="S357" t="b">
        <f>IF(ISBLANK(CleanedSalesData[[#This Row],[Quantity]]), TRUE, FALSE)</f>
        <v>0</v>
      </c>
      <c r="T357" t="b">
        <f>IF(ISBLANK(CleanedSalesData[[#This Row],[Order Date]]), TRUE, FALSE)</f>
        <v>0</v>
      </c>
      <c r="U357" t="b">
        <f>IF(ISBLANK(CleanedSalesData[[#This Row],[Revenue]]), TRUE, FALSE)</f>
        <v>0</v>
      </c>
      <c r="V357" t="b">
        <f>IF(OR(CleanedSalesData[[#This Row],[Order Status]]="Cancelled", CleanedSalesData[[#This Row],[Order Status]]="Returned"), TRUE, FALSE)</f>
        <v>0</v>
      </c>
      <c r="W357" t="str" cm="1">
        <f t="array" ref="W35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58" spans="1:23" x14ac:dyDescent="0.35">
      <c r="A358" t="s">
        <v>485</v>
      </c>
      <c r="B358" s="7">
        <v>46124</v>
      </c>
      <c r="C358" t="s">
        <v>949</v>
      </c>
      <c r="D358">
        <v>4</v>
      </c>
      <c r="E358" t="s">
        <v>69</v>
      </c>
      <c r="F358" t="s">
        <v>31</v>
      </c>
      <c r="G358" t="s">
        <v>48</v>
      </c>
      <c r="H358" t="s">
        <v>33</v>
      </c>
      <c r="I358" t="s">
        <v>49</v>
      </c>
      <c r="J358" t="s">
        <v>50</v>
      </c>
      <c r="K358" t="s">
        <v>51</v>
      </c>
      <c r="L358">
        <v>5</v>
      </c>
      <c r="M358" s="10">
        <v>0.15</v>
      </c>
      <c r="N358" s="11">
        <v>1041250</v>
      </c>
      <c r="O358" s="11">
        <v>725000</v>
      </c>
      <c r="P358" s="11">
        <v>316250</v>
      </c>
      <c r="Q358" t="s">
        <v>37</v>
      </c>
      <c r="R358" t="b">
        <f>COUNTIF($A$6     : CleanedSalesData[[#This Row],[Order ID]], CleanedSalesData[[#This Row],[Order ID]])&gt;1</f>
        <v>0</v>
      </c>
      <c r="S358" t="b">
        <f>IF(ISBLANK(CleanedSalesData[[#This Row],[Quantity]]), TRUE, FALSE)</f>
        <v>0</v>
      </c>
      <c r="T358" t="b">
        <f>IF(ISBLANK(CleanedSalesData[[#This Row],[Order Date]]), TRUE, FALSE)</f>
        <v>0</v>
      </c>
      <c r="U358" t="b">
        <f>IF(ISBLANK(CleanedSalesData[[#This Row],[Revenue]]), TRUE, FALSE)</f>
        <v>0</v>
      </c>
      <c r="V358" t="b">
        <f>IF(OR(CleanedSalesData[[#This Row],[Order Status]]="Cancelled", CleanedSalesData[[#This Row],[Order Status]]="Returned"), TRUE, FALSE)</f>
        <v>0</v>
      </c>
      <c r="W358" t="str" cm="1">
        <f t="array" ref="W35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59" spans="1:23" x14ac:dyDescent="0.35">
      <c r="A359" t="s">
        <v>486</v>
      </c>
      <c r="B359" s="7">
        <v>46023</v>
      </c>
      <c r="C359" t="s">
        <v>948</v>
      </c>
      <c r="D359">
        <v>1</v>
      </c>
      <c r="E359" t="s">
        <v>111</v>
      </c>
      <c r="F359" t="s">
        <v>47</v>
      </c>
      <c r="G359" t="s">
        <v>32</v>
      </c>
      <c r="H359" t="s">
        <v>33</v>
      </c>
      <c r="I359" t="s">
        <v>55</v>
      </c>
      <c r="J359" t="s">
        <v>56</v>
      </c>
      <c r="K359" t="s">
        <v>36</v>
      </c>
      <c r="L359">
        <v>4</v>
      </c>
      <c r="M359" s="10">
        <v>0.08</v>
      </c>
      <c r="N359" s="11">
        <v>6808000</v>
      </c>
      <c r="O359" s="11">
        <v>5280000</v>
      </c>
      <c r="P359" s="11">
        <v>1528000</v>
      </c>
      <c r="Q359" t="s">
        <v>74</v>
      </c>
      <c r="R359" t="b">
        <f>COUNTIF($A$6     : CleanedSalesData[[#This Row],[Order ID]], CleanedSalesData[[#This Row],[Order ID]])&gt;1</f>
        <v>0</v>
      </c>
      <c r="S359" t="b">
        <f>IF(ISBLANK(CleanedSalesData[[#This Row],[Quantity]]), TRUE, FALSE)</f>
        <v>0</v>
      </c>
      <c r="T359" t="b">
        <f>IF(ISBLANK(CleanedSalesData[[#This Row],[Order Date]]), TRUE, FALSE)</f>
        <v>0</v>
      </c>
      <c r="U359" t="b">
        <f>IF(ISBLANK(CleanedSalesData[[#This Row],[Revenue]]), TRUE, FALSE)</f>
        <v>0</v>
      </c>
      <c r="V359" t="b">
        <f>IF(OR(CleanedSalesData[[#This Row],[Order Status]]="Cancelled", CleanedSalesData[[#This Row],[Order Status]]="Returned"), TRUE, FALSE)</f>
        <v>0</v>
      </c>
      <c r="W359" t="str" cm="1">
        <f t="array" ref="W35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60" spans="1:23" x14ac:dyDescent="0.35">
      <c r="A360" t="s">
        <v>488</v>
      </c>
      <c r="B360" s="7">
        <v>46025</v>
      </c>
      <c r="C360" t="s">
        <v>948</v>
      </c>
      <c r="D360">
        <v>1</v>
      </c>
      <c r="E360" t="s">
        <v>69</v>
      </c>
      <c r="F360" t="s">
        <v>31</v>
      </c>
      <c r="G360" t="s">
        <v>48</v>
      </c>
      <c r="H360" t="s">
        <v>77</v>
      </c>
      <c r="I360" t="s">
        <v>489</v>
      </c>
      <c r="J360" t="s">
        <v>61</v>
      </c>
      <c r="K360" t="s">
        <v>62</v>
      </c>
      <c r="L360">
        <v>6</v>
      </c>
      <c r="M360" s="10">
        <v>0</v>
      </c>
      <c r="N360" s="11">
        <v>97500</v>
      </c>
      <c r="O360" s="11">
        <v>186000</v>
      </c>
      <c r="P360" s="11">
        <v>-88500</v>
      </c>
      <c r="Q360" t="s">
        <v>45</v>
      </c>
      <c r="R360" t="b">
        <f>COUNTIF($A$6     : CleanedSalesData[[#This Row],[Order ID]], CleanedSalesData[[#This Row],[Order ID]])&gt;1</f>
        <v>0</v>
      </c>
      <c r="S360" t="b">
        <f>IF(ISBLANK(CleanedSalesData[[#This Row],[Quantity]]), TRUE, FALSE)</f>
        <v>0</v>
      </c>
      <c r="T360" t="b">
        <f>IF(ISBLANK(CleanedSalesData[[#This Row],[Order Date]]), TRUE, FALSE)</f>
        <v>0</v>
      </c>
      <c r="U360" t="b">
        <f>IF(ISBLANK(CleanedSalesData[[#This Row],[Revenue]]), TRUE, FALSE)</f>
        <v>0</v>
      </c>
      <c r="V360" t="b">
        <f>IF(OR(CleanedSalesData[[#This Row],[Order Status]]="Cancelled", CleanedSalesData[[#This Row],[Order Status]]="Returned"), TRUE, FALSE)</f>
        <v>1</v>
      </c>
      <c r="W360" t="str" cm="1">
        <f t="array" ref="W36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61" spans="1:23" x14ac:dyDescent="0.35">
      <c r="A361" t="s">
        <v>490</v>
      </c>
      <c r="B361" s="7">
        <v>46121</v>
      </c>
      <c r="C361" t="s">
        <v>949</v>
      </c>
      <c r="D361">
        <v>4</v>
      </c>
      <c r="E361" t="s">
        <v>54</v>
      </c>
      <c r="F361" t="s">
        <v>40</v>
      </c>
      <c r="G361" t="s">
        <v>81</v>
      </c>
      <c r="H361" t="s">
        <v>90</v>
      </c>
      <c r="I361" t="s">
        <v>66</v>
      </c>
      <c r="J361" t="s">
        <v>67</v>
      </c>
      <c r="K361" t="s">
        <v>51</v>
      </c>
      <c r="M361" s="10">
        <v>0.15</v>
      </c>
      <c r="N361" s="11">
        <v>527000</v>
      </c>
      <c r="O361" s="11">
        <v>380000</v>
      </c>
      <c r="P361" s="11">
        <v>147000</v>
      </c>
      <c r="Q361" t="s">
        <v>57</v>
      </c>
      <c r="R361" t="b">
        <f>COUNTIF($A$6     : CleanedSalesData[[#This Row],[Order ID]], CleanedSalesData[[#This Row],[Order ID]])&gt;1</f>
        <v>0</v>
      </c>
      <c r="S361" t="b">
        <f>IF(ISBLANK(CleanedSalesData[[#This Row],[Quantity]]), TRUE, FALSE)</f>
        <v>1</v>
      </c>
      <c r="T361" t="b">
        <f>IF(ISBLANK(CleanedSalesData[[#This Row],[Order Date]]), TRUE, FALSE)</f>
        <v>0</v>
      </c>
      <c r="U361" t="b">
        <f>IF(ISBLANK(CleanedSalesData[[#This Row],[Revenue]]), TRUE, FALSE)</f>
        <v>0</v>
      </c>
      <c r="V361" t="b">
        <f>IF(OR(CleanedSalesData[[#This Row],[Order Status]]="Cancelled", CleanedSalesData[[#This Row],[Order Status]]="Returned"), TRUE, FALSE)</f>
        <v>0</v>
      </c>
      <c r="W361" t="str" cm="1">
        <f t="array" ref="W36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Quantity</v>
      </c>
    </row>
    <row r="362" spans="1:23" x14ac:dyDescent="0.35">
      <c r="A362" t="s">
        <v>491</v>
      </c>
      <c r="B362" s="7">
        <v>46058</v>
      </c>
      <c r="C362" t="s">
        <v>944</v>
      </c>
      <c r="D362">
        <v>2</v>
      </c>
      <c r="E362" t="s">
        <v>95</v>
      </c>
      <c r="F362" t="s">
        <v>31</v>
      </c>
      <c r="G362" t="s">
        <v>41</v>
      </c>
      <c r="H362" t="s">
        <v>33</v>
      </c>
      <c r="I362" t="s">
        <v>71</v>
      </c>
      <c r="J362" t="s">
        <v>72</v>
      </c>
      <c r="K362" t="s">
        <v>73</v>
      </c>
      <c r="L362">
        <v>7</v>
      </c>
      <c r="M362" s="10">
        <v>0.03</v>
      </c>
      <c r="N362" s="11">
        <v>848750</v>
      </c>
      <c r="O362" s="11">
        <v>490000</v>
      </c>
      <c r="P362" s="11">
        <v>358750</v>
      </c>
      <c r="Q362" t="s">
        <v>84</v>
      </c>
      <c r="R362" t="b">
        <f>COUNTIF($A$6     : CleanedSalesData[[#This Row],[Order ID]], CleanedSalesData[[#This Row],[Order ID]])&gt;1</f>
        <v>0</v>
      </c>
      <c r="S362" t="b">
        <f>IF(ISBLANK(CleanedSalesData[[#This Row],[Quantity]]), TRUE, FALSE)</f>
        <v>0</v>
      </c>
      <c r="T362" t="b">
        <f>IF(ISBLANK(CleanedSalesData[[#This Row],[Order Date]]), TRUE, FALSE)</f>
        <v>0</v>
      </c>
      <c r="U362" t="b">
        <f>IF(ISBLANK(CleanedSalesData[[#This Row],[Revenue]]), TRUE, FALSE)</f>
        <v>0</v>
      </c>
      <c r="V362" t="b">
        <f>IF(OR(CleanedSalesData[[#This Row],[Order Status]]="Cancelled", CleanedSalesData[[#This Row],[Order Status]]="Returned"), TRUE, FALSE)</f>
        <v>0</v>
      </c>
      <c r="W362" t="str" cm="1">
        <f t="array" ref="W36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63" spans="1:23" x14ac:dyDescent="0.35">
      <c r="A363" t="s">
        <v>492</v>
      </c>
      <c r="B363" s="7">
        <v>46135</v>
      </c>
      <c r="C363" t="s">
        <v>949</v>
      </c>
      <c r="D363">
        <v>4</v>
      </c>
      <c r="E363" t="s">
        <v>111</v>
      </c>
      <c r="F363" t="s">
        <v>31</v>
      </c>
      <c r="G363" t="s">
        <v>48</v>
      </c>
      <c r="H363" t="s">
        <v>33</v>
      </c>
      <c r="I363" t="s">
        <v>78</v>
      </c>
      <c r="J363" t="s">
        <v>79</v>
      </c>
      <c r="K363" t="s">
        <v>62</v>
      </c>
      <c r="L363">
        <v>6</v>
      </c>
      <c r="M363" s="10">
        <v>0.15</v>
      </c>
      <c r="N363" s="11">
        <v>433500</v>
      </c>
      <c r="O363" s="11">
        <v>258000</v>
      </c>
      <c r="P363" s="11">
        <v>175500</v>
      </c>
      <c r="Q363" t="s">
        <v>45</v>
      </c>
      <c r="R363" t="b">
        <f>COUNTIF($A$6     : CleanedSalesData[[#This Row],[Order ID]], CleanedSalesData[[#This Row],[Order ID]])&gt;1</f>
        <v>0</v>
      </c>
      <c r="S363" t="b">
        <f>IF(ISBLANK(CleanedSalesData[[#This Row],[Quantity]]), TRUE, FALSE)</f>
        <v>0</v>
      </c>
      <c r="T363" t="b">
        <f>IF(ISBLANK(CleanedSalesData[[#This Row],[Order Date]]), TRUE, FALSE)</f>
        <v>0</v>
      </c>
      <c r="U363" t="b">
        <f>IF(ISBLANK(CleanedSalesData[[#This Row],[Revenue]]), TRUE, FALSE)</f>
        <v>0</v>
      </c>
      <c r="V363" t="b">
        <f>IF(OR(CleanedSalesData[[#This Row],[Order Status]]="Cancelled", CleanedSalesData[[#This Row],[Order Status]]="Returned"), TRUE, FALSE)</f>
        <v>0</v>
      </c>
      <c r="W363" t="str" cm="1">
        <f t="array" ref="W36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64" spans="1:23" x14ac:dyDescent="0.35">
      <c r="A364" t="s">
        <v>493</v>
      </c>
      <c r="B364" s="7">
        <v>46045</v>
      </c>
      <c r="C364" t="s">
        <v>948</v>
      </c>
      <c r="D364">
        <v>1</v>
      </c>
      <c r="E364" t="s">
        <v>54</v>
      </c>
      <c r="F364" t="s">
        <v>47</v>
      </c>
      <c r="G364" t="s">
        <v>48</v>
      </c>
      <c r="H364" t="s">
        <v>33</v>
      </c>
      <c r="I364" t="s">
        <v>82</v>
      </c>
      <c r="J364" t="s">
        <v>83</v>
      </c>
      <c r="K364" t="s">
        <v>44</v>
      </c>
      <c r="L364">
        <v>2</v>
      </c>
      <c r="M364" s="10">
        <v>0.03</v>
      </c>
      <c r="N364" s="11">
        <v>2813000</v>
      </c>
      <c r="O364" s="11">
        <v>1960000</v>
      </c>
      <c r="P364" s="11">
        <v>853000</v>
      </c>
      <c r="Q364" t="s">
        <v>93</v>
      </c>
      <c r="R364" t="b">
        <f>COUNTIF($A$6     : CleanedSalesData[[#This Row],[Order ID]], CleanedSalesData[[#This Row],[Order ID]])&gt;1</f>
        <v>0</v>
      </c>
      <c r="S364" t="b">
        <f>IF(ISBLANK(CleanedSalesData[[#This Row],[Quantity]]), TRUE, FALSE)</f>
        <v>0</v>
      </c>
      <c r="T364" t="b">
        <f>IF(ISBLANK(CleanedSalesData[[#This Row],[Order Date]]), TRUE, FALSE)</f>
        <v>0</v>
      </c>
      <c r="U364" t="b">
        <f>IF(ISBLANK(CleanedSalesData[[#This Row],[Revenue]]), TRUE, FALSE)</f>
        <v>0</v>
      </c>
      <c r="V364" t="b">
        <f>IF(OR(CleanedSalesData[[#This Row],[Order Status]]="Cancelled", CleanedSalesData[[#This Row],[Order Status]]="Returned"), TRUE, FALSE)</f>
        <v>0</v>
      </c>
      <c r="W364" t="str" cm="1">
        <f t="array" ref="W36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65" spans="1:23" x14ac:dyDescent="0.35">
      <c r="A365" t="s">
        <v>494</v>
      </c>
      <c r="B365" s="7">
        <v>46103</v>
      </c>
      <c r="C365" t="s">
        <v>947</v>
      </c>
      <c r="D365">
        <v>3</v>
      </c>
      <c r="E365" t="s">
        <v>76</v>
      </c>
      <c r="F365" t="s">
        <v>40</v>
      </c>
      <c r="G365" t="s">
        <v>32</v>
      </c>
      <c r="H365" t="s">
        <v>33</v>
      </c>
      <c r="I365" t="s">
        <v>86</v>
      </c>
      <c r="J365" t="s">
        <v>87</v>
      </c>
      <c r="K365" t="s">
        <v>36</v>
      </c>
      <c r="L365">
        <v>3</v>
      </c>
      <c r="M365" s="10">
        <v>0.03</v>
      </c>
      <c r="N365" s="11">
        <v>1018500</v>
      </c>
      <c r="O365" s="11">
        <v>630000</v>
      </c>
      <c r="P365" s="11">
        <v>388500</v>
      </c>
      <c r="Q365" t="s">
        <v>74</v>
      </c>
      <c r="R365" t="b">
        <f>COUNTIF($A$6     : CleanedSalesData[[#This Row],[Order ID]], CleanedSalesData[[#This Row],[Order ID]])&gt;1</f>
        <v>0</v>
      </c>
      <c r="S365" t="b">
        <f>IF(ISBLANK(CleanedSalesData[[#This Row],[Quantity]]), TRUE, FALSE)</f>
        <v>0</v>
      </c>
      <c r="T365" t="b">
        <f>IF(ISBLANK(CleanedSalesData[[#This Row],[Order Date]]), TRUE, FALSE)</f>
        <v>0</v>
      </c>
      <c r="U365" t="b">
        <f>IF(ISBLANK(CleanedSalesData[[#This Row],[Revenue]]), TRUE, FALSE)</f>
        <v>0</v>
      </c>
      <c r="V365" t="b">
        <f>IF(OR(CleanedSalesData[[#This Row],[Order Status]]="Cancelled", CleanedSalesData[[#This Row],[Order Status]]="Returned"), TRUE, FALSE)</f>
        <v>0</v>
      </c>
      <c r="W365" t="str" cm="1">
        <f t="array" ref="W36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66" spans="1:23" x14ac:dyDescent="0.35">
      <c r="A366" t="s">
        <v>495</v>
      </c>
      <c r="B366" s="7">
        <v>46191</v>
      </c>
      <c r="C366" t="s">
        <v>945</v>
      </c>
      <c r="D366">
        <v>6</v>
      </c>
      <c r="E366" t="s">
        <v>65</v>
      </c>
      <c r="F366" t="s">
        <v>47</v>
      </c>
      <c r="G366" t="s">
        <v>32</v>
      </c>
      <c r="H366" t="s">
        <v>33</v>
      </c>
      <c r="I366" t="s">
        <v>34</v>
      </c>
      <c r="J366" t="s">
        <v>35</v>
      </c>
      <c r="K366" t="s">
        <v>36</v>
      </c>
      <c r="L366">
        <v>5</v>
      </c>
      <c r="M366" s="10">
        <v>0.03</v>
      </c>
      <c r="N366" s="11">
        <v>2303750</v>
      </c>
      <c r="O366" s="11">
        <v>1425000</v>
      </c>
      <c r="P366" s="11">
        <v>878750</v>
      </c>
      <c r="Q366" t="s">
        <v>57</v>
      </c>
      <c r="R366" t="b">
        <f>COUNTIF($A$6     : CleanedSalesData[[#This Row],[Order ID]], CleanedSalesData[[#This Row],[Order ID]])&gt;1</f>
        <v>0</v>
      </c>
      <c r="S366" t="b">
        <f>IF(ISBLANK(CleanedSalesData[[#This Row],[Quantity]]), TRUE, FALSE)</f>
        <v>0</v>
      </c>
      <c r="T366" t="b">
        <f>IF(ISBLANK(CleanedSalesData[[#This Row],[Order Date]]), TRUE, FALSE)</f>
        <v>0</v>
      </c>
      <c r="U366" t="b">
        <f>IF(ISBLANK(CleanedSalesData[[#This Row],[Revenue]]), TRUE, FALSE)</f>
        <v>0</v>
      </c>
      <c r="V366" t="b">
        <f>IF(OR(CleanedSalesData[[#This Row],[Order Status]]="Cancelled", CleanedSalesData[[#This Row],[Order Status]]="Returned"), TRUE, FALSE)</f>
        <v>0</v>
      </c>
      <c r="W366" t="str" cm="1">
        <f t="array" ref="W36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67" spans="1:23" x14ac:dyDescent="0.35">
      <c r="A367" t="s">
        <v>496</v>
      </c>
      <c r="B367" s="7">
        <v>46188</v>
      </c>
      <c r="C367" t="s">
        <v>945</v>
      </c>
      <c r="D367">
        <v>6</v>
      </c>
      <c r="E367" t="s">
        <v>111</v>
      </c>
      <c r="F367" t="s">
        <v>40</v>
      </c>
      <c r="G367" t="s">
        <v>32</v>
      </c>
      <c r="H367" t="s">
        <v>33</v>
      </c>
      <c r="I367" t="s">
        <v>42</v>
      </c>
      <c r="J367" t="s">
        <v>43</v>
      </c>
      <c r="K367" t="s">
        <v>44</v>
      </c>
      <c r="L367">
        <v>1</v>
      </c>
      <c r="M367" s="10">
        <v>0.03</v>
      </c>
      <c r="N367" s="11">
        <v>266750</v>
      </c>
      <c r="O367" s="11">
        <v>155000</v>
      </c>
      <c r="P367" s="11">
        <v>111750</v>
      </c>
      <c r="Q367" t="s">
        <v>37</v>
      </c>
      <c r="R367" t="b">
        <f>COUNTIF($A$6     : CleanedSalesData[[#This Row],[Order ID]], CleanedSalesData[[#This Row],[Order ID]])&gt;1</f>
        <v>0</v>
      </c>
      <c r="S367" t="b">
        <f>IF(ISBLANK(CleanedSalesData[[#This Row],[Quantity]]), TRUE, FALSE)</f>
        <v>0</v>
      </c>
      <c r="T367" t="b">
        <f>IF(ISBLANK(CleanedSalesData[[#This Row],[Order Date]]), TRUE, FALSE)</f>
        <v>0</v>
      </c>
      <c r="U367" t="b">
        <f>IF(ISBLANK(CleanedSalesData[[#This Row],[Revenue]]), TRUE, FALSE)</f>
        <v>0</v>
      </c>
      <c r="V367" t="b">
        <f>IF(OR(CleanedSalesData[[#This Row],[Order Status]]="Cancelled", CleanedSalesData[[#This Row],[Order Status]]="Returned"), TRUE, FALSE)</f>
        <v>0</v>
      </c>
      <c r="W367" t="str" cm="1">
        <f t="array" ref="W36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68" spans="1:23" x14ac:dyDescent="0.35">
      <c r="A368" t="s">
        <v>497</v>
      </c>
      <c r="B368" s="7">
        <v>46158</v>
      </c>
      <c r="C368" t="s">
        <v>946</v>
      </c>
      <c r="D368">
        <v>5</v>
      </c>
      <c r="E368" t="s">
        <v>54</v>
      </c>
      <c r="F368" t="s">
        <v>59</v>
      </c>
      <c r="G368" t="s">
        <v>48</v>
      </c>
      <c r="H368" t="s">
        <v>112</v>
      </c>
      <c r="I368" t="s">
        <v>49</v>
      </c>
      <c r="J368" t="s">
        <v>50</v>
      </c>
      <c r="K368" t="s">
        <v>51</v>
      </c>
      <c r="L368">
        <v>1</v>
      </c>
      <c r="M368" s="10">
        <v>0.05</v>
      </c>
      <c r="N368" s="11">
        <v>0</v>
      </c>
      <c r="O368" s="11">
        <v>145000</v>
      </c>
      <c r="P368" s="11">
        <v>-145000</v>
      </c>
      <c r="Q368" t="s">
        <v>84</v>
      </c>
      <c r="R368" t="b">
        <f>COUNTIF($A$6     : CleanedSalesData[[#This Row],[Order ID]], CleanedSalesData[[#This Row],[Order ID]])&gt;1</f>
        <v>0</v>
      </c>
      <c r="S368" t="b">
        <f>IF(ISBLANK(CleanedSalesData[[#This Row],[Quantity]]), TRUE, FALSE)</f>
        <v>0</v>
      </c>
      <c r="T368" t="b">
        <f>IF(ISBLANK(CleanedSalesData[[#This Row],[Order Date]]), TRUE, FALSE)</f>
        <v>0</v>
      </c>
      <c r="U368" t="b">
        <f>IF(ISBLANK(CleanedSalesData[[#This Row],[Revenue]]), TRUE, FALSE)</f>
        <v>0</v>
      </c>
      <c r="V368" t="b">
        <f>IF(OR(CleanedSalesData[[#This Row],[Order Status]]="Cancelled", CleanedSalesData[[#This Row],[Order Status]]="Returned"), TRUE, FALSE)</f>
        <v>1</v>
      </c>
      <c r="W368" t="str" cm="1">
        <f t="array" ref="W36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369" spans="1:23" x14ac:dyDescent="0.35">
      <c r="A369" t="s">
        <v>499</v>
      </c>
      <c r="B369" s="7">
        <v>46143</v>
      </c>
      <c r="C369" t="s">
        <v>946</v>
      </c>
      <c r="D369">
        <v>5</v>
      </c>
      <c r="E369" t="s">
        <v>39</v>
      </c>
      <c r="F369" t="s">
        <v>40</v>
      </c>
      <c r="G369" t="s">
        <v>81</v>
      </c>
      <c r="H369" t="s">
        <v>33</v>
      </c>
      <c r="I369" t="s">
        <v>55</v>
      </c>
      <c r="J369" t="s">
        <v>56</v>
      </c>
      <c r="K369" t="s">
        <v>36</v>
      </c>
      <c r="L369">
        <v>2</v>
      </c>
      <c r="M369" s="10">
        <v>0</v>
      </c>
      <c r="N369" s="11">
        <v>3700000</v>
      </c>
      <c r="O369" s="11">
        <v>2640000</v>
      </c>
      <c r="P369" s="11">
        <v>1060000</v>
      </c>
      <c r="Q369" t="s">
        <v>74</v>
      </c>
      <c r="R369" t="b">
        <f>COUNTIF($A$6     : CleanedSalesData[[#This Row],[Order ID]], CleanedSalesData[[#This Row],[Order ID]])&gt;1</f>
        <v>0</v>
      </c>
      <c r="S369" t="b">
        <f>IF(ISBLANK(CleanedSalesData[[#This Row],[Quantity]]), TRUE, FALSE)</f>
        <v>0</v>
      </c>
      <c r="T369" t="b">
        <f>IF(ISBLANK(CleanedSalesData[[#This Row],[Order Date]]), TRUE, FALSE)</f>
        <v>0</v>
      </c>
      <c r="U369" t="b">
        <f>IF(ISBLANK(CleanedSalesData[[#This Row],[Revenue]]), TRUE, FALSE)</f>
        <v>0</v>
      </c>
      <c r="V369" t="b">
        <f>IF(OR(CleanedSalesData[[#This Row],[Order Status]]="Cancelled", CleanedSalesData[[#This Row],[Order Status]]="Returned"), TRUE, FALSE)</f>
        <v>0</v>
      </c>
      <c r="W369" t="str" cm="1">
        <f t="array" ref="W36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0" spans="1:23" x14ac:dyDescent="0.35">
      <c r="A370" t="s">
        <v>501</v>
      </c>
      <c r="B370" s="7">
        <v>46038</v>
      </c>
      <c r="C370" t="s">
        <v>948</v>
      </c>
      <c r="D370">
        <v>1</v>
      </c>
      <c r="E370" t="s">
        <v>65</v>
      </c>
      <c r="F370" t="s">
        <v>47</v>
      </c>
      <c r="G370" t="s">
        <v>48</v>
      </c>
      <c r="H370" t="s">
        <v>33</v>
      </c>
      <c r="I370" t="s">
        <v>60</v>
      </c>
      <c r="J370" t="s">
        <v>61</v>
      </c>
      <c r="K370" t="s">
        <v>62</v>
      </c>
      <c r="L370">
        <v>7</v>
      </c>
      <c r="M370" s="10">
        <v>0.1</v>
      </c>
      <c r="N370" s="11">
        <v>409500</v>
      </c>
      <c r="O370" s="11">
        <v>217000</v>
      </c>
      <c r="P370" s="11">
        <v>192500</v>
      </c>
      <c r="Q370" t="s">
        <v>93</v>
      </c>
      <c r="R370" t="b">
        <f>COUNTIF($A$6     : CleanedSalesData[[#This Row],[Order ID]], CleanedSalesData[[#This Row],[Order ID]])&gt;1</f>
        <v>0</v>
      </c>
      <c r="S370" t="b">
        <f>IF(ISBLANK(CleanedSalesData[[#This Row],[Quantity]]), TRUE, FALSE)</f>
        <v>0</v>
      </c>
      <c r="T370" t="b">
        <f>IF(ISBLANK(CleanedSalesData[[#This Row],[Order Date]]), TRUE, FALSE)</f>
        <v>0</v>
      </c>
      <c r="U370" t="b">
        <f>IF(ISBLANK(CleanedSalesData[[#This Row],[Revenue]]), TRUE, FALSE)</f>
        <v>0</v>
      </c>
      <c r="V370" t="b">
        <f>IF(OR(CleanedSalesData[[#This Row],[Order Status]]="Cancelled", CleanedSalesData[[#This Row],[Order Status]]="Returned"), TRUE, FALSE)</f>
        <v>0</v>
      </c>
      <c r="W370" t="str" cm="1">
        <f t="array" ref="W37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1" spans="1:23" x14ac:dyDescent="0.35">
      <c r="A371" t="s">
        <v>502</v>
      </c>
      <c r="B371" s="7">
        <v>46044</v>
      </c>
      <c r="C371" t="s">
        <v>948</v>
      </c>
      <c r="D371">
        <v>1</v>
      </c>
      <c r="E371" t="s">
        <v>30</v>
      </c>
      <c r="F371" t="s">
        <v>40</v>
      </c>
      <c r="G371" t="s">
        <v>32</v>
      </c>
      <c r="H371" t="s">
        <v>33</v>
      </c>
      <c r="I371" t="s">
        <v>66</v>
      </c>
      <c r="J371" t="s">
        <v>67</v>
      </c>
      <c r="K371" t="s">
        <v>51</v>
      </c>
      <c r="L371">
        <v>3</v>
      </c>
      <c r="M371" s="10">
        <v>0.05</v>
      </c>
      <c r="N371" s="11">
        <v>883500</v>
      </c>
      <c r="O371" s="11">
        <v>570000</v>
      </c>
      <c r="P371" s="11">
        <v>313500</v>
      </c>
      <c r="Q371" t="s">
        <v>63</v>
      </c>
      <c r="R371" t="b">
        <f>COUNTIF($A$6     : CleanedSalesData[[#This Row],[Order ID]], CleanedSalesData[[#This Row],[Order ID]])&gt;1</f>
        <v>0</v>
      </c>
      <c r="S371" t="b">
        <f>IF(ISBLANK(CleanedSalesData[[#This Row],[Quantity]]), TRUE, FALSE)</f>
        <v>0</v>
      </c>
      <c r="T371" t="b">
        <f>IF(ISBLANK(CleanedSalesData[[#This Row],[Order Date]]), TRUE, FALSE)</f>
        <v>0</v>
      </c>
      <c r="U371" t="b">
        <f>IF(ISBLANK(CleanedSalesData[[#This Row],[Revenue]]), TRUE, FALSE)</f>
        <v>0</v>
      </c>
      <c r="V371" t="b">
        <f>IF(OR(CleanedSalesData[[#This Row],[Order Status]]="Cancelled", CleanedSalesData[[#This Row],[Order Status]]="Returned"), TRUE, FALSE)</f>
        <v>0</v>
      </c>
      <c r="W371" t="str" cm="1">
        <f t="array" ref="W37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2" spans="1:23" x14ac:dyDescent="0.35">
      <c r="A372" t="s">
        <v>503</v>
      </c>
      <c r="B372" s="7">
        <v>46123</v>
      </c>
      <c r="C372" t="s">
        <v>949</v>
      </c>
      <c r="D372">
        <v>4</v>
      </c>
      <c r="E372" t="s">
        <v>39</v>
      </c>
      <c r="F372" t="s">
        <v>31</v>
      </c>
      <c r="G372" t="s">
        <v>41</v>
      </c>
      <c r="H372" t="s">
        <v>33</v>
      </c>
      <c r="I372" t="s">
        <v>71</v>
      </c>
      <c r="J372" t="s">
        <v>72</v>
      </c>
      <c r="K372" t="s">
        <v>73</v>
      </c>
      <c r="L372">
        <v>2</v>
      </c>
      <c r="M372" s="10">
        <v>0.05</v>
      </c>
      <c r="N372" s="11">
        <v>237500</v>
      </c>
      <c r="O372" s="11">
        <v>140000</v>
      </c>
      <c r="P372" s="11">
        <v>97500</v>
      </c>
      <c r="Q372" t="s">
        <v>37</v>
      </c>
      <c r="R372" t="b">
        <f>COUNTIF($A$6     : CleanedSalesData[[#This Row],[Order ID]], CleanedSalesData[[#This Row],[Order ID]])&gt;1</f>
        <v>0</v>
      </c>
      <c r="S372" t="b">
        <f>IF(ISBLANK(CleanedSalesData[[#This Row],[Quantity]]), TRUE, FALSE)</f>
        <v>0</v>
      </c>
      <c r="T372" t="b">
        <f>IF(ISBLANK(CleanedSalesData[[#This Row],[Order Date]]), TRUE, FALSE)</f>
        <v>0</v>
      </c>
      <c r="U372" t="b">
        <f>IF(ISBLANK(CleanedSalesData[[#This Row],[Revenue]]), TRUE, FALSE)</f>
        <v>0</v>
      </c>
      <c r="V372" t="b">
        <f>IF(OR(CleanedSalesData[[#This Row],[Order Status]]="Cancelled", CleanedSalesData[[#This Row],[Order Status]]="Returned"), TRUE, FALSE)</f>
        <v>0</v>
      </c>
      <c r="W372" t="str" cm="1">
        <f t="array" ref="W37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3" spans="1:23" x14ac:dyDescent="0.35">
      <c r="A373" t="s">
        <v>504</v>
      </c>
      <c r="B373" s="7">
        <v>46134</v>
      </c>
      <c r="C373" t="s">
        <v>949</v>
      </c>
      <c r="D373">
        <v>4</v>
      </c>
      <c r="E373" t="s">
        <v>30</v>
      </c>
      <c r="F373" t="s">
        <v>40</v>
      </c>
      <c r="G373" t="s">
        <v>81</v>
      </c>
      <c r="H373" t="s">
        <v>33</v>
      </c>
      <c r="I373" t="s">
        <v>78</v>
      </c>
      <c r="J373" t="s">
        <v>79</v>
      </c>
      <c r="K373" t="s">
        <v>62</v>
      </c>
      <c r="L373">
        <v>2</v>
      </c>
      <c r="M373" s="10">
        <v>0.08</v>
      </c>
      <c r="N373" s="11">
        <v>156400</v>
      </c>
      <c r="O373" s="11">
        <v>86000</v>
      </c>
      <c r="P373" s="11">
        <v>70400</v>
      </c>
      <c r="Q373" t="s">
        <v>37</v>
      </c>
      <c r="R373" t="b">
        <f>COUNTIF($A$6     : CleanedSalesData[[#This Row],[Order ID]], CleanedSalesData[[#This Row],[Order ID]])&gt;1</f>
        <v>0</v>
      </c>
      <c r="S373" t="b">
        <f>IF(ISBLANK(CleanedSalesData[[#This Row],[Quantity]]), TRUE, FALSE)</f>
        <v>0</v>
      </c>
      <c r="T373" t="b">
        <f>IF(ISBLANK(CleanedSalesData[[#This Row],[Order Date]]), TRUE, FALSE)</f>
        <v>0</v>
      </c>
      <c r="U373" t="b">
        <f>IF(ISBLANK(CleanedSalesData[[#This Row],[Revenue]]), TRUE, FALSE)</f>
        <v>0</v>
      </c>
      <c r="V373" t="b">
        <f>IF(OR(CleanedSalesData[[#This Row],[Order Status]]="Cancelled", CleanedSalesData[[#This Row],[Order Status]]="Returned"), TRUE, FALSE)</f>
        <v>0</v>
      </c>
      <c r="W373" t="str" cm="1">
        <f t="array" ref="W37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4" spans="1:23" x14ac:dyDescent="0.35">
      <c r="A374" t="s">
        <v>505</v>
      </c>
      <c r="B374" s="7">
        <v>46026</v>
      </c>
      <c r="C374" t="s">
        <v>948</v>
      </c>
      <c r="D374">
        <v>1</v>
      </c>
      <c r="E374" t="s">
        <v>76</v>
      </c>
      <c r="F374" t="s">
        <v>59</v>
      </c>
      <c r="G374" t="s">
        <v>81</v>
      </c>
      <c r="H374" t="s">
        <v>33</v>
      </c>
      <c r="I374" t="s">
        <v>82</v>
      </c>
      <c r="J374" t="s">
        <v>83</v>
      </c>
      <c r="K374" t="s">
        <v>44</v>
      </c>
      <c r="L374">
        <v>3</v>
      </c>
      <c r="M374" s="10">
        <v>0.15</v>
      </c>
      <c r="N374" s="11">
        <v>3697500</v>
      </c>
      <c r="O374" s="11">
        <v>2940000</v>
      </c>
      <c r="P374" s="11">
        <v>757500</v>
      </c>
      <c r="Q374" t="s">
        <v>84</v>
      </c>
      <c r="R374" t="b">
        <f>COUNTIF($A$6     : CleanedSalesData[[#This Row],[Order ID]], CleanedSalesData[[#This Row],[Order ID]])&gt;1</f>
        <v>0</v>
      </c>
      <c r="S374" t="b">
        <f>IF(ISBLANK(CleanedSalesData[[#This Row],[Quantity]]), TRUE, FALSE)</f>
        <v>0</v>
      </c>
      <c r="T374" t="b">
        <f>IF(ISBLANK(CleanedSalesData[[#This Row],[Order Date]]), TRUE, FALSE)</f>
        <v>0</v>
      </c>
      <c r="U374" t="b">
        <f>IF(ISBLANK(CleanedSalesData[[#This Row],[Revenue]]), TRUE, FALSE)</f>
        <v>0</v>
      </c>
      <c r="V374" t="b">
        <f>IF(OR(CleanedSalesData[[#This Row],[Order Status]]="Cancelled", CleanedSalesData[[#This Row],[Order Status]]="Returned"), TRUE, FALSE)</f>
        <v>0</v>
      </c>
      <c r="W374" t="str" cm="1">
        <f t="array" ref="W37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5" spans="1:23" x14ac:dyDescent="0.35">
      <c r="A375" t="s">
        <v>507</v>
      </c>
      <c r="B375" s="7">
        <v>46118</v>
      </c>
      <c r="C375" t="s">
        <v>949</v>
      </c>
      <c r="D375">
        <v>4</v>
      </c>
      <c r="E375" t="s">
        <v>95</v>
      </c>
      <c r="F375" t="s">
        <v>70</v>
      </c>
      <c r="G375" t="s">
        <v>41</v>
      </c>
      <c r="H375" t="s">
        <v>90</v>
      </c>
      <c r="I375" t="s">
        <v>86</v>
      </c>
      <c r="J375" t="s">
        <v>87</v>
      </c>
      <c r="K375" t="s">
        <v>36</v>
      </c>
      <c r="L375">
        <v>3</v>
      </c>
      <c r="M375" s="10">
        <v>0.15</v>
      </c>
      <c r="N375" s="11">
        <v>892500</v>
      </c>
      <c r="O375" s="11">
        <v>630000</v>
      </c>
      <c r="P375" s="11">
        <v>262500</v>
      </c>
      <c r="Q375" t="s">
        <v>63</v>
      </c>
      <c r="R375" t="b">
        <f>COUNTIF($A$6     : CleanedSalesData[[#This Row],[Order ID]], CleanedSalesData[[#This Row],[Order ID]])&gt;1</f>
        <v>0</v>
      </c>
      <c r="S375" t="b">
        <f>IF(ISBLANK(CleanedSalesData[[#This Row],[Quantity]]), TRUE, FALSE)</f>
        <v>0</v>
      </c>
      <c r="T375" t="b">
        <f>IF(ISBLANK(CleanedSalesData[[#This Row],[Order Date]]), TRUE, FALSE)</f>
        <v>0</v>
      </c>
      <c r="U375" t="b">
        <f>IF(ISBLANK(CleanedSalesData[[#This Row],[Revenue]]), TRUE, FALSE)</f>
        <v>0</v>
      </c>
      <c r="V375" t="b">
        <f>IF(OR(CleanedSalesData[[#This Row],[Order Status]]="Cancelled", CleanedSalesData[[#This Row],[Order Status]]="Returned"), TRUE, FALSE)</f>
        <v>0</v>
      </c>
      <c r="W375" t="str" cm="1">
        <f t="array" ref="W37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6" spans="1:23" x14ac:dyDescent="0.35">
      <c r="A376" t="s">
        <v>509</v>
      </c>
      <c r="B376" s="7">
        <v>46132</v>
      </c>
      <c r="C376" t="s">
        <v>949</v>
      </c>
      <c r="D376">
        <v>4</v>
      </c>
      <c r="E376" t="s">
        <v>111</v>
      </c>
      <c r="F376" t="s">
        <v>47</v>
      </c>
      <c r="G376" t="s">
        <v>41</v>
      </c>
      <c r="H376" t="s">
        <v>33</v>
      </c>
      <c r="I376" t="s">
        <v>34</v>
      </c>
      <c r="J376" t="s">
        <v>35</v>
      </c>
      <c r="K376" t="s">
        <v>36</v>
      </c>
      <c r="L376">
        <v>5</v>
      </c>
      <c r="M376" s="10">
        <v>0.1</v>
      </c>
      <c r="N376" s="11">
        <v>2137500</v>
      </c>
      <c r="O376" s="11">
        <v>1425000</v>
      </c>
      <c r="P376" s="11">
        <v>712500</v>
      </c>
      <c r="Q376" t="s">
        <v>52</v>
      </c>
      <c r="R376" t="b">
        <f>COUNTIF($A$6     : CleanedSalesData[[#This Row],[Order ID]], CleanedSalesData[[#This Row],[Order ID]])&gt;1</f>
        <v>0</v>
      </c>
      <c r="S376" t="b">
        <f>IF(ISBLANK(CleanedSalesData[[#This Row],[Quantity]]), TRUE, FALSE)</f>
        <v>0</v>
      </c>
      <c r="T376" t="b">
        <f>IF(ISBLANK(CleanedSalesData[[#This Row],[Order Date]]), TRUE, FALSE)</f>
        <v>0</v>
      </c>
      <c r="U376" t="b">
        <f>IF(ISBLANK(CleanedSalesData[[#This Row],[Revenue]]), TRUE, FALSE)</f>
        <v>0</v>
      </c>
      <c r="V376" t="b">
        <f>IF(OR(CleanedSalesData[[#This Row],[Order Status]]="Cancelled", CleanedSalesData[[#This Row],[Order Status]]="Returned"), TRUE, FALSE)</f>
        <v>0</v>
      </c>
      <c r="W376" t="str" cm="1">
        <f t="array" ref="W37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7" spans="1:23" x14ac:dyDescent="0.35">
      <c r="A377" t="s">
        <v>510</v>
      </c>
      <c r="B377" s="7">
        <v>46153</v>
      </c>
      <c r="C377" t="s">
        <v>946</v>
      </c>
      <c r="D377">
        <v>5</v>
      </c>
      <c r="E377" t="s">
        <v>54</v>
      </c>
      <c r="F377" t="s">
        <v>47</v>
      </c>
      <c r="G377" t="s">
        <v>32</v>
      </c>
      <c r="H377" t="s">
        <v>33</v>
      </c>
      <c r="I377" t="s">
        <v>42</v>
      </c>
      <c r="J377" t="s">
        <v>43</v>
      </c>
      <c r="K377" t="s">
        <v>44</v>
      </c>
      <c r="L377">
        <v>6</v>
      </c>
      <c r="M377" s="10">
        <v>0</v>
      </c>
      <c r="N377" s="11">
        <v>1650000</v>
      </c>
      <c r="O377" s="11">
        <v>930000</v>
      </c>
      <c r="P377" s="11">
        <v>720000</v>
      </c>
      <c r="Q377" t="s">
        <v>84</v>
      </c>
      <c r="R377" t="b">
        <f>COUNTIF($A$6     : CleanedSalesData[[#This Row],[Order ID]], CleanedSalesData[[#This Row],[Order ID]])&gt;1</f>
        <v>0</v>
      </c>
      <c r="S377" t="b">
        <f>IF(ISBLANK(CleanedSalesData[[#This Row],[Quantity]]), TRUE, FALSE)</f>
        <v>0</v>
      </c>
      <c r="T377" t="b">
        <f>IF(ISBLANK(CleanedSalesData[[#This Row],[Order Date]]), TRUE, FALSE)</f>
        <v>0</v>
      </c>
      <c r="U377" t="b">
        <f>IF(ISBLANK(CleanedSalesData[[#This Row],[Revenue]]), TRUE, FALSE)</f>
        <v>0</v>
      </c>
      <c r="V377" t="b">
        <f>IF(OR(CleanedSalesData[[#This Row],[Order Status]]="Cancelled", CleanedSalesData[[#This Row],[Order Status]]="Returned"), TRUE, FALSE)</f>
        <v>0</v>
      </c>
      <c r="W377" t="str" cm="1">
        <f t="array" ref="W37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8" spans="1:23" x14ac:dyDescent="0.35">
      <c r="A378" t="s">
        <v>511</v>
      </c>
      <c r="B378" s="7">
        <v>46088</v>
      </c>
      <c r="C378" t="s">
        <v>947</v>
      </c>
      <c r="D378">
        <v>3</v>
      </c>
      <c r="E378" t="s">
        <v>95</v>
      </c>
      <c r="F378" t="s">
        <v>40</v>
      </c>
      <c r="G378" t="s">
        <v>32</v>
      </c>
      <c r="H378" t="s">
        <v>33</v>
      </c>
      <c r="I378" t="s">
        <v>49</v>
      </c>
      <c r="J378" t="s">
        <v>50</v>
      </c>
      <c r="K378" t="s">
        <v>51</v>
      </c>
      <c r="L378">
        <v>2</v>
      </c>
      <c r="M378" s="10">
        <v>0.1</v>
      </c>
      <c r="N378" s="11">
        <v>441000</v>
      </c>
      <c r="O378" s="11">
        <v>290000</v>
      </c>
      <c r="P378" s="11">
        <v>151000</v>
      </c>
      <c r="Q378" t="s">
        <v>74</v>
      </c>
      <c r="R378" t="b">
        <f>COUNTIF($A$6     : CleanedSalesData[[#This Row],[Order ID]], CleanedSalesData[[#This Row],[Order ID]])&gt;1</f>
        <v>0</v>
      </c>
      <c r="S378" t="b">
        <f>IF(ISBLANK(CleanedSalesData[[#This Row],[Quantity]]), TRUE, FALSE)</f>
        <v>0</v>
      </c>
      <c r="T378" t="b">
        <f>IF(ISBLANK(CleanedSalesData[[#This Row],[Order Date]]), TRUE, FALSE)</f>
        <v>0</v>
      </c>
      <c r="U378" t="b">
        <f>IF(ISBLANK(CleanedSalesData[[#This Row],[Revenue]]), TRUE, FALSE)</f>
        <v>0</v>
      </c>
      <c r="V378" t="b">
        <f>IF(OR(CleanedSalesData[[#This Row],[Order Status]]="Cancelled", CleanedSalesData[[#This Row],[Order Status]]="Returned"), TRUE, FALSE)</f>
        <v>0</v>
      </c>
      <c r="W378" t="str" cm="1">
        <f t="array" ref="W37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79" spans="1:23" x14ac:dyDescent="0.35">
      <c r="A379" t="s">
        <v>512</v>
      </c>
      <c r="B379" s="7">
        <v>46026</v>
      </c>
      <c r="C379" t="s">
        <v>948</v>
      </c>
      <c r="D379">
        <v>1</v>
      </c>
      <c r="E379" t="s">
        <v>30</v>
      </c>
      <c r="F379" t="s">
        <v>59</v>
      </c>
      <c r="G379" t="s">
        <v>32</v>
      </c>
      <c r="H379" t="s">
        <v>33</v>
      </c>
      <c r="I379" t="s">
        <v>55</v>
      </c>
      <c r="J379" t="s">
        <v>56</v>
      </c>
      <c r="K379" t="s">
        <v>36</v>
      </c>
      <c r="L379">
        <v>4</v>
      </c>
      <c r="M379" s="10">
        <v>0</v>
      </c>
      <c r="N379" s="11">
        <v>7400000</v>
      </c>
      <c r="O379" s="11">
        <v>5280000</v>
      </c>
      <c r="P379" s="11">
        <v>2120000</v>
      </c>
      <c r="Q379" t="s">
        <v>74</v>
      </c>
      <c r="R379" t="b">
        <f>COUNTIF($A$6     : CleanedSalesData[[#This Row],[Order ID]], CleanedSalesData[[#This Row],[Order ID]])&gt;1</f>
        <v>0</v>
      </c>
      <c r="S379" t="b">
        <f>IF(ISBLANK(CleanedSalesData[[#This Row],[Quantity]]), TRUE, FALSE)</f>
        <v>0</v>
      </c>
      <c r="T379" t="b">
        <f>IF(ISBLANK(CleanedSalesData[[#This Row],[Order Date]]), TRUE, FALSE)</f>
        <v>0</v>
      </c>
      <c r="U379" t="b">
        <f>IF(ISBLANK(CleanedSalesData[[#This Row],[Revenue]]), TRUE, FALSE)</f>
        <v>0</v>
      </c>
      <c r="V379" t="b">
        <f>IF(OR(CleanedSalesData[[#This Row],[Order Status]]="Cancelled", CleanedSalesData[[#This Row],[Order Status]]="Returned"), TRUE, FALSE)</f>
        <v>0</v>
      </c>
      <c r="W379" t="str" cm="1">
        <f t="array" ref="W37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0" spans="1:23" x14ac:dyDescent="0.35">
      <c r="A380" t="s">
        <v>513</v>
      </c>
      <c r="B380" s="7">
        <v>46164</v>
      </c>
      <c r="C380" t="s">
        <v>946</v>
      </c>
      <c r="D380">
        <v>5</v>
      </c>
      <c r="E380" t="s">
        <v>76</v>
      </c>
      <c r="F380" t="s">
        <v>59</v>
      </c>
      <c r="G380" t="s">
        <v>81</v>
      </c>
      <c r="H380" t="s">
        <v>33</v>
      </c>
      <c r="I380" t="s">
        <v>60</v>
      </c>
      <c r="J380" t="s">
        <v>61</v>
      </c>
      <c r="K380" t="s">
        <v>62</v>
      </c>
      <c r="L380">
        <v>7</v>
      </c>
      <c r="M380" s="10">
        <v>0.03</v>
      </c>
      <c r="N380" s="11">
        <v>441350</v>
      </c>
      <c r="O380" s="11">
        <v>217000</v>
      </c>
      <c r="P380" s="11">
        <v>224350</v>
      </c>
      <c r="Q380" t="s">
        <v>37</v>
      </c>
      <c r="R380" t="b">
        <f>COUNTIF($A$6     : CleanedSalesData[[#This Row],[Order ID]], CleanedSalesData[[#This Row],[Order ID]])&gt;1</f>
        <v>0</v>
      </c>
      <c r="S380" t="b">
        <f>IF(ISBLANK(CleanedSalesData[[#This Row],[Quantity]]), TRUE, FALSE)</f>
        <v>0</v>
      </c>
      <c r="T380" t="b">
        <f>IF(ISBLANK(CleanedSalesData[[#This Row],[Order Date]]), TRUE, FALSE)</f>
        <v>0</v>
      </c>
      <c r="U380" t="b">
        <f>IF(ISBLANK(CleanedSalesData[[#This Row],[Revenue]]), TRUE, FALSE)</f>
        <v>0</v>
      </c>
      <c r="V380" t="b">
        <f>IF(OR(CleanedSalesData[[#This Row],[Order Status]]="Cancelled", CleanedSalesData[[#This Row],[Order Status]]="Returned"), TRUE, FALSE)</f>
        <v>0</v>
      </c>
      <c r="W380" t="str" cm="1">
        <f t="array" ref="W38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1" spans="1:23" x14ac:dyDescent="0.35">
      <c r="A381" t="s">
        <v>514</v>
      </c>
      <c r="B381" s="7">
        <v>46169</v>
      </c>
      <c r="C381" t="s">
        <v>946</v>
      </c>
      <c r="D381">
        <v>5</v>
      </c>
      <c r="E381" t="s">
        <v>39</v>
      </c>
      <c r="F381" t="s">
        <v>40</v>
      </c>
      <c r="G381" t="s">
        <v>32</v>
      </c>
      <c r="H381" t="s">
        <v>33</v>
      </c>
      <c r="I381" t="s">
        <v>66</v>
      </c>
      <c r="J381" t="s">
        <v>67</v>
      </c>
      <c r="K381" t="s">
        <v>51</v>
      </c>
      <c r="L381">
        <v>6</v>
      </c>
      <c r="M381" s="10">
        <v>0</v>
      </c>
      <c r="N381" s="11">
        <v>1860000</v>
      </c>
      <c r="O381" s="11">
        <v>1140000</v>
      </c>
      <c r="P381" s="11">
        <v>720000</v>
      </c>
      <c r="Q381" t="s">
        <v>74</v>
      </c>
      <c r="R381" t="b">
        <f>COUNTIF($A$6     : CleanedSalesData[[#This Row],[Order ID]], CleanedSalesData[[#This Row],[Order ID]])&gt;1</f>
        <v>0</v>
      </c>
      <c r="S381" t="b">
        <f>IF(ISBLANK(CleanedSalesData[[#This Row],[Quantity]]), TRUE, FALSE)</f>
        <v>0</v>
      </c>
      <c r="T381" t="b">
        <f>IF(ISBLANK(CleanedSalesData[[#This Row],[Order Date]]), TRUE, FALSE)</f>
        <v>0</v>
      </c>
      <c r="U381" t="b">
        <f>IF(ISBLANK(CleanedSalesData[[#This Row],[Revenue]]), TRUE, FALSE)</f>
        <v>0</v>
      </c>
      <c r="V381" t="b">
        <f>IF(OR(CleanedSalesData[[#This Row],[Order Status]]="Cancelled", CleanedSalesData[[#This Row],[Order Status]]="Returned"), TRUE, FALSE)</f>
        <v>0</v>
      </c>
      <c r="W381" t="str" cm="1">
        <f t="array" ref="W38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2" spans="1:23" x14ac:dyDescent="0.35">
      <c r="A382" t="s">
        <v>516</v>
      </c>
      <c r="B382" s="7">
        <v>46125</v>
      </c>
      <c r="C382" t="s">
        <v>949</v>
      </c>
      <c r="D382">
        <v>4</v>
      </c>
      <c r="E382" t="s">
        <v>69</v>
      </c>
      <c r="F382" t="s">
        <v>70</v>
      </c>
      <c r="G382" t="s">
        <v>81</v>
      </c>
      <c r="H382" t="s">
        <v>90</v>
      </c>
      <c r="I382" t="s">
        <v>71</v>
      </c>
      <c r="J382" t="s">
        <v>72</v>
      </c>
      <c r="K382" t="s">
        <v>73</v>
      </c>
      <c r="L382">
        <v>2</v>
      </c>
      <c r="M382" s="10">
        <v>0.08</v>
      </c>
      <c r="N382" s="11">
        <v>230000</v>
      </c>
      <c r="O382" s="11">
        <v>140000</v>
      </c>
      <c r="P382" s="11">
        <v>90000</v>
      </c>
      <c r="Q382" t="s">
        <v>52</v>
      </c>
      <c r="R382" t="b">
        <f>COUNTIF($A$6     : CleanedSalesData[[#This Row],[Order ID]], CleanedSalesData[[#This Row],[Order ID]])&gt;1</f>
        <v>0</v>
      </c>
      <c r="S382" t="b">
        <f>IF(ISBLANK(CleanedSalesData[[#This Row],[Quantity]]), TRUE, FALSE)</f>
        <v>0</v>
      </c>
      <c r="T382" t="b">
        <f>IF(ISBLANK(CleanedSalesData[[#This Row],[Order Date]]), TRUE, FALSE)</f>
        <v>0</v>
      </c>
      <c r="U382" t="b">
        <f>IF(ISBLANK(CleanedSalesData[[#This Row],[Revenue]]), TRUE, FALSE)</f>
        <v>0</v>
      </c>
      <c r="V382" t="b">
        <f>IF(OR(CleanedSalesData[[#This Row],[Order Status]]="Cancelled", CleanedSalesData[[#This Row],[Order Status]]="Returned"), TRUE, FALSE)</f>
        <v>0</v>
      </c>
      <c r="W382" t="str" cm="1">
        <f t="array" ref="W38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3" spans="1:23" x14ac:dyDescent="0.35">
      <c r="A383" t="s">
        <v>517</v>
      </c>
      <c r="B383" s="7">
        <v>46025</v>
      </c>
      <c r="C383" t="s">
        <v>948</v>
      </c>
      <c r="D383">
        <v>1</v>
      </c>
      <c r="E383" t="s">
        <v>111</v>
      </c>
      <c r="F383" t="s">
        <v>70</v>
      </c>
      <c r="G383" t="s">
        <v>32</v>
      </c>
      <c r="H383" t="s">
        <v>33</v>
      </c>
      <c r="I383" t="s">
        <v>78</v>
      </c>
      <c r="J383" t="s">
        <v>79</v>
      </c>
      <c r="K383" t="s">
        <v>62</v>
      </c>
      <c r="L383">
        <v>6</v>
      </c>
      <c r="M383" s="10">
        <v>0.03</v>
      </c>
      <c r="N383" s="11">
        <v>494700</v>
      </c>
      <c r="O383" s="11">
        <v>258000</v>
      </c>
      <c r="P383" s="11">
        <v>236700</v>
      </c>
      <c r="Q383" t="s">
        <v>63</v>
      </c>
      <c r="R383" t="b">
        <f>COUNTIF($A$6     : CleanedSalesData[[#This Row],[Order ID]], CleanedSalesData[[#This Row],[Order ID]])&gt;1</f>
        <v>0</v>
      </c>
      <c r="S383" t="b">
        <f>IF(ISBLANK(CleanedSalesData[[#This Row],[Quantity]]), TRUE, FALSE)</f>
        <v>0</v>
      </c>
      <c r="T383" t="b">
        <f>IF(ISBLANK(CleanedSalesData[[#This Row],[Order Date]]), TRUE, FALSE)</f>
        <v>0</v>
      </c>
      <c r="U383" t="b">
        <f>IF(ISBLANK(CleanedSalesData[[#This Row],[Revenue]]), TRUE, FALSE)</f>
        <v>0</v>
      </c>
      <c r="V383" t="b">
        <f>IF(OR(CleanedSalesData[[#This Row],[Order Status]]="Cancelled", CleanedSalesData[[#This Row],[Order Status]]="Returned"), TRUE, FALSE)</f>
        <v>0</v>
      </c>
      <c r="W383" t="str" cm="1">
        <f t="array" ref="W38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4" spans="1:23" x14ac:dyDescent="0.35">
      <c r="A384" t="s">
        <v>518</v>
      </c>
      <c r="B384" s="7">
        <v>46174</v>
      </c>
      <c r="C384" t="s">
        <v>945</v>
      </c>
      <c r="D384">
        <v>6</v>
      </c>
      <c r="E384" t="s">
        <v>30</v>
      </c>
      <c r="F384" t="s">
        <v>47</v>
      </c>
      <c r="G384" t="s">
        <v>32</v>
      </c>
      <c r="H384" t="s">
        <v>33</v>
      </c>
      <c r="I384" t="s">
        <v>82</v>
      </c>
      <c r="J384" t="s">
        <v>83</v>
      </c>
      <c r="K384" t="s">
        <v>44</v>
      </c>
      <c r="L384">
        <v>8</v>
      </c>
      <c r="M384" s="10">
        <v>0.03</v>
      </c>
      <c r="N384" s="11">
        <v>11252000</v>
      </c>
      <c r="O384" s="11">
        <v>7840000</v>
      </c>
      <c r="P384" s="11">
        <v>3412000</v>
      </c>
      <c r="Q384" t="s">
        <v>74</v>
      </c>
      <c r="R384" t="b">
        <f>COUNTIF($A$6     : CleanedSalesData[[#This Row],[Order ID]], CleanedSalesData[[#This Row],[Order ID]])&gt;1</f>
        <v>0</v>
      </c>
      <c r="S384" t="b">
        <f>IF(ISBLANK(CleanedSalesData[[#This Row],[Quantity]]), TRUE, FALSE)</f>
        <v>0</v>
      </c>
      <c r="T384" t="b">
        <f>IF(ISBLANK(CleanedSalesData[[#This Row],[Order Date]]), TRUE, FALSE)</f>
        <v>0</v>
      </c>
      <c r="U384" t="b">
        <f>IF(ISBLANK(CleanedSalesData[[#This Row],[Revenue]]), TRUE, FALSE)</f>
        <v>0</v>
      </c>
      <c r="V384" t="b">
        <f>IF(OR(CleanedSalesData[[#This Row],[Order Status]]="Cancelled", CleanedSalesData[[#This Row],[Order Status]]="Returned"), TRUE, FALSE)</f>
        <v>0</v>
      </c>
      <c r="W384" t="str" cm="1">
        <f t="array" ref="W38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5" spans="1:23" x14ac:dyDescent="0.35">
      <c r="A385" t="s">
        <v>519</v>
      </c>
      <c r="B385" s="7">
        <v>46127</v>
      </c>
      <c r="C385" t="s">
        <v>949</v>
      </c>
      <c r="D385">
        <v>4</v>
      </c>
      <c r="E385" t="s">
        <v>95</v>
      </c>
      <c r="F385" t="s">
        <v>40</v>
      </c>
      <c r="G385" t="s">
        <v>81</v>
      </c>
      <c r="H385" t="s">
        <v>33</v>
      </c>
      <c r="I385" t="s">
        <v>86</v>
      </c>
      <c r="J385" t="s">
        <v>87</v>
      </c>
      <c r="K385" t="s">
        <v>36</v>
      </c>
      <c r="L385">
        <v>1</v>
      </c>
      <c r="M385" s="10">
        <v>0.03</v>
      </c>
      <c r="N385" s="11">
        <v>339500</v>
      </c>
      <c r="O385" s="11">
        <v>210000</v>
      </c>
      <c r="P385" s="11">
        <v>129500</v>
      </c>
      <c r="Q385" t="s">
        <v>93</v>
      </c>
      <c r="R385" t="b">
        <f>COUNTIF($A$6     : CleanedSalesData[[#This Row],[Order ID]], CleanedSalesData[[#This Row],[Order ID]])&gt;1</f>
        <v>0</v>
      </c>
      <c r="S385" t="b">
        <f>IF(ISBLANK(CleanedSalesData[[#This Row],[Quantity]]), TRUE, FALSE)</f>
        <v>0</v>
      </c>
      <c r="T385" t="b">
        <f>IF(ISBLANK(CleanedSalesData[[#This Row],[Order Date]]), TRUE, FALSE)</f>
        <v>0</v>
      </c>
      <c r="U385" t="b">
        <f>IF(ISBLANK(CleanedSalesData[[#This Row],[Revenue]]), TRUE, FALSE)</f>
        <v>0</v>
      </c>
      <c r="V385" t="b">
        <f>IF(OR(CleanedSalesData[[#This Row],[Order Status]]="Cancelled", CleanedSalesData[[#This Row],[Order Status]]="Returned"), TRUE, FALSE)</f>
        <v>0</v>
      </c>
      <c r="W385" t="str" cm="1">
        <f t="array" ref="W38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6" spans="1:23" x14ac:dyDescent="0.35">
      <c r="A386" t="s">
        <v>520</v>
      </c>
      <c r="B386" s="7">
        <v>46101</v>
      </c>
      <c r="C386" t="s">
        <v>947</v>
      </c>
      <c r="D386">
        <v>3</v>
      </c>
      <c r="E386" t="s">
        <v>111</v>
      </c>
      <c r="F386" t="s">
        <v>31</v>
      </c>
      <c r="G386" t="s">
        <v>48</v>
      </c>
      <c r="H386" t="s">
        <v>33</v>
      </c>
      <c r="I386" t="s">
        <v>34</v>
      </c>
      <c r="J386" t="s">
        <v>35</v>
      </c>
      <c r="K386" t="s">
        <v>36</v>
      </c>
      <c r="L386">
        <v>2</v>
      </c>
      <c r="M386" s="10">
        <v>0.03</v>
      </c>
      <c r="N386" s="11">
        <v>921500</v>
      </c>
      <c r="O386" s="11">
        <v>570000</v>
      </c>
      <c r="P386" s="11">
        <v>351500</v>
      </c>
      <c r="Q386" t="s">
        <v>74</v>
      </c>
      <c r="R386" t="b">
        <f>COUNTIF($A$6     : CleanedSalesData[[#This Row],[Order ID]], CleanedSalesData[[#This Row],[Order ID]])&gt;1</f>
        <v>0</v>
      </c>
      <c r="S386" t="b">
        <f>IF(ISBLANK(CleanedSalesData[[#This Row],[Quantity]]), TRUE, FALSE)</f>
        <v>0</v>
      </c>
      <c r="T386" t="b">
        <f>IF(ISBLANK(CleanedSalesData[[#This Row],[Order Date]]), TRUE, FALSE)</f>
        <v>0</v>
      </c>
      <c r="U386" t="b">
        <f>IF(ISBLANK(CleanedSalesData[[#This Row],[Revenue]]), TRUE, FALSE)</f>
        <v>0</v>
      </c>
      <c r="V386" t="b">
        <f>IF(OR(CleanedSalesData[[#This Row],[Order Status]]="Cancelled", CleanedSalesData[[#This Row],[Order Status]]="Returned"), TRUE, FALSE)</f>
        <v>0</v>
      </c>
      <c r="W386" t="str" cm="1">
        <f t="array" ref="W38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7" spans="1:23" x14ac:dyDescent="0.35">
      <c r="A387" t="s">
        <v>521</v>
      </c>
      <c r="B387" s="7">
        <v>46059</v>
      </c>
      <c r="C387" t="s">
        <v>944</v>
      </c>
      <c r="D387">
        <v>2</v>
      </c>
      <c r="E387" t="s">
        <v>54</v>
      </c>
      <c r="F387" t="s">
        <v>31</v>
      </c>
      <c r="G387" t="s">
        <v>48</v>
      </c>
      <c r="H387" t="s">
        <v>33</v>
      </c>
      <c r="I387" t="s">
        <v>42</v>
      </c>
      <c r="J387" t="s">
        <v>43</v>
      </c>
      <c r="K387" t="s">
        <v>44</v>
      </c>
      <c r="L387">
        <v>5</v>
      </c>
      <c r="M387" s="10">
        <v>0</v>
      </c>
      <c r="N387" s="11">
        <v>1375000</v>
      </c>
      <c r="O387" s="11">
        <v>775000</v>
      </c>
      <c r="P387" s="11">
        <v>600000</v>
      </c>
      <c r="Q387" t="s">
        <v>52</v>
      </c>
      <c r="R387" t="b">
        <f>COUNTIF($A$6     : CleanedSalesData[[#This Row],[Order ID]], CleanedSalesData[[#This Row],[Order ID]])&gt;1</f>
        <v>0</v>
      </c>
      <c r="S387" t="b">
        <f>IF(ISBLANK(CleanedSalesData[[#This Row],[Quantity]]), TRUE, FALSE)</f>
        <v>0</v>
      </c>
      <c r="T387" t="b">
        <f>IF(ISBLANK(CleanedSalesData[[#This Row],[Order Date]]), TRUE, FALSE)</f>
        <v>0</v>
      </c>
      <c r="U387" t="b">
        <f>IF(ISBLANK(CleanedSalesData[[#This Row],[Revenue]]), TRUE, FALSE)</f>
        <v>0</v>
      </c>
      <c r="V387" t="b">
        <f>IF(OR(CleanedSalesData[[#This Row],[Order Status]]="Cancelled", CleanedSalesData[[#This Row],[Order Status]]="Returned"), TRUE, FALSE)</f>
        <v>0</v>
      </c>
      <c r="W387" t="str" cm="1">
        <f t="array" ref="W38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8" spans="1:23" x14ac:dyDescent="0.35">
      <c r="A388" t="s">
        <v>522</v>
      </c>
      <c r="B388" s="7">
        <v>46044</v>
      </c>
      <c r="C388" t="s">
        <v>948</v>
      </c>
      <c r="D388">
        <v>1</v>
      </c>
      <c r="E388" t="s">
        <v>95</v>
      </c>
      <c r="F388" t="s">
        <v>59</v>
      </c>
      <c r="G388" t="s">
        <v>41</v>
      </c>
      <c r="H388" t="s">
        <v>33</v>
      </c>
      <c r="I388" t="s">
        <v>49</v>
      </c>
      <c r="J388" t="s">
        <v>50</v>
      </c>
      <c r="K388" t="s">
        <v>51</v>
      </c>
      <c r="L388">
        <v>2</v>
      </c>
      <c r="M388" s="10">
        <v>0.1</v>
      </c>
      <c r="N388" s="11">
        <v>441000</v>
      </c>
      <c r="O388" s="11">
        <v>290000</v>
      </c>
      <c r="P388" s="11">
        <v>151000</v>
      </c>
      <c r="Q388" t="s">
        <v>93</v>
      </c>
      <c r="R388" t="b">
        <f>COUNTIF($A$6     : CleanedSalesData[[#This Row],[Order ID]], CleanedSalesData[[#This Row],[Order ID]])&gt;1</f>
        <v>0</v>
      </c>
      <c r="S388" t="b">
        <f>IF(ISBLANK(CleanedSalesData[[#This Row],[Quantity]]), TRUE, FALSE)</f>
        <v>0</v>
      </c>
      <c r="T388" t="b">
        <f>IF(ISBLANK(CleanedSalesData[[#This Row],[Order Date]]), TRUE, FALSE)</f>
        <v>0</v>
      </c>
      <c r="U388" t="b">
        <f>IF(ISBLANK(CleanedSalesData[[#This Row],[Revenue]]), TRUE, FALSE)</f>
        <v>0</v>
      </c>
      <c r="V388" t="b">
        <f>IF(OR(CleanedSalesData[[#This Row],[Order Status]]="Cancelled", CleanedSalesData[[#This Row],[Order Status]]="Returned"), TRUE, FALSE)</f>
        <v>0</v>
      </c>
      <c r="W388" t="str" cm="1">
        <f t="array" ref="W38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89" spans="1:23" x14ac:dyDescent="0.35">
      <c r="A389" t="s">
        <v>523</v>
      </c>
      <c r="B389" s="7">
        <v>46192</v>
      </c>
      <c r="C389" t="s">
        <v>945</v>
      </c>
      <c r="D389">
        <v>6</v>
      </c>
      <c r="E389" t="s">
        <v>54</v>
      </c>
      <c r="F389" t="s">
        <v>70</v>
      </c>
      <c r="G389" t="s">
        <v>48</v>
      </c>
      <c r="H389" t="s">
        <v>33</v>
      </c>
      <c r="I389" t="s">
        <v>55</v>
      </c>
      <c r="J389" t="s">
        <v>56</v>
      </c>
      <c r="K389" t="s">
        <v>36</v>
      </c>
      <c r="L389">
        <v>3</v>
      </c>
      <c r="M389" s="10">
        <v>0.03</v>
      </c>
      <c r="N389" s="11">
        <v>5383500</v>
      </c>
      <c r="O389" s="11">
        <v>3960000</v>
      </c>
      <c r="P389" s="11">
        <v>1423500</v>
      </c>
      <c r="Q389" t="s">
        <v>63</v>
      </c>
      <c r="R389" t="b">
        <f>COUNTIF($A$6     : CleanedSalesData[[#This Row],[Order ID]], CleanedSalesData[[#This Row],[Order ID]])&gt;1</f>
        <v>0</v>
      </c>
      <c r="S389" t="b">
        <f>IF(ISBLANK(CleanedSalesData[[#This Row],[Quantity]]), TRUE, FALSE)</f>
        <v>0</v>
      </c>
      <c r="T389" t="b">
        <f>IF(ISBLANK(CleanedSalesData[[#This Row],[Order Date]]), TRUE, FALSE)</f>
        <v>0</v>
      </c>
      <c r="U389" t="b">
        <f>IF(ISBLANK(CleanedSalesData[[#This Row],[Revenue]]), TRUE, FALSE)</f>
        <v>0</v>
      </c>
      <c r="V389" t="b">
        <f>IF(OR(CleanedSalesData[[#This Row],[Order Status]]="Cancelled", CleanedSalesData[[#This Row],[Order Status]]="Returned"), TRUE, FALSE)</f>
        <v>0</v>
      </c>
      <c r="W389" t="str" cm="1">
        <f t="array" ref="W38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0" spans="1:23" x14ac:dyDescent="0.35">
      <c r="A390" t="s">
        <v>524</v>
      </c>
      <c r="B390" s="7">
        <v>46138</v>
      </c>
      <c r="C390" t="s">
        <v>949</v>
      </c>
      <c r="D390">
        <v>4</v>
      </c>
      <c r="E390" t="s">
        <v>69</v>
      </c>
      <c r="F390" t="s">
        <v>31</v>
      </c>
      <c r="G390" t="s">
        <v>32</v>
      </c>
      <c r="H390" t="s">
        <v>33</v>
      </c>
      <c r="I390" t="s">
        <v>60</v>
      </c>
      <c r="J390" t="s">
        <v>61</v>
      </c>
      <c r="K390" t="s">
        <v>62</v>
      </c>
      <c r="L390">
        <v>5</v>
      </c>
      <c r="M390" s="10">
        <v>0.03</v>
      </c>
      <c r="N390" s="11">
        <v>315250</v>
      </c>
      <c r="O390" s="11">
        <v>155000</v>
      </c>
      <c r="P390" s="11">
        <v>160250</v>
      </c>
      <c r="Q390" t="s">
        <v>84</v>
      </c>
      <c r="R390" t="b">
        <f>COUNTIF($A$6     : CleanedSalesData[[#This Row],[Order ID]], CleanedSalesData[[#This Row],[Order ID]])&gt;1</f>
        <v>0</v>
      </c>
      <c r="S390" t="b">
        <f>IF(ISBLANK(CleanedSalesData[[#This Row],[Quantity]]), TRUE, FALSE)</f>
        <v>0</v>
      </c>
      <c r="T390" t="b">
        <f>IF(ISBLANK(CleanedSalesData[[#This Row],[Order Date]]), TRUE, FALSE)</f>
        <v>0</v>
      </c>
      <c r="U390" t="b">
        <f>IF(ISBLANK(CleanedSalesData[[#This Row],[Revenue]]), TRUE, FALSE)</f>
        <v>0</v>
      </c>
      <c r="V390" t="b">
        <f>IF(OR(CleanedSalesData[[#This Row],[Order Status]]="Cancelled", CleanedSalesData[[#This Row],[Order Status]]="Returned"), TRUE, FALSE)</f>
        <v>0</v>
      </c>
      <c r="W390" t="str" cm="1">
        <f t="array" ref="W39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1" spans="1:23" x14ac:dyDescent="0.35">
      <c r="A391" t="s">
        <v>525</v>
      </c>
      <c r="B391" s="7">
        <v>46050</v>
      </c>
      <c r="C391" t="s">
        <v>948</v>
      </c>
      <c r="D391">
        <v>1</v>
      </c>
      <c r="E391" t="s">
        <v>54</v>
      </c>
      <c r="F391" t="s">
        <v>59</v>
      </c>
      <c r="G391" t="s">
        <v>41</v>
      </c>
      <c r="H391" t="s">
        <v>33</v>
      </c>
      <c r="I391" t="s">
        <v>66</v>
      </c>
      <c r="J391" t="s">
        <v>67</v>
      </c>
      <c r="K391" t="s">
        <v>51</v>
      </c>
      <c r="L391">
        <v>3</v>
      </c>
      <c r="M391" s="10">
        <v>0.08</v>
      </c>
      <c r="N391" s="11">
        <v>855600</v>
      </c>
      <c r="O391" s="11">
        <v>570000</v>
      </c>
      <c r="P391" s="11">
        <v>285600</v>
      </c>
      <c r="Q391" t="s">
        <v>45</v>
      </c>
      <c r="R391" t="b">
        <f>COUNTIF($A$6     : CleanedSalesData[[#This Row],[Order ID]], CleanedSalesData[[#This Row],[Order ID]])&gt;1</f>
        <v>0</v>
      </c>
      <c r="S391" t="b">
        <f>IF(ISBLANK(CleanedSalesData[[#This Row],[Quantity]]), TRUE, FALSE)</f>
        <v>0</v>
      </c>
      <c r="T391" t="b">
        <f>IF(ISBLANK(CleanedSalesData[[#This Row],[Order Date]]), TRUE, FALSE)</f>
        <v>0</v>
      </c>
      <c r="U391" t="b">
        <f>IF(ISBLANK(CleanedSalesData[[#This Row],[Revenue]]), TRUE, FALSE)</f>
        <v>0</v>
      </c>
      <c r="V391" t="b">
        <f>IF(OR(CleanedSalesData[[#This Row],[Order Status]]="Cancelled", CleanedSalesData[[#This Row],[Order Status]]="Returned"), TRUE, FALSE)</f>
        <v>0</v>
      </c>
      <c r="W391" t="str" cm="1">
        <f t="array" ref="W39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2" spans="1:23" x14ac:dyDescent="0.35">
      <c r="A392" t="s">
        <v>526</v>
      </c>
      <c r="B392" s="7">
        <v>46138</v>
      </c>
      <c r="C392" t="s">
        <v>949</v>
      </c>
      <c r="D392">
        <v>4</v>
      </c>
      <c r="E392" t="s">
        <v>30</v>
      </c>
      <c r="F392" t="s">
        <v>40</v>
      </c>
      <c r="G392" t="s">
        <v>41</v>
      </c>
      <c r="H392" t="s">
        <v>33</v>
      </c>
      <c r="I392" t="s">
        <v>71</v>
      </c>
      <c r="J392" t="s">
        <v>72</v>
      </c>
      <c r="K392" t="s">
        <v>73</v>
      </c>
      <c r="L392">
        <v>5</v>
      </c>
      <c r="M392" s="10">
        <v>0.08</v>
      </c>
      <c r="N392" s="11">
        <v>575000</v>
      </c>
      <c r="O392" s="11">
        <v>350000</v>
      </c>
      <c r="P392" s="11">
        <v>225000</v>
      </c>
      <c r="Q392" t="s">
        <v>57</v>
      </c>
      <c r="R392" t="b">
        <f>COUNTIF($A$6     : CleanedSalesData[[#This Row],[Order ID]], CleanedSalesData[[#This Row],[Order ID]])&gt;1</f>
        <v>0</v>
      </c>
      <c r="S392" t="b">
        <f>IF(ISBLANK(CleanedSalesData[[#This Row],[Quantity]]), TRUE, FALSE)</f>
        <v>0</v>
      </c>
      <c r="T392" t="b">
        <f>IF(ISBLANK(CleanedSalesData[[#This Row],[Order Date]]), TRUE, FALSE)</f>
        <v>0</v>
      </c>
      <c r="U392" t="b">
        <f>IF(ISBLANK(CleanedSalesData[[#This Row],[Revenue]]), TRUE, FALSE)</f>
        <v>0</v>
      </c>
      <c r="V392" t="b">
        <f>IF(OR(CleanedSalesData[[#This Row],[Order Status]]="Cancelled", CleanedSalesData[[#This Row],[Order Status]]="Returned"), TRUE, FALSE)</f>
        <v>0</v>
      </c>
      <c r="W392" t="str" cm="1">
        <f t="array" ref="W39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3" spans="1:23" x14ac:dyDescent="0.35">
      <c r="A393" t="s">
        <v>527</v>
      </c>
      <c r="B393" s="7">
        <v>46203</v>
      </c>
      <c r="C393" t="s">
        <v>945</v>
      </c>
      <c r="D393">
        <v>6</v>
      </c>
      <c r="E393" t="s">
        <v>69</v>
      </c>
      <c r="F393" t="s">
        <v>70</v>
      </c>
      <c r="G393" t="s">
        <v>32</v>
      </c>
      <c r="H393" t="s">
        <v>90</v>
      </c>
      <c r="I393" t="s">
        <v>78</v>
      </c>
      <c r="J393" t="s">
        <v>79</v>
      </c>
      <c r="K393" t="s">
        <v>62</v>
      </c>
      <c r="L393">
        <v>1</v>
      </c>
      <c r="M393" s="10">
        <v>0.03</v>
      </c>
      <c r="N393" s="11">
        <v>82450</v>
      </c>
      <c r="O393" s="11">
        <v>43000</v>
      </c>
      <c r="P393" s="11">
        <v>39450</v>
      </c>
      <c r="Q393" t="s">
        <v>45</v>
      </c>
      <c r="R393" t="b">
        <f>COUNTIF($A$6     : CleanedSalesData[[#This Row],[Order ID]], CleanedSalesData[[#This Row],[Order ID]])&gt;1</f>
        <v>0</v>
      </c>
      <c r="S393" t="b">
        <f>IF(ISBLANK(CleanedSalesData[[#This Row],[Quantity]]), TRUE, FALSE)</f>
        <v>0</v>
      </c>
      <c r="T393" t="b">
        <f>IF(ISBLANK(CleanedSalesData[[#This Row],[Order Date]]), TRUE, FALSE)</f>
        <v>0</v>
      </c>
      <c r="U393" t="b">
        <f>IF(ISBLANK(CleanedSalesData[[#This Row],[Revenue]]), TRUE, FALSE)</f>
        <v>0</v>
      </c>
      <c r="V393" t="b">
        <f>IF(OR(CleanedSalesData[[#This Row],[Order Status]]="Cancelled", CleanedSalesData[[#This Row],[Order Status]]="Returned"), TRUE, FALSE)</f>
        <v>0</v>
      </c>
      <c r="W393" t="str" cm="1">
        <f t="array" ref="W39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4" spans="1:23" x14ac:dyDescent="0.35">
      <c r="A394" t="s">
        <v>528</v>
      </c>
      <c r="B394" s="7">
        <v>46114</v>
      </c>
      <c r="C394" t="s">
        <v>949</v>
      </c>
      <c r="D394">
        <v>4</v>
      </c>
      <c r="E394" t="s">
        <v>30</v>
      </c>
      <c r="F394" t="s">
        <v>70</v>
      </c>
      <c r="G394" t="s">
        <v>81</v>
      </c>
      <c r="H394" t="s">
        <v>33</v>
      </c>
      <c r="I394" t="s">
        <v>82</v>
      </c>
      <c r="J394" t="s">
        <v>83</v>
      </c>
      <c r="K394" t="s">
        <v>44</v>
      </c>
      <c r="L394">
        <v>7</v>
      </c>
      <c r="M394" s="10">
        <v>0.1</v>
      </c>
      <c r="N394" s="11">
        <v>9135000</v>
      </c>
      <c r="O394" s="11">
        <v>6860000</v>
      </c>
      <c r="P394" s="11">
        <v>2275000</v>
      </c>
      <c r="Q394" t="s">
        <v>74</v>
      </c>
      <c r="R394" t="b">
        <f>COUNTIF($A$6     : CleanedSalesData[[#This Row],[Order ID]], CleanedSalesData[[#This Row],[Order ID]])&gt;1</f>
        <v>0</v>
      </c>
      <c r="S394" t="b">
        <f>IF(ISBLANK(CleanedSalesData[[#This Row],[Quantity]]), TRUE, FALSE)</f>
        <v>0</v>
      </c>
      <c r="T394" t="b">
        <f>IF(ISBLANK(CleanedSalesData[[#This Row],[Order Date]]), TRUE, FALSE)</f>
        <v>0</v>
      </c>
      <c r="U394" t="b">
        <f>IF(ISBLANK(CleanedSalesData[[#This Row],[Revenue]]), TRUE, FALSE)</f>
        <v>0</v>
      </c>
      <c r="V394" t="b">
        <f>IF(OR(CleanedSalesData[[#This Row],[Order Status]]="Cancelled", CleanedSalesData[[#This Row],[Order Status]]="Returned"), TRUE, FALSE)</f>
        <v>0</v>
      </c>
      <c r="W394" t="str" cm="1">
        <f t="array" ref="W39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5" spans="1:23" x14ac:dyDescent="0.35">
      <c r="A395" t="s">
        <v>529</v>
      </c>
      <c r="B395" s="7">
        <v>46126</v>
      </c>
      <c r="C395" t="s">
        <v>949</v>
      </c>
      <c r="D395">
        <v>4</v>
      </c>
      <c r="E395" t="s">
        <v>111</v>
      </c>
      <c r="F395" t="s">
        <v>31</v>
      </c>
      <c r="G395" t="s">
        <v>41</v>
      </c>
      <c r="H395" t="s">
        <v>33</v>
      </c>
      <c r="I395" t="s">
        <v>86</v>
      </c>
      <c r="J395" t="s">
        <v>87</v>
      </c>
      <c r="K395" t="s">
        <v>36</v>
      </c>
      <c r="L395">
        <v>8</v>
      </c>
      <c r="M395" s="10">
        <v>0.1</v>
      </c>
      <c r="N395" s="11">
        <v>2520000</v>
      </c>
      <c r="O395" s="11">
        <v>1680000</v>
      </c>
      <c r="P395" s="11">
        <v>840000</v>
      </c>
      <c r="Q395" t="s">
        <v>37</v>
      </c>
      <c r="R395" t="b">
        <f>COUNTIF($A$6     : CleanedSalesData[[#This Row],[Order ID]], CleanedSalesData[[#This Row],[Order ID]])&gt;1</f>
        <v>0</v>
      </c>
      <c r="S395" t="b">
        <f>IF(ISBLANK(CleanedSalesData[[#This Row],[Quantity]]), TRUE, FALSE)</f>
        <v>0</v>
      </c>
      <c r="T395" t="b">
        <f>IF(ISBLANK(CleanedSalesData[[#This Row],[Order Date]]), TRUE, FALSE)</f>
        <v>0</v>
      </c>
      <c r="U395" t="b">
        <f>IF(ISBLANK(CleanedSalesData[[#This Row],[Revenue]]), TRUE, FALSE)</f>
        <v>0</v>
      </c>
      <c r="V395" t="b">
        <f>IF(OR(CleanedSalesData[[#This Row],[Order Status]]="Cancelled", CleanedSalesData[[#This Row],[Order Status]]="Returned"), TRUE, FALSE)</f>
        <v>0</v>
      </c>
      <c r="W395" t="str" cm="1">
        <f t="array" ref="W39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6" spans="1:23" x14ac:dyDescent="0.35">
      <c r="A396" t="s">
        <v>530</v>
      </c>
      <c r="B396" s="7">
        <v>46058</v>
      </c>
      <c r="C396" t="s">
        <v>944</v>
      </c>
      <c r="D396">
        <v>2</v>
      </c>
      <c r="E396" t="s">
        <v>39</v>
      </c>
      <c r="F396" t="s">
        <v>31</v>
      </c>
      <c r="G396" t="s">
        <v>32</v>
      </c>
      <c r="H396" t="s">
        <v>33</v>
      </c>
      <c r="I396" t="s">
        <v>34</v>
      </c>
      <c r="J396" t="s">
        <v>35</v>
      </c>
      <c r="K396" t="s">
        <v>36</v>
      </c>
      <c r="L396">
        <v>2</v>
      </c>
      <c r="M396" s="10">
        <v>0</v>
      </c>
      <c r="N396" s="11">
        <v>950000</v>
      </c>
      <c r="O396" s="11">
        <v>570000</v>
      </c>
      <c r="P396" s="11">
        <v>380000</v>
      </c>
      <c r="Q396" t="s">
        <v>93</v>
      </c>
      <c r="R396" t="b">
        <f>COUNTIF($A$6     : CleanedSalesData[[#This Row],[Order ID]], CleanedSalesData[[#This Row],[Order ID]])&gt;1</f>
        <v>0</v>
      </c>
      <c r="S396" t="b">
        <f>IF(ISBLANK(CleanedSalesData[[#This Row],[Quantity]]), TRUE, FALSE)</f>
        <v>0</v>
      </c>
      <c r="T396" t="b">
        <f>IF(ISBLANK(CleanedSalesData[[#This Row],[Order Date]]), TRUE, FALSE)</f>
        <v>0</v>
      </c>
      <c r="U396" t="b">
        <f>IF(ISBLANK(CleanedSalesData[[#This Row],[Revenue]]), TRUE, FALSE)</f>
        <v>0</v>
      </c>
      <c r="V396" t="b">
        <f>IF(OR(CleanedSalesData[[#This Row],[Order Status]]="Cancelled", CleanedSalesData[[#This Row],[Order Status]]="Returned"), TRUE, FALSE)</f>
        <v>0</v>
      </c>
      <c r="W396" t="str" cm="1">
        <f t="array" ref="W39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7" spans="1:23" x14ac:dyDescent="0.35">
      <c r="A397" t="s">
        <v>531</v>
      </c>
      <c r="B397" s="7">
        <v>46118</v>
      </c>
      <c r="C397" t="s">
        <v>949</v>
      </c>
      <c r="D397">
        <v>4</v>
      </c>
      <c r="E397" t="s">
        <v>69</v>
      </c>
      <c r="F397" t="s">
        <v>40</v>
      </c>
      <c r="G397" t="s">
        <v>41</v>
      </c>
      <c r="H397" t="s">
        <v>33</v>
      </c>
      <c r="I397" t="s">
        <v>42</v>
      </c>
      <c r="J397" t="s">
        <v>43</v>
      </c>
      <c r="K397" t="s">
        <v>44</v>
      </c>
      <c r="L397">
        <v>2</v>
      </c>
      <c r="M397" s="10">
        <v>0.1</v>
      </c>
      <c r="N397" s="11">
        <v>495000</v>
      </c>
      <c r="O397" s="11">
        <v>310000</v>
      </c>
      <c r="P397" s="11">
        <v>185000</v>
      </c>
      <c r="Q397" t="s">
        <v>45</v>
      </c>
      <c r="R397" t="b">
        <f>COUNTIF($A$6     : CleanedSalesData[[#This Row],[Order ID]], CleanedSalesData[[#This Row],[Order ID]])&gt;1</f>
        <v>0</v>
      </c>
      <c r="S397" t="b">
        <f>IF(ISBLANK(CleanedSalesData[[#This Row],[Quantity]]), TRUE, FALSE)</f>
        <v>0</v>
      </c>
      <c r="T397" t="b">
        <f>IF(ISBLANK(CleanedSalesData[[#This Row],[Order Date]]), TRUE, FALSE)</f>
        <v>0</v>
      </c>
      <c r="U397" t="b">
        <f>IF(ISBLANK(CleanedSalesData[[#This Row],[Revenue]]), TRUE, FALSE)</f>
        <v>0</v>
      </c>
      <c r="V397" t="b">
        <f>IF(OR(CleanedSalesData[[#This Row],[Order Status]]="Cancelled", CleanedSalesData[[#This Row],[Order Status]]="Returned"), TRUE, FALSE)</f>
        <v>0</v>
      </c>
      <c r="W397" t="str" cm="1">
        <f t="array" ref="W39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8" spans="1:23" x14ac:dyDescent="0.35">
      <c r="A398" t="s">
        <v>532</v>
      </c>
      <c r="B398" s="7">
        <v>46188</v>
      </c>
      <c r="C398" t="s">
        <v>945</v>
      </c>
      <c r="D398">
        <v>6</v>
      </c>
      <c r="E398" t="s">
        <v>95</v>
      </c>
      <c r="F398" t="s">
        <v>70</v>
      </c>
      <c r="G398" t="s">
        <v>41</v>
      </c>
      <c r="H398" t="s">
        <v>33</v>
      </c>
      <c r="I398" t="s">
        <v>49</v>
      </c>
      <c r="J398" t="s">
        <v>50</v>
      </c>
      <c r="K398" t="s">
        <v>51</v>
      </c>
      <c r="L398">
        <v>8</v>
      </c>
      <c r="M398" s="10">
        <v>0.03</v>
      </c>
      <c r="N398" s="11">
        <v>1901200</v>
      </c>
      <c r="O398" s="11">
        <v>1160000</v>
      </c>
      <c r="P398" s="11">
        <v>741200</v>
      </c>
      <c r="Q398" t="s">
        <v>52</v>
      </c>
      <c r="R398" t="b">
        <f>COUNTIF($A$6     : CleanedSalesData[[#This Row],[Order ID]], CleanedSalesData[[#This Row],[Order ID]])&gt;1</f>
        <v>0</v>
      </c>
      <c r="S398" t="b">
        <f>IF(ISBLANK(CleanedSalesData[[#This Row],[Quantity]]), TRUE, FALSE)</f>
        <v>0</v>
      </c>
      <c r="T398" t="b">
        <f>IF(ISBLANK(CleanedSalesData[[#This Row],[Order Date]]), TRUE, FALSE)</f>
        <v>0</v>
      </c>
      <c r="U398" t="b">
        <f>IF(ISBLANK(CleanedSalesData[[#This Row],[Revenue]]), TRUE, FALSE)</f>
        <v>0</v>
      </c>
      <c r="V398" t="b">
        <f>IF(OR(CleanedSalesData[[#This Row],[Order Status]]="Cancelled", CleanedSalesData[[#This Row],[Order Status]]="Returned"), TRUE, FALSE)</f>
        <v>0</v>
      </c>
      <c r="W398" t="str" cm="1">
        <f t="array" ref="W39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399" spans="1:23" x14ac:dyDescent="0.35">
      <c r="A399" t="s">
        <v>533</v>
      </c>
      <c r="B399" s="7">
        <v>46035</v>
      </c>
      <c r="C399" t="s">
        <v>948</v>
      </c>
      <c r="D399">
        <v>1</v>
      </c>
      <c r="E399" t="s">
        <v>95</v>
      </c>
      <c r="F399" t="s">
        <v>59</v>
      </c>
      <c r="G399" t="s">
        <v>48</v>
      </c>
      <c r="H399" t="s">
        <v>33</v>
      </c>
      <c r="I399" t="s">
        <v>55</v>
      </c>
      <c r="J399" t="s">
        <v>56</v>
      </c>
      <c r="K399" t="s">
        <v>36</v>
      </c>
      <c r="L399">
        <v>3</v>
      </c>
      <c r="M399" s="10">
        <v>0.1</v>
      </c>
      <c r="N399" s="11">
        <v>4995000</v>
      </c>
      <c r="O399" s="11">
        <v>3960000</v>
      </c>
      <c r="P399" s="11">
        <v>1035000</v>
      </c>
      <c r="Q399" t="s">
        <v>93</v>
      </c>
      <c r="R399" t="b">
        <f>COUNTIF($A$6     : CleanedSalesData[[#This Row],[Order ID]], CleanedSalesData[[#This Row],[Order ID]])&gt;1</f>
        <v>0</v>
      </c>
      <c r="S399" t="b">
        <f>IF(ISBLANK(CleanedSalesData[[#This Row],[Quantity]]), TRUE, FALSE)</f>
        <v>0</v>
      </c>
      <c r="T399" t="b">
        <f>IF(ISBLANK(CleanedSalesData[[#This Row],[Order Date]]), TRUE, FALSE)</f>
        <v>0</v>
      </c>
      <c r="U399" t="b">
        <f>IF(ISBLANK(CleanedSalesData[[#This Row],[Revenue]]), TRUE, FALSE)</f>
        <v>0</v>
      </c>
      <c r="V399" t="b">
        <f>IF(OR(CleanedSalesData[[#This Row],[Order Status]]="Cancelled", CleanedSalesData[[#This Row],[Order Status]]="Returned"), TRUE, FALSE)</f>
        <v>0</v>
      </c>
      <c r="W399" t="str" cm="1">
        <f t="array" ref="W39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00" spans="1:23" x14ac:dyDescent="0.35">
      <c r="A400" t="s">
        <v>534</v>
      </c>
      <c r="B400" s="7">
        <v>46197</v>
      </c>
      <c r="C400" t="s">
        <v>945</v>
      </c>
      <c r="D400">
        <v>6</v>
      </c>
      <c r="E400" t="s">
        <v>76</v>
      </c>
      <c r="F400" t="s">
        <v>31</v>
      </c>
      <c r="G400" t="s">
        <v>81</v>
      </c>
      <c r="H400" t="s">
        <v>33</v>
      </c>
      <c r="I400" t="s">
        <v>60</v>
      </c>
      <c r="J400" t="s">
        <v>61</v>
      </c>
      <c r="K400" t="s">
        <v>62</v>
      </c>
      <c r="L400">
        <v>7</v>
      </c>
      <c r="M400" s="10">
        <v>0.03</v>
      </c>
      <c r="N400" s="11">
        <v>441350</v>
      </c>
      <c r="O400" s="11">
        <v>217000</v>
      </c>
      <c r="P400" s="11">
        <v>224350</v>
      </c>
      <c r="Q400" t="s">
        <v>52</v>
      </c>
      <c r="R400" t="b">
        <f>COUNTIF($A$6     : CleanedSalesData[[#This Row],[Order ID]], CleanedSalesData[[#This Row],[Order ID]])&gt;1</f>
        <v>0</v>
      </c>
      <c r="S400" t="b">
        <f>IF(ISBLANK(CleanedSalesData[[#This Row],[Quantity]]), TRUE, FALSE)</f>
        <v>0</v>
      </c>
      <c r="T400" t="b">
        <f>IF(ISBLANK(CleanedSalesData[[#This Row],[Order Date]]), TRUE, FALSE)</f>
        <v>0</v>
      </c>
      <c r="U400" t="b">
        <f>IF(ISBLANK(CleanedSalesData[[#This Row],[Revenue]]), TRUE, FALSE)</f>
        <v>0</v>
      </c>
      <c r="V400" t="b">
        <f>IF(OR(CleanedSalesData[[#This Row],[Order Status]]="Cancelled", CleanedSalesData[[#This Row],[Order Status]]="Returned"), TRUE, FALSE)</f>
        <v>0</v>
      </c>
      <c r="W400" t="str" cm="1">
        <f t="array" ref="W40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01" spans="1:23" x14ac:dyDescent="0.35">
      <c r="A401" t="s">
        <v>535</v>
      </c>
      <c r="B401" s="7">
        <v>46061</v>
      </c>
      <c r="C401" t="s">
        <v>944</v>
      </c>
      <c r="D401">
        <v>2</v>
      </c>
      <c r="E401" t="s">
        <v>111</v>
      </c>
      <c r="F401" t="s">
        <v>31</v>
      </c>
      <c r="G401" t="s">
        <v>81</v>
      </c>
      <c r="H401" t="s">
        <v>33</v>
      </c>
      <c r="I401" t="s">
        <v>66</v>
      </c>
      <c r="J401" t="s">
        <v>67</v>
      </c>
      <c r="K401" t="s">
        <v>51</v>
      </c>
      <c r="L401">
        <v>1</v>
      </c>
      <c r="M401" s="10">
        <v>0.1</v>
      </c>
      <c r="N401" s="11">
        <v>279000</v>
      </c>
      <c r="O401" s="11">
        <v>190000</v>
      </c>
      <c r="P401" s="11">
        <v>89000</v>
      </c>
      <c r="Q401" t="s">
        <v>93</v>
      </c>
      <c r="R401" t="b">
        <f>COUNTIF($A$6     : CleanedSalesData[[#This Row],[Order ID]], CleanedSalesData[[#This Row],[Order ID]])&gt;1</f>
        <v>0</v>
      </c>
      <c r="S401" t="b">
        <f>IF(ISBLANK(CleanedSalesData[[#This Row],[Quantity]]), TRUE, FALSE)</f>
        <v>0</v>
      </c>
      <c r="T401" t="b">
        <f>IF(ISBLANK(CleanedSalesData[[#This Row],[Order Date]]), TRUE, FALSE)</f>
        <v>0</v>
      </c>
      <c r="U401" t="b">
        <f>IF(ISBLANK(CleanedSalesData[[#This Row],[Revenue]]), TRUE, FALSE)</f>
        <v>0</v>
      </c>
      <c r="V401" t="b">
        <f>IF(OR(CleanedSalesData[[#This Row],[Order Status]]="Cancelled", CleanedSalesData[[#This Row],[Order Status]]="Returned"), TRUE, FALSE)</f>
        <v>0</v>
      </c>
      <c r="W401" t="str" cm="1">
        <f t="array" ref="W40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02" spans="1:23" x14ac:dyDescent="0.35">
      <c r="A402" t="s">
        <v>536</v>
      </c>
      <c r="B402" s="7">
        <v>46163</v>
      </c>
      <c r="C402" t="s">
        <v>946</v>
      </c>
      <c r="D402">
        <v>5</v>
      </c>
      <c r="E402" t="s">
        <v>65</v>
      </c>
      <c r="F402" t="s">
        <v>59</v>
      </c>
      <c r="G402" t="s">
        <v>32</v>
      </c>
      <c r="H402" t="s">
        <v>33</v>
      </c>
      <c r="I402" t="s">
        <v>71</v>
      </c>
      <c r="J402" t="s">
        <v>72</v>
      </c>
      <c r="K402" t="s">
        <v>73</v>
      </c>
      <c r="L402">
        <v>8</v>
      </c>
      <c r="M402" s="10">
        <v>0</v>
      </c>
      <c r="N402" s="11">
        <v>1000000</v>
      </c>
      <c r="O402" s="11">
        <v>560000</v>
      </c>
      <c r="P402" s="11">
        <v>440000</v>
      </c>
      <c r="Q402" t="s">
        <v>45</v>
      </c>
      <c r="R402" t="b">
        <f>COUNTIF($A$6     : CleanedSalesData[[#This Row],[Order ID]], CleanedSalesData[[#This Row],[Order ID]])&gt;1</f>
        <v>0</v>
      </c>
      <c r="S402" t="b">
        <f>IF(ISBLANK(CleanedSalesData[[#This Row],[Quantity]]), TRUE, FALSE)</f>
        <v>0</v>
      </c>
      <c r="T402" t="b">
        <f>IF(ISBLANK(CleanedSalesData[[#This Row],[Order Date]]), TRUE, FALSE)</f>
        <v>0</v>
      </c>
      <c r="U402" t="b">
        <f>IF(ISBLANK(CleanedSalesData[[#This Row],[Revenue]]), TRUE, FALSE)</f>
        <v>0</v>
      </c>
      <c r="V402" t="b">
        <f>IF(OR(CleanedSalesData[[#This Row],[Order Status]]="Cancelled", CleanedSalesData[[#This Row],[Order Status]]="Returned"), TRUE, FALSE)</f>
        <v>0</v>
      </c>
      <c r="W402" t="str" cm="1">
        <f t="array" ref="W40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03" spans="1:23" x14ac:dyDescent="0.35">
      <c r="A403" t="s">
        <v>537</v>
      </c>
      <c r="B403" s="7">
        <v>46187</v>
      </c>
      <c r="C403" t="s">
        <v>945</v>
      </c>
      <c r="D403">
        <v>6</v>
      </c>
      <c r="E403" t="s">
        <v>54</v>
      </c>
      <c r="F403" t="s">
        <v>40</v>
      </c>
      <c r="G403" t="s">
        <v>48</v>
      </c>
      <c r="H403" t="s">
        <v>77</v>
      </c>
      <c r="I403" t="s">
        <v>78</v>
      </c>
      <c r="J403" t="s">
        <v>79</v>
      </c>
      <c r="K403" t="s">
        <v>62</v>
      </c>
      <c r="L403">
        <v>4</v>
      </c>
      <c r="M403" s="10">
        <v>0.15</v>
      </c>
      <c r="N403" s="11">
        <v>144500</v>
      </c>
      <c r="O403" s="11">
        <v>172000</v>
      </c>
      <c r="P403" s="11">
        <v>-27500</v>
      </c>
      <c r="Q403" t="s">
        <v>52</v>
      </c>
      <c r="R403" t="b">
        <f>COUNTIF($A$6     : CleanedSalesData[[#This Row],[Order ID]], CleanedSalesData[[#This Row],[Order ID]])&gt;1</f>
        <v>0</v>
      </c>
      <c r="S403" t="b">
        <f>IF(ISBLANK(CleanedSalesData[[#This Row],[Quantity]]), TRUE, FALSE)</f>
        <v>0</v>
      </c>
      <c r="T403" t="b">
        <f>IF(ISBLANK(CleanedSalesData[[#This Row],[Order Date]]), TRUE, FALSE)</f>
        <v>0</v>
      </c>
      <c r="U403" t="b">
        <f>IF(ISBLANK(CleanedSalesData[[#This Row],[Revenue]]), TRUE, FALSE)</f>
        <v>0</v>
      </c>
      <c r="V403" t="b">
        <f>IF(OR(CleanedSalesData[[#This Row],[Order Status]]="Cancelled", CleanedSalesData[[#This Row],[Order Status]]="Returned"), TRUE, FALSE)</f>
        <v>1</v>
      </c>
      <c r="W403" t="str" cm="1">
        <f t="array" ref="W40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04" spans="1:23" x14ac:dyDescent="0.35">
      <c r="A404" t="s">
        <v>538</v>
      </c>
      <c r="B404" s="7">
        <v>46162</v>
      </c>
      <c r="C404" t="s">
        <v>946</v>
      </c>
      <c r="D404">
        <v>5</v>
      </c>
      <c r="E404" t="s">
        <v>76</v>
      </c>
      <c r="F404" t="s">
        <v>70</v>
      </c>
      <c r="G404" t="s">
        <v>48</v>
      </c>
      <c r="H404" t="s">
        <v>112</v>
      </c>
      <c r="I404" t="s">
        <v>82</v>
      </c>
      <c r="J404" t="s">
        <v>83</v>
      </c>
      <c r="K404" t="s">
        <v>44</v>
      </c>
      <c r="L404">
        <v>8</v>
      </c>
      <c r="M404" s="10">
        <v>0.05</v>
      </c>
      <c r="N404" s="11">
        <v>5510000</v>
      </c>
      <c r="O404" s="11">
        <v>7840000</v>
      </c>
      <c r="P404" s="11">
        <v>-2330000</v>
      </c>
      <c r="Q404" t="s">
        <v>84</v>
      </c>
      <c r="R404" t="b">
        <f>COUNTIF($A$6     : CleanedSalesData[[#This Row],[Order ID]], CleanedSalesData[[#This Row],[Order ID]])&gt;1</f>
        <v>0</v>
      </c>
      <c r="S404" t="b">
        <f>IF(ISBLANK(CleanedSalesData[[#This Row],[Quantity]]), TRUE, FALSE)</f>
        <v>0</v>
      </c>
      <c r="T404" t="b">
        <f>IF(ISBLANK(CleanedSalesData[[#This Row],[Order Date]]), TRUE, FALSE)</f>
        <v>0</v>
      </c>
      <c r="U404" t="b">
        <f>IF(ISBLANK(CleanedSalesData[[#This Row],[Revenue]]), TRUE, FALSE)</f>
        <v>0</v>
      </c>
      <c r="V404" t="b">
        <f>IF(OR(CleanedSalesData[[#This Row],[Order Status]]="Cancelled", CleanedSalesData[[#This Row],[Order Status]]="Returned"), TRUE, FALSE)</f>
        <v>1</v>
      </c>
      <c r="W404" t="str" cm="1">
        <f t="array" ref="W40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05" spans="1:23" x14ac:dyDescent="0.35">
      <c r="A405" t="s">
        <v>539</v>
      </c>
      <c r="B405" s="7">
        <v>46029</v>
      </c>
      <c r="C405" t="s">
        <v>948</v>
      </c>
      <c r="D405">
        <v>1</v>
      </c>
      <c r="E405" t="s">
        <v>111</v>
      </c>
      <c r="F405" t="s">
        <v>70</v>
      </c>
      <c r="G405" t="s">
        <v>41</v>
      </c>
      <c r="H405" t="s">
        <v>33</v>
      </c>
      <c r="I405" t="s">
        <v>86</v>
      </c>
      <c r="J405" t="s">
        <v>87</v>
      </c>
      <c r="K405" t="s">
        <v>36</v>
      </c>
      <c r="L405">
        <v>6</v>
      </c>
      <c r="M405" s="10">
        <v>0.1</v>
      </c>
      <c r="N405" s="11">
        <v>1890000</v>
      </c>
      <c r="O405" s="11">
        <v>1260000</v>
      </c>
      <c r="P405" s="11">
        <v>630000</v>
      </c>
      <c r="Q405" t="s">
        <v>63</v>
      </c>
      <c r="R405" t="b">
        <f>COUNTIF($A$6     : CleanedSalesData[[#This Row],[Order ID]], CleanedSalesData[[#This Row],[Order ID]])&gt;1</f>
        <v>0</v>
      </c>
      <c r="S405" t="b">
        <f>IF(ISBLANK(CleanedSalesData[[#This Row],[Quantity]]), TRUE, FALSE)</f>
        <v>0</v>
      </c>
      <c r="T405" t="b">
        <f>IF(ISBLANK(CleanedSalesData[[#This Row],[Order Date]]), TRUE, FALSE)</f>
        <v>0</v>
      </c>
      <c r="U405" t="b">
        <f>IF(ISBLANK(CleanedSalesData[[#This Row],[Revenue]]), TRUE, FALSE)</f>
        <v>0</v>
      </c>
      <c r="V405" t="b">
        <f>IF(OR(CleanedSalesData[[#This Row],[Order Status]]="Cancelled", CleanedSalesData[[#This Row],[Order Status]]="Returned"), TRUE, FALSE)</f>
        <v>0</v>
      </c>
      <c r="W405" t="str" cm="1">
        <f t="array" ref="W40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06" spans="1:23" x14ac:dyDescent="0.35">
      <c r="A406" t="s">
        <v>540</v>
      </c>
      <c r="B406" s="7">
        <v>46172</v>
      </c>
      <c r="C406" t="s">
        <v>946</v>
      </c>
      <c r="D406">
        <v>5</v>
      </c>
      <c r="E406" t="s">
        <v>95</v>
      </c>
      <c r="F406" t="s">
        <v>31</v>
      </c>
      <c r="G406" t="s">
        <v>81</v>
      </c>
      <c r="H406" t="s">
        <v>33</v>
      </c>
      <c r="I406" t="s">
        <v>34</v>
      </c>
      <c r="J406" t="s">
        <v>35</v>
      </c>
      <c r="K406" t="s">
        <v>36</v>
      </c>
      <c r="L406">
        <v>4</v>
      </c>
      <c r="M406" s="10">
        <v>0.03</v>
      </c>
      <c r="N406" s="11">
        <v>1843000</v>
      </c>
      <c r="O406" s="11">
        <v>1140000</v>
      </c>
      <c r="P406" s="11">
        <v>703000</v>
      </c>
      <c r="Q406" t="s">
        <v>45</v>
      </c>
      <c r="R406" t="b">
        <f>COUNTIF($A$6     : CleanedSalesData[[#This Row],[Order ID]], CleanedSalesData[[#This Row],[Order ID]])&gt;1</f>
        <v>0</v>
      </c>
      <c r="S406" t="b">
        <f>IF(ISBLANK(CleanedSalesData[[#This Row],[Quantity]]), TRUE, FALSE)</f>
        <v>0</v>
      </c>
      <c r="T406" t="b">
        <f>IF(ISBLANK(CleanedSalesData[[#This Row],[Order Date]]), TRUE, FALSE)</f>
        <v>0</v>
      </c>
      <c r="U406" t="b">
        <f>IF(ISBLANK(CleanedSalesData[[#This Row],[Revenue]]), TRUE, FALSE)</f>
        <v>0</v>
      </c>
      <c r="V406" t="b">
        <f>IF(OR(CleanedSalesData[[#This Row],[Order Status]]="Cancelled", CleanedSalesData[[#This Row],[Order Status]]="Returned"), TRUE, FALSE)</f>
        <v>0</v>
      </c>
      <c r="W406" t="str" cm="1">
        <f t="array" ref="W40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07" spans="1:23" x14ac:dyDescent="0.35">
      <c r="A407" t="s">
        <v>541</v>
      </c>
      <c r="B407" s="7">
        <v>46170</v>
      </c>
      <c r="C407" t="s">
        <v>946</v>
      </c>
      <c r="D407">
        <v>5</v>
      </c>
      <c r="E407" t="s">
        <v>54</v>
      </c>
      <c r="F407" t="s">
        <v>31</v>
      </c>
      <c r="G407" t="s">
        <v>32</v>
      </c>
      <c r="H407" t="s">
        <v>112</v>
      </c>
      <c r="I407" t="s">
        <v>42</v>
      </c>
      <c r="J407" t="s">
        <v>43</v>
      </c>
      <c r="K407" t="s">
        <v>44</v>
      </c>
      <c r="L407">
        <v>7</v>
      </c>
      <c r="M407" s="10">
        <v>0.05</v>
      </c>
      <c r="O407" s="11">
        <v>1085000</v>
      </c>
      <c r="P407" s="11">
        <v>-1085000</v>
      </c>
      <c r="Q407" t="s">
        <v>63</v>
      </c>
      <c r="R407" t="b">
        <f>COUNTIF($A$6     : CleanedSalesData[[#This Row],[Order ID]], CleanedSalesData[[#This Row],[Order ID]])&gt;1</f>
        <v>0</v>
      </c>
      <c r="S407" t="b">
        <f>IF(ISBLANK(CleanedSalesData[[#This Row],[Quantity]]), TRUE, FALSE)</f>
        <v>0</v>
      </c>
      <c r="T407" t="b">
        <f>IF(ISBLANK(CleanedSalesData[[#This Row],[Order Date]]), TRUE, FALSE)</f>
        <v>0</v>
      </c>
      <c r="U407" t="b">
        <f>IF(ISBLANK(CleanedSalesData[[#This Row],[Revenue]]), TRUE, FALSE)</f>
        <v>1</v>
      </c>
      <c r="V407" t="b">
        <f>IF(OR(CleanedSalesData[[#This Row],[Order Status]]="Cancelled", CleanedSalesData[[#This Row],[Order Status]]="Returned"), TRUE, FALSE)</f>
        <v>1</v>
      </c>
      <c r="W407" t="str" cm="1">
        <f t="array" ref="W40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408" spans="1:23" x14ac:dyDescent="0.35">
      <c r="A408" t="s">
        <v>542</v>
      </c>
      <c r="B408" s="7">
        <v>46174</v>
      </c>
      <c r="C408" t="s">
        <v>945</v>
      </c>
      <c r="D408">
        <v>6</v>
      </c>
      <c r="E408" t="s">
        <v>39</v>
      </c>
      <c r="F408" t="s">
        <v>47</v>
      </c>
      <c r="G408" t="s">
        <v>32</v>
      </c>
      <c r="H408" t="s">
        <v>33</v>
      </c>
      <c r="I408" t="s">
        <v>49</v>
      </c>
      <c r="J408" t="s">
        <v>50</v>
      </c>
      <c r="K408" t="s">
        <v>51</v>
      </c>
      <c r="L408">
        <v>1</v>
      </c>
      <c r="M408" s="10">
        <v>0.15</v>
      </c>
      <c r="N408" s="11">
        <v>208250</v>
      </c>
      <c r="O408" s="11">
        <v>145000</v>
      </c>
      <c r="P408" s="11">
        <v>63250</v>
      </c>
      <c r="Q408" t="s">
        <v>52</v>
      </c>
      <c r="R408" t="b">
        <f>COUNTIF($A$6     : CleanedSalesData[[#This Row],[Order ID]], CleanedSalesData[[#This Row],[Order ID]])&gt;1</f>
        <v>0</v>
      </c>
      <c r="S408" t="b">
        <f>IF(ISBLANK(CleanedSalesData[[#This Row],[Quantity]]), TRUE, FALSE)</f>
        <v>0</v>
      </c>
      <c r="T408" t="b">
        <f>IF(ISBLANK(CleanedSalesData[[#This Row],[Order Date]]), TRUE, FALSE)</f>
        <v>0</v>
      </c>
      <c r="U408" t="b">
        <f>IF(ISBLANK(CleanedSalesData[[#This Row],[Revenue]]), TRUE, FALSE)</f>
        <v>0</v>
      </c>
      <c r="V408" t="b">
        <f>IF(OR(CleanedSalesData[[#This Row],[Order Status]]="Cancelled", CleanedSalesData[[#This Row],[Order Status]]="Returned"), TRUE, FALSE)</f>
        <v>0</v>
      </c>
      <c r="W408" t="str" cm="1">
        <f t="array" ref="W40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09" spans="1:23" x14ac:dyDescent="0.35">
      <c r="A409" t="s">
        <v>543</v>
      </c>
      <c r="B409" s="7">
        <v>46161</v>
      </c>
      <c r="C409" t="s">
        <v>946</v>
      </c>
      <c r="D409">
        <v>5</v>
      </c>
      <c r="E409" t="s">
        <v>39</v>
      </c>
      <c r="F409" t="s">
        <v>40</v>
      </c>
      <c r="G409" t="s">
        <v>41</v>
      </c>
      <c r="H409" t="s">
        <v>33</v>
      </c>
      <c r="I409" t="s">
        <v>55</v>
      </c>
      <c r="J409" t="s">
        <v>56</v>
      </c>
      <c r="K409" t="s">
        <v>36</v>
      </c>
      <c r="L409">
        <v>5</v>
      </c>
      <c r="M409" s="10">
        <v>0.03</v>
      </c>
      <c r="N409" s="11">
        <v>8972500</v>
      </c>
      <c r="O409" s="11">
        <v>6600000</v>
      </c>
      <c r="P409" s="11">
        <v>2372500</v>
      </c>
      <c r="Q409" t="s">
        <v>45</v>
      </c>
      <c r="R409" t="b">
        <f>COUNTIF($A$6     : CleanedSalesData[[#This Row],[Order ID]], CleanedSalesData[[#This Row],[Order ID]])&gt;1</f>
        <v>0</v>
      </c>
      <c r="S409" t="b">
        <f>IF(ISBLANK(CleanedSalesData[[#This Row],[Quantity]]), TRUE, FALSE)</f>
        <v>0</v>
      </c>
      <c r="T409" t="b">
        <f>IF(ISBLANK(CleanedSalesData[[#This Row],[Order Date]]), TRUE, FALSE)</f>
        <v>0</v>
      </c>
      <c r="U409" t="b">
        <f>IF(ISBLANK(CleanedSalesData[[#This Row],[Revenue]]), TRUE, FALSE)</f>
        <v>0</v>
      </c>
      <c r="V409" t="b">
        <f>IF(OR(CleanedSalesData[[#This Row],[Order Status]]="Cancelled", CleanedSalesData[[#This Row],[Order Status]]="Returned"), TRUE, FALSE)</f>
        <v>0</v>
      </c>
      <c r="W409" t="str" cm="1">
        <f t="array" ref="W40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0" spans="1:23" x14ac:dyDescent="0.35">
      <c r="A410" t="s">
        <v>544</v>
      </c>
      <c r="B410" s="7">
        <v>46028</v>
      </c>
      <c r="C410" t="s">
        <v>948</v>
      </c>
      <c r="D410">
        <v>1</v>
      </c>
      <c r="E410" t="s">
        <v>30</v>
      </c>
      <c r="F410" t="s">
        <v>47</v>
      </c>
      <c r="G410" t="s">
        <v>32</v>
      </c>
      <c r="H410" t="s">
        <v>33</v>
      </c>
      <c r="I410" t="s">
        <v>60</v>
      </c>
      <c r="J410" t="s">
        <v>61</v>
      </c>
      <c r="K410" t="s">
        <v>62</v>
      </c>
      <c r="L410">
        <v>8</v>
      </c>
      <c r="M410" s="10">
        <v>0</v>
      </c>
      <c r="N410" s="11">
        <v>520000</v>
      </c>
      <c r="O410" s="11">
        <v>248000</v>
      </c>
      <c r="P410" s="11">
        <v>272000</v>
      </c>
      <c r="Q410" t="s">
        <v>63</v>
      </c>
      <c r="R410" t="b">
        <f>COUNTIF($A$6     : CleanedSalesData[[#This Row],[Order ID]], CleanedSalesData[[#This Row],[Order ID]])&gt;1</f>
        <v>0</v>
      </c>
      <c r="S410" t="b">
        <f>IF(ISBLANK(CleanedSalesData[[#This Row],[Quantity]]), TRUE, FALSE)</f>
        <v>0</v>
      </c>
      <c r="T410" t="b">
        <f>IF(ISBLANK(CleanedSalesData[[#This Row],[Order Date]]), TRUE, FALSE)</f>
        <v>0</v>
      </c>
      <c r="U410" t="b">
        <f>IF(ISBLANK(CleanedSalesData[[#This Row],[Revenue]]), TRUE, FALSE)</f>
        <v>0</v>
      </c>
      <c r="V410" t="b">
        <f>IF(OR(CleanedSalesData[[#This Row],[Order Status]]="Cancelled", CleanedSalesData[[#This Row],[Order Status]]="Returned"), TRUE, FALSE)</f>
        <v>0</v>
      </c>
      <c r="W410" t="str" cm="1">
        <f t="array" ref="W41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1" spans="1:23" x14ac:dyDescent="0.35">
      <c r="A411" t="s">
        <v>545</v>
      </c>
      <c r="B411" s="7">
        <v>46068</v>
      </c>
      <c r="C411" t="s">
        <v>944</v>
      </c>
      <c r="D411">
        <v>2</v>
      </c>
      <c r="E411" t="s">
        <v>69</v>
      </c>
      <c r="F411" t="s">
        <v>47</v>
      </c>
      <c r="G411" t="s">
        <v>32</v>
      </c>
      <c r="H411" t="s">
        <v>33</v>
      </c>
      <c r="I411" t="s">
        <v>66</v>
      </c>
      <c r="J411" t="s">
        <v>67</v>
      </c>
      <c r="K411" t="s">
        <v>51</v>
      </c>
      <c r="L411">
        <v>6</v>
      </c>
      <c r="M411" s="10">
        <v>0</v>
      </c>
      <c r="N411" s="11">
        <v>1860000</v>
      </c>
      <c r="O411" s="11">
        <v>1140000</v>
      </c>
      <c r="P411" s="11">
        <v>720000</v>
      </c>
      <c r="Q411" t="s">
        <v>63</v>
      </c>
      <c r="R411" t="b">
        <f>COUNTIF($A$6     : CleanedSalesData[[#This Row],[Order ID]], CleanedSalesData[[#This Row],[Order ID]])&gt;1</f>
        <v>0</v>
      </c>
      <c r="S411" t="b">
        <f>IF(ISBLANK(CleanedSalesData[[#This Row],[Quantity]]), TRUE, FALSE)</f>
        <v>0</v>
      </c>
      <c r="T411" t="b">
        <f>IF(ISBLANK(CleanedSalesData[[#This Row],[Order Date]]), TRUE, FALSE)</f>
        <v>0</v>
      </c>
      <c r="U411" t="b">
        <f>IF(ISBLANK(CleanedSalesData[[#This Row],[Revenue]]), TRUE, FALSE)</f>
        <v>0</v>
      </c>
      <c r="V411" t="b">
        <f>IF(OR(CleanedSalesData[[#This Row],[Order Status]]="Cancelled", CleanedSalesData[[#This Row],[Order Status]]="Returned"), TRUE, FALSE)</f>
        <v>0</v>
      </c>
      <c r="W411" t="str" cm="1">
        <f t="array" ref="W41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2" spans="1:23" x14ac:dyDescent="0.35">
      <c r="A412" t="s">
        <v>546</v>
      </c>
      <c r="B412" s="7">
        <v>46041</v>
      </c>
      <c r="C412" t="s">
        <v>948</v>
      </c>
      <c r="D412">
        <v>1</v>
      </c>
      <c r="E412" t="s">
        <v>54</v>
      </c>
      <c r="F412" t="s">
        <v>47</v>
      </c>
      <c r="G412" t="s">
        <v>41</v>
      </c>
      <c r="H412" t="s">
        <v>112</v>
      </c>
      <c r="I412" t="s">
        <v>71</v>
      </c>
      <c r="J412" t="s">
        <v>72</v>
      </c>
      <c r="K412" t="s">
        <v>73</v>
      </c>
      <c r="L412">
        <v>6</v>
      </c>
      <c r="M412" s="10">
        <v>0.15</v>
      </c>
      <c r="N412" s="11">
        <v>159375</v>
      </c>
      <c r="O412" s="11">
        <v>420000</v>
      </c>
      <c r="P412" s="11">
        <v>-260625</v>
      </c>
      <c r="Q412" t="s">
        <v>57</v>
      </c>
      <c r="R412" t="b">
        <f>COUNTIF($A$6     : CleanedSalesData[[#This Row],[Order ID]], CleanedSalesData[[#This Row],[Order ID]])&gt;1</f>
        <v>0</v>
      </c>
      <c r="S412" t="b">
        <f>IF(ISBLANK(CleanedSalesData[[#This Row],[Quantity]]), TRUE, FALSE)</f>
        <v>0</v>
      </c>
      <c r="T412" t="b">
        <f>IF(ISBLANK(CleanedSalesData[[#This Row],[Order Date]]), TRUE, FALSE)</f>
        <v>0</v>
      </c>
      <c r="U412" t="b">
        <f>IF(ISBLANK(CleanedSalesData[[#This Row],[Revenue]]), TRUE, FALSE)</f>
        <v>0</v>
      </c>
      <c r="V412" t="b">
        <f>IF(OR(CleanedSalesData[[#This Row],[Order Status]]="Cancelled", CleanedSalesData[[#This Row],[Order Status]]="Returned"), TRUE, FALSE)</f>
        <v>1</v>
      </c>
      <c r="W412" t="str" cm="1">
        <f t="array" ref="W41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13" spans="1:23" x14ac:dyDescent="0.35">
      <c r="A413" t="s">
        <v>547</v>
      </c>
      <c r="B413" s="7">
        <v>46105</v>
      </c>
      <c r="C413" t="s">
        <v>947</v>
      </c>
      <c r="D413">
        <v>3</v>
      </c>
      <c r="E413" t="s">
        <v>54</v>
      </c>
      <c r="F413" t="s">
        <v>59</v>
      </c>
      <c r="G413" t="s">
        <v>48</v>
      </c>
      <c r="H413" t="s">
        <v>33</v>
      </c>
      <c r="I413" t="s">
        <v>78</v>
      </c>
      <c r="J413" t="s">
        <v>79</v>
      </c>
      <c r="K413" t="s">
        <v>62</v>
      </c>
      <c r="L413">
        <v>3</v>
      </c>
      <c r="M413" s="10">
        <v>0.03</v>
      </c>
      <c r="N413" s="11">
        <v>247350</v>
      </c>
      <c r="O413" s="11">
        <v>129000</v>
      </c>
      <c r="P413" s="11">
        <v>118350</v>
      </c>
      <c r="Q413" t="s">
        <v>84</v>
      </c>
      <c r="R413" t="b">
        <f>COUNTIF($A$6     : CleanedSalesData[[#This Row],[Order ID]], CleanedSalesData[[#This Row],[Order ID]])&gt;1</f>
        <v>0</v>
      </c>
      <c r="S413" t="b">
        <f>IF(ISBLANK(CleanedSalesData[[#This Row],[Quantity]]), TRUE, FALSE)</f>
        <v>0</v>
      </c>
      <c r="T413" t="b">
        <f>IF(ISBLANK(CleanedSalesData[[#This Row],[Order Date]]), TRUE, FALSE)</f>
        <v>0</v>
      </c>
      <c r="U413" t="b">
        <f>IF(ISBLANK(CleanedSalesData[[#This Row],[Revenue]]), TRUE, FALSE)</f>
        <v>0</v>
      </c>
      <c r="V413" t="b">
        <f>IF(OR(CleanedSalesData[[#This Row],[Order Status]]="Cancelled", CleanedSalesData[[#This Row],[Order Status]]="Returned"), TRUE, FALSE)</f>
        <v>0</v>
      </c>
      <c r="W413" t="str" cm="1">
        <f t="array" ref="W41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4" spans="1:23" x14ac:dyDescent="0.35">
      <c r="A414" t="s">
        <v>548</v>
      </c>
      <c r="B414" s="7">
        <v>46166</v>
      </c>
      <c r="C414" t="s">
        <v>946</v>
      </c>
      <c r="D414">
        <v>5</v>
      </c>
      <c r="E414" t="s">
        <v>76</v>
      </c>
      <c r="F414" t="s">
        <v>31</v>
      </c>
      <c r="G414" t="s">
        <v>48</v>
      </c>
      <c r="H414" t="s">
        <v>33</v>
      </c>
      <c r="I414" t="s">
        <v>82</v>
      </c>
      <c r="J414" t="s">
        <v>83</v>
      </c>
      <c r="K414" t="s">
        <v>44</v>
      </c>
      <c r="L414">
        <v>6</v>
      </c>
      <c r="M414" s="10">
        <v>0.03</v>
      </c>
      <c r="N414" s="11">
        <v>8439000</v>
      </c>
      <c r="O414" s="11">
        <v>5880000</v>
      </c>
      <c r="P414" s="11">
        <v>2559000</v>
      </c>
      <c r="Q414" t="s">
        <v>57</v>
      </c>
      <c r="R414" t="b">
        <f>COUNTIF($A$6     : CleanedSalesData[[#This Row],[Order ID]], CleanedSalesData[[#This Row],[Order ID]])&gt;1</f>
        <v>0</v>
      </c>
      <c r="S414" t="b">
        <f>IF(ISBLANK(CleanedSalesData[[#This Row],[Quantity]]), TRUE, FALSE)</f>
        <v>0</v>
      </c>
      <c r="T414" t="b">
        <f>IF(ISBLANK(CleanedSalesData[[#This Row],[Order Date]]), TRUE, FALSE)</f>
        <v>0</v>
      </c>
      <c r="U414" t="b">
        <f>IF(ISBLANK(CleanedSalesData[[#This Row],[Revenue]]), TRUE, FALSE)</f>
        <v>0</v>
      </c>
      <c r="V414" t="b">
        <f>IF(OR(CleanedSalesData[[#This Row],[Order Status]]="Cancelled", CleanedSalesData[[#This Row],[Order Status]]="Returned"), TRUE, FALSE)</f>
        <v>0</v>
      </c>
      <c r="W414" t="str" cm="1">
        <f t="array" ref="W41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5" spans="1:23" x14ac:dyDescent="0.35">
      <c r="A415" t="s">
        <v>549</v>
      </c>
      <c r="B415" s="7">
        <v>46055</v>
      </c>
      <c r="C415" t="s">
        <v>944</v>
      </c>
      <c r="D415">
        <v>2</v>
      </c>
      <c r="E415" t="s">
        <v>95</v>
      </c>
      <c r="F415" t="s">
        <v>47</v>
      </c>
      <c r="G415" t="s">
        <v>48</v>
      </c>
      <c r="H415" t="s">
        <v>33</v>
      </c>
      <c r="I415" t="s">
        <v>86</v>
      </c>
      <c r="J415" t="s">
        <v>87</v>
      </c>
      <c r="K415" t="s">
        <v>36</v>
      </c>
      <c r="L415">
        <v>3</v>
      </c>
      <c r="M415" s="10">
        <v>0.15</v>
      </c>
      <c r="N415" s="11">
        <v>892500</v>
      </c>
      <c r="O415" s="11">
        <v>630000</v>
      </c>
      <c r="P415" s="11">
        <v>262500</v>
      </c>
      <c r="Q415" t="s">
        <v>84</v>
      </c>
      <c r="R415" t="b">
        <f>COUNTIF($A$6     : CleanedSalesData[[#This Row],[Order ID]], CleanedSalesData[[#This Row],[Order ID]])&gt;1</f>
        <v>0</v>
      </c>
      <c r="S415" t="b">
        <f>IF(ISBLANK(CleanedSalesData[[#This Row],[Quantity]]), TRUE, FALSE)</f>
        <v>0</v>
      </c>
      <c r="T415" t="b">
        <f>IF(ISBLANK(CleanedSalesData[[#This Row],[Order Date]]), TRUE, FALSE)</f>
        <v>0</v>
      </c>
      <c r="U415" t="b">
        <f>IF(ISBLANK(CleanedSalesData[[#This Row],[Revenue]]), TRUE, FALSE)</f>
        <v>0</v>
      </c>
      <c r="V415" t="b">
        <f>IF(OR(CleanedSalesData[[#This Row],[Order Status]]="Cancelled", CleanedSalesData[[#This Row],[Order Status]]="Returned"), TRUE, FALSE)</f>
        <v>0</v>
      </c>
      <c r="W415" t="str" cm="1">
        <f t="array" ref="W41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6" spans="1:23" x14ac:dyDescent="0.35">
      <c r="A416" t="s">
        <v>551</v>
      </c>
      <c r="B416" s="7">
        <v>46177</v>
      </c>
      <c r="C416" t="s">
        <v>945</v>
      </c>
      <c r="D416">
        <v>6</v>
      </c>
      <c r="E416" t="s">
        <v>111</v>
      </c>
      <c r="F416" t="s">
        <v>47</v>
      </c>
      <c r="G416" t="s">
        <v>41</v>
      </c>
      <c r="H416" t="s">
        <v>33</v>
      </c>
      <c r="I416" t="s">
        <v>34</v>
      </c>
      <c r="J416" t="s">
        <v>35</v>
      </c>
      <c r="K416" t="s">
        <v>36</v>
      </c>
      <c r="L416">
        <v>6</v>
      </c>
      <c r="M416" s="10">
        <v>0.1</v>
      </c>
      <c r="N416" s="11">
        <v>2565000</v>
      </c>
      <c r="O416" s="11">
        <v>1710000</v>
      </c>
      <c r="P416" s="11">
        <v>855000</v>
      </c>
      <c r="Q416" t="s">
        <v>84</v>
      </c>
      <c r="R416" t="b">
        <f>COUNTIF($A$6     : CleanedSalesData[[#This Row],[Order ID]], CleanedSalesData[[#This Row],[Order ID]])&gt;1</f>
        <v>0</v>
      </c>
      <c r="S416" t="b">
        <f>IF(ISBLANK(CleanedSalesData[[#This Row],[Quantity]]), TRUE, FALSE)</f>
        <v>0</v>
      </c>
      <c r="T416" t="b">
        <f>IF(ISBLANK(CleanedSalesData[[#This Row],[Order Date]]), TRUE, FALSE)</f>
        <v>0</v>
      </c>
      <c r="U416" t="b">
        <f>IF(ISBLANK(CleanedSalesData[[#This Row],[Revenue]]), TRUE, FALSE)</f>
        <v>0</v>
      </c>
      <c r="V416" t="b">
        <f>IF(OR(CleanedSalesData[[#This Row],[Order Status]]="Cancelled", CleanedSalesData[[#This Row],[Order Status]]="Returned"), TRUE, FALSE)</f>
        <v>0</v>
      </c>
      <c r="W416" t="str" cm="1">
        <f t="array" ref="W41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7" spans="1:23" x14ac:dyDescent="0.35">
      <c r="A417" t="s">
        <v>552</v>
      </c>
      <c r="B417" s="7">
        <v>46107</v>
      </c>
      <c r="C417" t="s">
        <v>947</v>
      </c>
      <c r="D417">
        <v>3</v>
      </c>
      <c r="E417" t="s">
        <v>69</v>
      </c>
      <c r="F417" t="s">
        <v>70</v>
      </c>
      <c r="G417" t="s">
        <v>32</v>
      </c>
      <c r="H417" t="s">
        <v>33</v>
      </c>
      <c r="I417" t="s">
        <v>42</v>
      </c>
      <c r="J417" t="s">
        <v>43</v>
      </c>
      <c r="K417" t="s">
        <v>44</v>
      </c>
      <c r="L417">
        <v>2</v>
      </c>
      <c r="M417" s="10">
        <v>0.03</v>
      </c>
      <c r="N417" s="11">
        <v>533500</v>
      </c>
      <c r="O417" s="11">
        <v>310000</v>
      </c>
      <c r="P417" s="11">
        <v>223500</v>
      </c>
      <c r="Q417" t="s">
        <v>63</v>
      </c>
      <c r="R417" t="b">
        <f>COUNTIF($A$6     : CleanedSalesData[[#This Row],[Order ID]], CleanedSalesData[[#This Row],[Order ID]])&gt;1</f>
        <v>0</v>
      </c>
      <c r="S417" t="b">
        <f>IF(ISBLANK(CleanedSalesData[[#This Row],[Quantity]]), TRUE, FALSE)</f>
        <v>0</v>
      </c>
      <c r="T417" t="b">
        <f>IF(ISBLANK(CleanedSalesData[[#This Row],[Order Date]]), TRUE, FALSE)</f>
        <v>0</v>
      </c>
      <c r="U417" t="b">
        <f>IF(ISBLANK(CleanedSalesData[[#This Row],[Revenue]]), TRUE, FALSE)</f>
        <v>0</v>
      </c>
      <c r="V417" t="b">
        <f>IF(OR(CleanedSalesData[[#This Row],[Order Status]]="Cancelled", CleanedSalesData[[#This Row],[Order Status]]="Returned"), TRUE, FALSE)</f>
        <v>0</v>
      </c>
      <c r="W417" t="str" cm="1">
        <f t="array" ref="W41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8" spans="1:23" x14ac:dyDescent="0.35">
      <c r="A418" t="s">
        <v>553</v>
      </c>
      <c r="B418" s="7">
        <v>32874</v>
      </c>
      <c r="C418" t="s">
        <v>948</v>
      </c>
      <c r="D418">
        <v>1</v>
      </c>
      <c r="E418" t="s">
        <v>76</v>
      </c>
      <c r="F418" t="s">
        <v>40</v>
      </c>
      <c r="G418" t="s">
        <v>81</v>
      </c>
      <c r="H418" t="s">
        <v>33</v>
      </c>
      <c r="I418" t="s">
        <v>49</v>
      </c>
      <c r="J418" t="s">
        <v>50</v>
      </c>
      <c r="K418" t="s">
        <v>51</v>
      </c>
      <c r="L418">
        <v>1</v>
      </c>
      <c r="M418" s="10">
        <v>0.05</v>
      </c>
      <c r="N418" s="11">
        <v>232750</v>
      </c>
      <c r="O418" s="11">
        <v>145000</v>
      </c>
      <c r="P418" s="11">
        <v>87750</v>
      </c>
      <c r="Q418" t="s">
        <v>37</v>
      </c>
      <c r="R418" t="b">
        <f>COUNTIF($A$6     : CleanedSalesData[[#This Row],[Order ID]], CleanedSalesData[[#This Row],[Order ID]])&gt;1</f>
        <v>0</v>
      </c>
      <c r="S418" t="b">
        <f>IF(ISBLANK(CleanedSalesData[[#This Row],[Quantity]]), TRUE, FALSE)</f>
        <v>0</v>
      </c>
      <c r="T418" t="b">
        <f>IF(ISBLANK(CleanedSalesData[[#This Row],[Order Date]]), TRUE, FALSE)</f>
        <v>0</v>
      </c>
      <c r="U418" t="b">
        <f>IF(ISBLANK(CleanedSalesData[[#This Row],[Revenue]]), TRUE, FALSE)</f>
        <v>0</v>
      </c>
      <c r="V418" t="b">
        <f>IF(OR(CleanedSalesData[[#This Row],[Order Status]]="Cancelled", CleanedSalesData[[#This Row],[Order Status]]="Returned"), TRUE, FALSE)</f>
        <v>0</v>
      </c>
      <c r="W418" t="str" cm="1">
        <f t="array" ref="W41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19" spans="1:23" x14ac:dyDescent="0.35">
      <c r="A419" t="s">
        <v>555</v>
      </c>
      <c r="B419" s="7">
        <v>46023</v>
      </c>
      <c r="C419" t="s">
        <v>948</v>
      </c>
      <c r="D419">
        <v>1</v>
      </c>
      <c r="E419" t="s">
        <v>65</v>
      </c>
      <c r="F419" t="s">
        <v>59</v>
      </c>
      <c r="G419" t="s">
        <v>32</v>
      </c>
      <c r="H419" t="s">
        <v>33</v>
      </c>
      <c r="I419" t="s">
        <v>55</v>
      </c>
      <c r="J419" t="s">
        <v>56</v>
      </c>
      <c r="K419" t="s">
        <v>36</v>
      </c>
      <c r="L419">
        <v>1</v>
      </c>
      <c r="M419" s="10">
        <v>0.08</v>
      </c>
      <c r="N419" s="11">
        <v>1702000</v>
      </c>
      <c r="O419" s="11">
        <v>1320000</v>
      </c>
      <c r="P419" s="11">
        <v>382000</v>
      </c>
      <c r="Q419" t="s">
        <v>52</v>
      </c>
      <c r="R419" t="b">
        <f>COUNTIF($A$6     : CleanedSalesData[[#This Row],[Order ID]], CleanedSalesData[[#This Row],[Order ID]])&gt;1</f>
        <v>0</v>
      </c>
      <c r="S419" t="b">
        <f>IF(ISBLANK(CleanedSalesData[[#This Row],[Quantity]]), TRUE, FALSE)</f>
        <v>0</v>
      </c>
      <c r="T419" t="b">
        <f>IF(ISBLANK(CleanedSalesData[[#This Row],[Order Date]]), TRUE, FALSE)</f>
        <v>0</v>
      </c>
      <c r="U419" t="b">
        <f>IF(ISBLANK(CleanedSalesData[[#This Row],[Revenue]]), TRUE, FALSE)</f>
        <v>0</v>
      </c>
      <c r="V419" t="b">
        <f>IF(OR(CleanedSalesData[[#This Row],[Order Status]]="Cancelled", CleanedSalesData[[#This Row],[Order Status]]="Returned"), TRUE, FALSE)</f>
        <v>0</v>
      </c>
      <c r="W419" t="str" cm="1">
        <f t="array" ref="W41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20" spans="1:23" x14ac:dyDescent="0.35">
      <c r="A420" t="s">
        <v>556</v>
      </c>
      <c r="E420" t="s">
        <v>30</v>
      </c>
      <c r="F420" t="s">
        <v>59</v>
      </c>
      <c r="G420" t="s">
        <v>32</v>
      </c>
      <c r="H420" t="s">
        <v>33</v>
      </c>
      <c r="I420" t="s">
        <v>60</v>
      </c>
      <c r="J420" t="s">
        <v>61</v>
      </c>
      <c r="K420" t="s">
        <v>62</v>
      </c>
      <c r="L420">
        <v>6</v>
      </c>
      <c r="M420" s="10">
        <v>0.1</v>
      </c>
      <c r="N420" s="11">
        <v>351000</v>
      </c>
      <c r="O420" s="11">
        <v>186000</v>
      </c>
      <c r="P420" s="11">
        <v>165000</v>
      </c>
      <c r="Q420" t="s">
        <v>52</v>
      </c>
      <c r="R420" t="b">
        <f>COUNTIF($A$6     : CleanedSalesData[[#This Row],[Order ID]], CleanedSalesData[[#This Row],[Order ID]])&gt;1</f>
        <v>0</v>
      </c>
      <c r="S420" t="b">
        <f>IF(ISBLANK(CleanedSalesData[[#This Row],[Quantity]]), TRUE, FALSE)</f>
        <v>0</v>
      </c>
      <c r="T420" t="b">
        <f>IF(ISBLANK(CleanedSalesData[[#This Row],[Order Date]]), TRUE, FALSE)</f>
        <v>1</v>
      </c>
      <c r="U420" t="b">
        <f>IF(ISBLANK(CleanedSalesData[[#This Row],[Revenue]]), TRUE, FALSE)</f>
        <v>0</v>
      </c>
      <c r="V420" t="b">
        <f>IF(OR(CleanedSalesData[[#This Row],[Order Status]]="Cancelled", CleanedSalesData[[#This Row],[Order Status]]="Returned"), TRUE, FALSE)</f>
        <v>0</v>
      </c>
      <c r="W420" t="str" cm="1">
        <f t="array" ref="W42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Date</v>
      </c>
    </row>
    <row r="421" spans="1:23" x14ac:dyDescent="0.35">
      <c r="A421" t="s">
        <v>557</v>
      </c>
      <c r="B421" s="7">
        <v>46041</v>
      </c>
      <c r="C421" t="s">
        <v>948</v>
      </c>
      <c r="D421">
        <v>1</v>
      </c>
      <c r="E421" t="s">
        <v>69</v>
      </c>
      <c r="F421" t="s">
        <v>70</v>
      </c>
      <c r="G421" t="s">
        <v>41</v>
      </c>
      <c r="H421" t="s">
        <v>33</v>
      </c>
      <c r="I421" t="s">
        <v>66</v>
      </c>
      <c r="J421" t="s">
        <v>67</v>
      </c>
      <c r="K421" t="s">
        <v>51</v>
      </c>
      <c r="L421">
        <v>1</v>
      </c>
      <c r="M421" s="10">
        <v>0.05</v>
      </c>
      <c r="N421" s="11">
        <v>294500</v>
      </c>
      <c r="O421" s="11">
        <v>190000</v>
      </c>
      <c r="P421" s="11">
        <v>104500</v>
      </c>
      <c r="Q421" t="s">
        <v>63</v>
      </c>
      <c r="R421" t="b">
        <f>COUNTIF($A$6     : CleanedSalesData[[#This Row],[Order ID]], CleanedSalesData[[#This Row],[Order ID]])&gt;1</f>
        <v>0</v>
      </c>
      <c r="S421" t="b">
        <f>IF(ISBLANK(CleanedSalesData[[#This Row],[Quantity]]), TRUE, FALSE)</f>
        <v>0</v>
      </c>
      <c r="T421" t="b">
        <f>IF(ISBLANK(CleanedSalesData[[#This Row],[Order Date]]), TRUE, FALSE)</f>
        <v>0</v>
      </c>
      <c r="U421" t="b">
        <f>IF(ISBLANK(CleanedSalesData[[#This Row],[Revenue]]), TRUE, FALSE)</f>
        <v>0</v>
      </c>
      <c r="V421" t="b">
        <f>IF(OR(CleanedSalesData[[#This Row],[Order Status]]="Cancelled", CleanedSalesData[[#This Row],[Order Status]]="Returned"), TRUE, FALSE)</f>
        <v>0</v>
      </c>
      <c r="W421" t="str" cm="1">
        <f t="array" ref="W42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22" spans="1:23" x14ac:dyDescent="0.35">
      <c r="A422" t="s">
        <v>558</v>
      </c>
      <c r="B422" s="7">
        <v>46066</v>
      </c>
      <c r="C422" t="s">
        <v>944</v>
      </c>
      <c r="D422">
        <v>2</v>
      </c>
      <c r="E422" t="s">
        <v>54</v>
      </c>
      <c r="F422" t="s">
        <v>47</v>
      </c>
      <c r="G422" t="s">
        <v>41</v>
      </c>
      <c r="H422" t="s">
        <v>33</v>
      </c>
      <c r="I422" t="s">
        <v>71</v>
      </c>
      <c r="J422" t="s">
        <v>72</v>
      </c>
      <c r="K422" t="s">
        <v>73</v>
      </c>
      <c r="L422">
        <v>7</v>
      </c>
      <c r="M422" s="10">
        <v>0.03</v>
      </c>
      <c r="N422" s="11">
        <v>848750</v>
      </c>
      <c r="O422" s="11">
        <v>490000</v>
      </c>
      <c r="P422" s="11">
        <v>358750</v>
      </c>
      <c r="Q422" t="s">
        <v>52</v>
      </c>
      <c r="R422" t="b">
        <f>COUNTIF($A$6     : CleanedSalesData[[#This Row],[Order ID]], CleanedSalesData[[#This Row],[Order ID]])&gt;1</f>
        <v>0</v>
      </c>
      <c r="S422" t="b">
        <f>IF(ISBLANK(CleanedSalesData[[#This Row],[Quantity]]), TRUE, FALSE)</f>
        <v>0</v>
      </c>
      <c r="T422" t="b">
        <f>IF(ISBLANK(CleanedSalesData[[#This Row],[Order Date]]), TRUE, FALSE)</f>
        <v>0</v>
      </c>
      <c r="U422" t="b">
        <f>IF(ISBLANK(CleanedSalesData[[#This Row],[Revenue]]), TRUE, FALSE)</f>
        <v>0</v>
      </c>
      <c r="V422" t="b">
        <f>IF(OR(CleanedSalesData[[#This Row],[Order Status]]="Cancelled", CleanedSalesData[[#This Row],[Order Status]]="Returned"), TRUE, FALSE)</f>
        <v>0</v>
      </c>
      <c r="W422" t="str" cm="1">
        <f t="array" ref="W42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23" spans="1:23" x14ac:dyDescent="0.35">
      <c r="A423" t="s">
        <v>559</v>
      </c>
      <c r="B423" s="7">
        <v>46203</v>
      </c>
      <c r="C423" t="s">
        <v>945</v>
      </c>
      <c r="D423">
        <v>6</v>
      </c>
      <c r="E423" t="s">
        <v>30</v>
      </c>
      <c r="F423" t="s">
        <v>47</v>
      </c>
      <c r="G423" t="s">
        <v>48</v>
      </c>
      <c r="H423" t="s">
        <v>112</v>
      </c>
      <c r="I423" t="s">
        <v>78</v>
      </c>
      <c r="J423" t="s">
        <v>79</v>
      </c>
      <c r="K423" t="s">
        <v>62</v>
      </c>
      <c r="L423">
        <v>1</v>
      </c>
      <c r="M423" s="10">
        <v>0.08</v>
      </c>
      <c r="N423" s="11">
        <v>0</v>
      </c>
      <c r="O423" s="11">
        <v>43000</v>
      </c>
      <c r="P423" s="11">
        <v>-43000</v>
      </c>
      <c r="Q423" t="s">
        <v>74</v>
      </c>
      <c r="R423" t="b">
        <f>COUNTIF($A$6     : CleanedSalesData[[#This Row],[Order ID]], CleanedSalesData[[#This Row],[Order ID]])&gt;1</f>
        <v>0</v>
      </c>
      <c r="S423" t="b">
        <f>IF(ISBLANK(CleanedSalesData[[#This Row],[Quantity]]), TRUE, FALSE)</f>
        <v>0</v>
      </c>
      <c r="T423" t="b">
        <f>IF(ISBLANK(CleanedSalesData[[#This Row],[Order Date]]), TRUE, FALSE)</f>
        <v>0</v>
      </c>
      <c r="U423" t="b">
        <f>IF(ISBLANK(CleanedSalesData[[#This Row],[Revenue]]), TRUE, FALSE)</f>
        <v>0</v>
      </c>
      <c r="V423" t="b">
        <f>IF(OR(CleanedSalesData[[#This Row],[Order Status]]="Cancelled", CleanedSalesData[[#This Row],[Order Status]]="Returned"), TRUE, FALSE)</f>
        <v>1</v>
      </c>
      <c r="W423" t="str" cm="1">
        <f t="array" ref="W42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24" spans="1:23" x14ac:dyDescent="0.35">
      <c r="A424" t="s">
        <v>560</v>
      </c>
      <c r="B424" s="7">
        <v>46048</v>
      </c>
      <c r="C424" t="s">
        <v>948</v>
      </c>
      <c r="D424">
        <v>1</v>
      </c>
      <c r="E424" t="s">
        <v>76</v>
      </c>
      <c r="F424" t="s">
        <v>47</v>
      </c>
      <c r="G424" t="s">
        <v>81</v>
      </c>
      <c r="H424" t="s">
        <v>77</v>
      </c>
      <c r="I424" t="s">
        <v>82</v>
      </c>
      <c r="J424" t="s">
        <v>83</v>
      </c>
      <c r="K424" t="s">
        <v>44</v>
      </c>
      <c r="L424">
        <v>6</v>
      </c>
      <c r="M424" s="10">
        <v>0.03</v>
      </c>
      <c r="N424" s="11">
        <v>2109750</v>
      </c>
      <c r="O424" s="11">
        <v>5880000</v>
      </c>
      <c r="P424" s="11">
        <v>-3770250</v>
      </c>
      <c r="Q424" t="s">
        <v>57</v>
      </c>
      <c r="R424" t="b">
        <f>COUNTIF($A$6     : CleanedSalesData[[#This Row],[Order ID]], CleanedSalesData[[#This Row],[Order ID]])&gt;1</f>
        <v>0</v>
      </c>
      <c r="S424" t="b">
        <f>IF(ISBLANK(CleanedSalesData[[#This Row],[Quantity]]), TRUE, FALSE)</f>
        <v>0</v>
      </c>
      <c r="T424" t="b">
        <f>IF(ISBLANK(CleanedSalesData[[#This Row],[Order Date]]), TRUE, FALSE)</f>
        <v>0</v>
      </c>
      <c r="U424" t="b">
        <f>IF(ISBLANK(CleanedSalesData[[#This Row],[Revenue]]), TRUE, FALSE)</f>
        <v>0</v>
      </c>
      <c r="V424" t="b">
        <f>IF(OR(CleanedSalesData[[#This Row],[Order Status]]="Cancelled", CleanedSalesData[[#This Row],[Order Status]]="Returned"), TRUE, FALSE)</f>
        <v>1</v>
      </c>
      <c r="W424" t="str" cm="1">
        <f t="array" ref="W42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25" spans="1:23" x14ac:dyDescent="0.35">
      <c r="A425" t="s">
        <v>561</v>
      </c>
      <c r="B425" s="7">
        <v>46083</v>
      </c>
      <c r="C425" t="s">
        <v>947</v>
      </c>
      <c r="D425">
        <v>3</v>
      </c>
      <c r="E425" t="s">
        <v>30</v>
      </c>
      <c r="F425" t="s">
        <v>47</v>
      </c>
      <c r="G425" t="s">
        <v>48</v>
      </c>
      <c r="H425" t="s">
        <v>33</v>
      </c>
      <c r="I425" t="s">
        <v>86</v>
      </c>
      <c r="J425" t="s">
        <v>87</v>
      </c>
      <c r="K425" t="s">
        <v>36</v>
      </c>
      <c r="L425">
        <v>2</v>
      </c>
      <c r="M425" s="10">
        <v>0</v>
      </c>
      <c r="N425" s="11">
        <v>700000</v>
      </c>
      <c r="O425" s="11">
        <v>420000</v>
      </c>
      <c r="P425" s="11">
        <v>280000</v>
      </c>
      <c r="Q425" t="s">
        <v>74</v>
      </c>
      <c r="R425" t="b">
        <f>COUNTIF($A$6     : CleanedSalesData[[#This Row],[Order ID]], CleanedSalesData[[#This Row],[Order ID]])&gt;1</f>
        <v>0</v>
      </c>
      <c r="S425" t="b">
        <f>IF(ISBLANK(CleanedSalesData[[#This Row],[Quantity]]), TRUE, FALSE)</f>
        <v>0</v>
      </c>
      <c r="T425" t="b">
        <f>IF(ISBLANK(CleanedSalesData[[#This Row],[Order Date]]), TRUE, FALSE)</f>
        <v>0</v>
      </c>
      <c r="U425" t="b">
        <f>IF(ISBLANK(CleanedSalesData[[#This Row],[Revenue]]), TRUE, FALSE)</f>
        <v>0</v>
      </c>
      <c r="V425" t="b">
        <f>IF(OR(CleanedSalesData[[#This Row],[Order Status]]="Cancelled", CleanedSalesData[[#This Row],[Order Status]]="Returned"), TRUE, FALSE)</f>
        <v>0</v>
      </c>
      <c r="W425" t="str" cm="1">
        <f t="array" ref="W42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26" spans="1:23" x14ac:dyDescent="0.35">
      <c r="A426" t="s">
        <v>562</v>
      </c>
      <c r="B426" s="7">
        <v>46115</v>
      </c>
      <c r="C426" t="s">
        <v>949</v>
      </c>
      <c r="D426">
        <v>4</v>
      </c>
      <c r="E426" t="s">
        <v>39</v>
      </c>
      <c r="F426" t="s">
        <v>47</v>
      </c>
      <c r="G426" t="s">
        <v>48</v>
      </c>
      <c r="H426" t="s">
        <v>33</v>
      </c>
      <c r="I426" t="s">
        <v>34</v>
      </c>
      <c r="J426" t="s">
        <v>35</v>
      </c>
      <c r="K426" t="s">
        <v>36</v>
      </c>
      <c r="L426">
        <v>1</v>
      </c>
      <c r="M426" s="10">
        <v>0.08</v>
      </c>
      <c r="N426" s="11">
        <v>437000</v>
      </c>
      <c r="O426" s="11">
        <v>285000</v>
      </c>
      <c r="P426" s="11">
        <v>152000</v>
      </c>
      <c r="Q426" t="s">
        <v>37</v>
      </c>
      <c r="R426" t="b">
        <f>COUNTIF($A$6     : CleanedSalesData[[#This Row],[Order ID]], CleanedSalesData[[#This Row],[Order ID]])&gt;1</f>
        <v>0</v>
      </c>
      <c r="S426" t="b">
        <f>IF(ISBLANK(CleanedSalesData[[#This Row],[Quantity]]), TRUE, FALSE)</f>
        <v>0</v>
      </c>
      <c r="T426" t="b">
        <f>IF(ISBLANK(CleanedSalesData[[#This Row],[Order Date]]), TRUE, FALSE)</f>
        <v>0</v>
      </c>
      <c r="U426" t="b">
        <f>IF(ISBLANK(CleanedSalesData[[#This Row],[Revenue]]), TRUE, FALSE)</f>
        <v>0</v>
      </c>
      <c r="V426" t="b">
        <f>IF(OR(CleanedSalesData[[#This Row],[Order Status]]="Cancelled", CleanedSalesData[[#This Row],[Order Status]]="Returned"), TRUE, FALSE)</f>
        <v>0</v>
      </c>
      <c r="W426" t="str" cm="1">
        <f t="array" ref="W42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27" spans="1:23" x14ac:dyDescent="0.35">
      <c r="A427" t="s">
        <v>563</v>
      </c>
      <c r="B427" s="7">
        <v>46029</v>
      </c>
      <c r="C427" t="s">
        <v>948</v>
      </c>
      <c r="D427">
        <v>1</v>
      </c>
      <c r="E427" t="s">
        <v>69</v>
      </c>
      <c r="F427" t="s">
        <v>40</v>
      </c>
      <c r="G427" t="s">
        <v>48</v>
      </c>
      <c r="H427" t="s">
        <v>33</v>
      </c>
      <c r="I427" t="s">
        <v>42</v>
      </c>
      <c r="J427" t="s">
        <v>43</v>
      </c>
      <c r="K427" t="s">
        <v>44</v>
      </c>
      <c r="L427">
        <v>4</v>
      </c>
      <c r="M427" s="10">
        <v>0.03</v>
      </c>
      <c r="N427" s="11">
        <v>1067000</v>
      </c>
      <c r="O427" s="11">
        <v>620000</v>
      </c>
      <c r="P427" s="11">
        <v>447000</v>
      </c>
      <c r="Q427" t="s">
        <v>57</v>
      </c>
      <c r="R427" t="b">
        <f>COUNTIF($A$6     : CleanedSalesData[[#This Row],[Order ID]], CleanedSalesData[[#This Row],[Order ID]])&gt;1</f>
        <v>0</v>
      </c>
      <c r="S427" t="b">
        <f>IF(ISBLANK(CleanedSalesData[[#This Row],[Quantity]]), TRUE, FALSE)</f>
        <v>0</v>
      </c>
      <c r="T427" t="b">
        <f>IF(ISBLANK(CleanedSalesData[[#This Row],[Order Date]]), TRUE, FALSE)</f>
        <v>0</v>
      </c>
      <c r="U427" t="b">
        <f>IF(ISBLANK(CleanedSalesData[[#This Row],[Revenue]]), TRUE, FALSE)</f>
        <v>0</v>
      </c>
      <c r="V427" t="b">
        <f>IF(OR(CleanedSalesData[[#This Row],[Order Status]]="Cancelled", CleanedSalesData[[#This Row],[Order Status]]="Returned"), TRUE, FALSE)</f>
        <v>0</v>
      </c>
      <c r="W427" t="str" cm="1">
        <f t="array" ref="W42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28" spans="1:23" x14ac:dyDescent="0.35">
      <c r="A428" t="s">
        <v>564</v>
      </c>
      <c r="B428" s="7">
        <v>46124</v>
      </c>
      <c r="C428" t="s">
        <v>949</v>
      </c>
      <c r="D428">
        <v>4</v>
      </c>
      <c r="E428" t="s">
        <v>30</v>
      </c>
      <c r="F428" t="s">
        <v>40</v>
      </c>
      <c r="G428" t="s">
        <v>48</v>
      </c>
      <c r="H428" t="s">
        <v>112</v>
      </c>
      <c r="I428" t="s">
        <v>49</v>
      </c>
      <c r="J428" t="s">
        <v>50</v>
      </c>
      <c r="K428" t="s">
        <v>51</v>
      </c>
      <c r="L428">
        <v>8</v>
      </c>
      <c r="M428" s="10">
        <v>0.08</v>
      </c>
      <c r="N428" s="11">
        <v>450800</v>
      </c>
      <c r="O428" s="11">
        <v>1160000</v>
      </c>
      <c r="P428" s="11">
        <v>-709200</v>
      </c>
      <c r="Q428" t="s">
        <v>63</v>
      </c>
      <c r="R428" t="b">
        <f>COUNTIF($A$6     : CleanedSalesData[[#This Row],[Order ID]], CleanedSalesData[[#This Row],[Order ID]])&gt;1</f>
        <v>0</v>
      </c>
      <c r="S428" t="b">
        <f>IF(ISBLANK(CleanedSalesData[[#This Row],[Quantity]]), TRUE, FALSE)</f>
        <v>0</v>
      </c>
      <c r="T428" t="b">
        <f>IF(ISBLANK(CleanedSalesData[[#This Row],[Order Date]]), TRUE, FALSE)</f>
        <v>0</v>
      </c>
      <c r="U428" t="b">
        <f>IF(ISBLANK(CleanedSalesData[[#This Row],[Revenue]]), TRUE, FALSE)</f>
        <v>0</v>
      </c>
      <c r="V428" t="b">
        <f>IF(OR(CleanedSalesData[[#This Row],[Order Status]]="Cancelled", CleanedSalesData[[#This Row],[Order Status]]="Returned"), TRUE, FALSE)</f>
        <v>1</v>
      </c>
      <c r="W428" t="str" cm="1">
        <f t="array" ref="W42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29" spans="1:23" x14ac:dyDescent="0.35">
      <c r="A429" t="s">
        <v>566</v>
      </c>
      <c r="B429" s="7">
        <v>46120</v>
      </c>
      <c r="C429" t="s">
        <v>949</v>
      </c>
      <c r="D429">
        <v>4</v>
      </c>
      <c r="E429" t="s">
        <v>111</v>
      </c>
      <c r="F429" t="s">
        <v>70</v>
      </c>
      <c r="G429" t="s">
        <v>48</v>
      </c>
      <c r="H429" t="s">
        <v>33</v>
      </c>
      <c r="I429" t="s">
        <v>55</v>
      </c>
      <c r="J429" t="s">
        <v>56</v>
      </c>
      <c r="K429" t="s">
        <v>36</v>
      </c>
      <c r="L429">
        <v>6</v>
      </c>
      <c r="M429" s="10">
        <v>0.03</v>
      </c>
      <c r="N429" s="11">
        <v>10767000</v>
      </c>
      <c r="O429" s="11">
        <v>7920000</v>
      </c>
      <c r="P429" s="11">
        <v>2847000</v>
      </c>
      <c r="Q429" t="s">
        <v>57</v>
      </c>
      <c r="R429" t="b">
        <f>COUNTIF($A$6     : CleanedSalesData[[#This Row],[Order ID]], CleanedSalesData[[#This Row],[Order ID]])&gt;1</f>
        <v>0</v>
      </c>
      <c r="S429" t="b">
        <f>IF(ISBLANK(CleanedSalesData[[#This Row],[Quantity]]), TRUE, FALSE)</f>
        <v>0</v>
      </c>
      <c r="T429" t="b">
        <f>IF(ISBLANK(CleanedSalesData[[#This Row],[Order Date]]), TRUE, FALSE)</f>
        <v>0</v>
      </c>
      <c r="U429" t="b">
        <f>IF(ISBLANK(CleanedSalesData[[#This Row],[Revenue]]), TRUE, FALSE)</f>
        <v>0</v>
      </c>
      <c r="V429" t="b">
        <f>IF(OR(CleanedSalesData[[#This Row],[Order Status]]="Cancelled", CleanedSalesData[[#This Row],[Order Status]]="Returned"), TRUE, FALSE)</f>
        <v>0</v>
      </c>
      <c r="W429" t="str" cm="1">
        <f t="array" ref="W42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0" spans="1:23" x14ac:dyDescent="0.35">
      <c r="A430" t="s">
        <v>567</v>
      </c>
      <c r="B430" s="7">
        <v>46080</v>
      </c>
      <c r="C430" t="s">
        <v>944</v>
      </c>
      <c r="D430">
        <v>2</v>
      </c>
      <c r="E430" t="s">
        <v>54</v>
      </c>
      <c r="F430" t="s">
        <v>40</v>
      </c>
      <c r="G430" t="s">
        <v>41</v>
      </c>
      <c r="H430" t="s">
        <v>33</v>
      </c>
      <c r="I430" t="s">
        <v>60</v>
      </c>
      <c r="J430" t="s">
        <v>61</v>
      </c>
      <c r="K430" t="s">
        <v>62</v>
      </c>
      <c r="L430">
        <v>5</v>
      </c>
      <c r="M430" s="10">
        <v>0.1</v>
      </c>
      <c r="N430" s="11">
        <v>292500</v>
      </c>
      <c r="O430" s="11">
        <v>155000</v>
      </c>
      <c r="P430" s="11">
        <v>137500</v>
      </c>
      <c r="Q430" t="s">
        <v>93</v>
      </c>
      <c r="R430" t="b">
        <f>COUNTIF($A$6     : CleanedSalesData[[#This Row],[Order ID]], CleanedSalesData[[#This Row],[Order ID]])&gt;1</f>
        <v>0</v>
      </c>
      <c r="S430" t="b">
        <f>IF(ISBLANK(CleanedSalesData[[#This Row],[Quantity]]), TRUE, FALSE)</f>
        <v>0</v>
      </c>
      <c r="T430" t="b">
        <f>IF(ISBLANK(CleanedSalesData[[#This Row],[Order Date]]), TRUE, FALSE)</f>
        <v>0</v>
      </c>
      <c r="U430" t="b">
        <f>IF(ISBLANK(CleanedSalesData[[#This Row],[Revenue]]), TRUE, FALSE)</f>
        <v>0</v>
      </c>
      <c r="V430" t="b">
        <f>IF(OR(CleanedSalesData[[#This Row],[Order Status]]="Cancelled", CleanedSalesData[[#This Row],[Order Status]]="Returned"), TRUE, FALSE)</f>
        <v>0</v>
      </c>
      <c r="W430" t="str" cm="1">
        <f t="array" ref="W43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1" spans="1:23" x14ac:dyDescent="0.35">
      <c r="A431" t="s">
        <v>568</v>
      </c>
      <c r="B431" s="7">
        <v>46173</v>
      </c>
      <c r="C431" t="s">
        <v>946</v>
      </c>
      <c r="D431">
        <v>5</v>
      </c>
      <c r="E431" t="s">
        <v>111</v>
      </c>
      <c r="F431" t="s">
        <v>59</v>
      </c>
      <c r="G431" t="s">
        <v>48</v>
      </c>
      <c r="H431" t="s">
        <v>33</v>
      </c>
      <c r="I431" t="s">
        <v>569</v>
      </c>
      <c r="J431" t="s">
        <v>67</v>
      </c>
      <c r="K431" t="s">
        <v>51</v>
      </c>
      <c r="L431">
        <v>4</v>
      </c>
      <c r="M431" s="10">
        <v>0.1</v>
      </c>
      <c r="N431" s="11">
        <v>1116000</v>
      </c>
      <c r="O431" s="11">
        <v>760000</v>
      </c>
      <c r="P431" s="11">
        <v>356000</v>
      </c>
      <c r="Q431" t="s">
        <v>45</v>
      </c>
      <c r="R431" t="b">
        <f>COUNTIF($A$6     : CleanedSalesData[[#This Row],[Order ID]], CleanedSalesData[[#This Row],[Order ID]])&gt;1</f>
        <v>0</v>
      </c>
      <c r="S431" t="b">
        <f>IF(ISBLANK(CleanedSalesData[[#This Row],[Quantity]]), TRUE, FALSE)</f>
        <v>0</v>
      </c>
      <c r="T431" t="b">
        <f>IF(ISBLANK(CleanedSalesData[[#This Row],[Order Date]]), TRUE, FALSE)</f>
        <v>0</v>
      </c>
      <c r="U431" t="b">
        <f>IF(ISBLANK(CleanedSalesData[[#This Row],[Revenue]]), TRUE, FALSE)</f>
        <v>0</v>
      </c>
      <c r="V431" t="b">
        <f>IF(OR(CleanedSalesData[[#This Row],[Order Status]]="Cancelled", CleanedSalesData[[#This Row],[Order Status]]="Returned"), TRUE, FALSE)</f>
        <v>0</v>
      </c>
      <c r="W431" t="str" cm="1">
        <f t="array" ref="W43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2" spans="1:23" x14ac:dyDescent="0.35">
      <c r="A432" t="s">
        <v>570</v>
      </c>
      <c r="B432" s="7">
        <v>46144</v>
      </c>
      <c r="C432" t="s">
        <v>946</v>
      </c>
      <c r="D432">
        <v>5</v>
      </c>
      <c r="E432" t="s">
        <v>69</v>
      </c>
      <c r="F432" t="s">
        <v>40</v>
      </c>
      <c r="G432" t="s">
        <v>32</v>
      </c>
      <c r="H432" t="s">
        <v>33</v>
      </c>
      <c r="I432" t="s">
        <v>71</v>
      </c>
      <c r="J432" t="s">
        <v>72</v>
      </c>
      <c r="K432" t="s">
        <v>73</v>
      </c>
      <c r="L432">
        <v>5</v>
      </c>
      <c r="M432" s="10">
        <v>0</v>
      </c>
      <c r="N432" s="11">
        <v>625000</v>
      </c>
      <c r="O432" s="11">
        <v>350000</v>
      </c>
      <c r="P432" s="11">
        <v>275000</v>
      </c>
      <c r="Q432" t="s">
        <v>52</v>
      </c>
      <c r="R432" t="b">
        <f>COUNTIF($A$6     : CleanedSalesData[[#This Row],[Order ID]], CleanedSalesData[[#This Row],[Order ID]])&gt;1</f>
        <v>0</v>
      </c>
      <c r="S432" t="b">
        <f>IF(ISBLANK(CleanedSalesData[[#This Row],[Quantity]]), TRUE, FALSE)</f>
        <v>0</v>
      </c>
      <c r="T432" t="b">
        <f>IF(ISBLANK(CleanedSalesData[[#This Row],[Order Date]]), TRUE, FALSE)</f>
        <v>0</v>
      </c>
      <c r="U432" t="b">
        <f>IF(ISBLANK(CleanedSalesData[[#This Row],[Revenue]]), TRUE, FALSE)</f>
        <v>0</v>
      </c>
      <c r="V432" t="b">
        <f>IF(OR(CleanedSalesData[[#This Row],[Order Status]]="Cancelled", CleanedSalesData[[#This Row],[Order Status]]="Returned"), TRUE, FALSE)</f>
        <v>0</v>
      </c>
      <c r="W432" t="str" cm="1">
        <f t="array" ref="W43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3" spans="1:23" x14ac:dyDescent="0.35">
      <c r="A433" t="s">
        <v>572</v>
      </c>
      <c r="B433" s="7">
        <v>46067</v>
      </c>
      <c r="C433" t="s">
        <v>944</v>
      </c>
      <c r="D433">
        <v>2</v>
      </c>
      <c r="E433" t="s">
        <v>65</v>
      </c>
      <c r="F433" t="s">
        <v>31</v>
      </c>
      <c r="G433" t="s">
        <v>41</v>
      </c>
      <c r="H433" t="s">
        <v>90</v>
      </c>
      <c r="I433" t="s">
        <v>78</v>
      </c>
      <c r="J433" t="s">
        <v>79</v>
      </c>
      <c r="K433" t="s">
        <v>62</v>
      </c>
      <c r="L433">
        <v>3</v>
      </c>
      <c r="M433" s="10">
        <v>0.03</v>
      </c>
      <c r="N433" s="11">
        <v>247350</v>
      </c>
      <c r="O433" s="11">
        <v>129000</v>
      </c>
      <c r="P433" s="11">
        <v>118350</v>
      </c>
      <c r="Q433" t="s">
        <v>37</v>
      </c>
      <c r="R433" t="b">
        <f>COUNTIF($A$6     : CleanedSalesData[[#This Row],[Order ID]], CleanedSalesData[[#This Row],[Order ID]])&gt;1</f>
        <v>0</v>
      </c>
      <c r="S433" t="b">
        <f>IF(ISBLANK(CleanedSalesData[[#This Row],[Quantity]]), TRUE, FALSE)</f>
        <v>0</v>
      </c>
      <c r="T433" t="b">
        <f>IF(ISBLANK(CleanedSalesData[[#This Row],[Order Date]]), TRUE, FALSE)</f>
        <v>0</v>
      </c>
      <c r="U433" t="b">
        <f>IF(ISBLANK(CleanedSalesData[[#This Row],[Revenue]]), TRUE, FALSE)</f>
        <v>0</v>
      </c>
      <c r="V433" t="b">
        <f>IF(OR(CleanedSalesData[[#This Row],[Order Status]]="Cancelled", CleanedSalesData[[#This Row],[Order Status]]="Returned"), TRUE, FALSE)</f>
        <v>0</v>
      </c>
      <c r="W433" t="str" cm="1">
        <f t="array" ref="W43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4" spans="1:23" x14ac:dyDescent="0.35">
      <c r="A434" t="s">
        <v>573</v>
      </c>
      <c r="B434" s="7">
        <v>46197</v>
      </c>
      <c r="C434" t="s">
        <v>945</v>
      </c>
      <c r="D434">
        <v>6</v>
      </c>
      <c r="E434" t="s">
        <v>54</v>
      </c>
      <c r="F434" t="s">
        <v>31</v>
      </c>
      <c r="G434" t="s">
        <v>81</v>
      </c>
      <c r="H434" t="s">
        <v>77</v>
      </c>
      <c r="I434" t="s">
        <v>82</v>
      </c>
      <c r="J434" t="s">
        <v>83</v>
      </c>
      <c r="K434" t="s">
        <v>44</v>
      </c>
      <c r="L434">
        <v>7</v>
      </c>
      <c r="M434" s="10">
        <v>0.03</v>
      </c>
      <c r="N434" s="11">
        <v>4922750</v>
      </c>
      <c r="O434" s="11">
        <v>6860000</v>
      </c>
      <c r="P434" s="11">
        <v>-1937250</v>
      </c>
      <c r="Q434" t="s">
        <v>37</v>
      </c>
      <c r="R434" t="b">
        <f>COUNTIF($A$6     : CleanedSalesData[[#This Row],[Order ID]], CleanedSalesData[[#This Row],[Order ID]])&gt;1</f>
        <v>0</v>
      </c>
      <c r="S434" t="b">
        <f>IF(ISBLANK(CleanedSalesData[[#This Row],[Quantity]]), TRUE, FALSE)</f>
        <v>0</v>
      </c>
      <c r="T434" t="b">
        <f>IF(ISBLANK(CleanedSalesData[[#This Row],[Order Date]]), TRUE, FALSE)</f>
        <v>0</v>
      </c>
      <c r="U434" t="b">
        <f>IF(ISBLANK(CleanedSalesData[[#This Row],[Revenue]]), TRUE, FALSE)</f>
        <v>0</v>
      </c>
      <c r="V434" t="b">
        <f>IF(OR(CleanedSalesData[[#This Row],[Order Status]]="Cancelled", CleanedSalesData[[#This Row],[Order Status]]="Returned"), TRUE, FALSE)</f>
        <v>1</v>
      </c>
      <c r="W434" t="str" cm="1">
        <f t="array" ref="W43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35" spans="1:23" x14ac:dyDescent="0.35">
      <c r="A435" t="s">
        <v>574</v>
      </c>
      <c r="B435" s="7">
        <v>46045</v>
      </c>
      <c r="C435" t="s">
        <v>948</v>
      </c>
      <c r="D435">
        <v>1</v>
      </c>
      <c r="E435" t="s">
        <v>111</v>
      </c>
      <c r="F435" t="s">
        <v>70</v>
      </c>
      <c r="G435" t="s">
        <v>81</v>
      </c>
      <c r="H435" t="s">
        <v>33</v>
      </c>
      <c r="I435" t="s">
        <v>86</v>
      </c>
      <c r="J435" t="s">
        <v>87</v>
      </c>
      <c r="K435" t="s">
        <v>36</v>
      </c>
      <c r="L435">
        <v>7</v>
      </c>
      <c r="M435" s="10">
        <v>0.1</v>
      </c>
      <c r="N435" s="11">
        <v>2205000</v>
      </c>
      <c r="O435" s="11">
        <v>1470000</v>
      </c>
      <c r="P435" s="11">
        <v>735000</v>
      </c>
      <c r="Q435" t="s">
        <v>74</v>
      </c>
      <c r="R435" t="b">
        <f>COUNTIF($A$6     : CleanedSalesData[[#This Row],[Order ID]], CleanedSalesData[[#This Row],[Order ID]])&gt;1</f>
        <v>0</v>
      </c>
      <c r="S435" t="b">
        <f>IF(ISBLANK(CleanedSalesData[[#This Row],[Quantity]]), TRUE, FALSE)</f>
        <v>0</v>
      </c>
      <c r="T435" t="b">
        <f>IF(ISBLANK(CleanedSalesData[[#This Row],[Order Date]]), TRUE, FALSE)</f>
        <v>0</v>
      </c>
      <c r="U435" t="b">
        <f>IF(ISBLANK(CleanedSalesData[[#This Row],[Revenue]]), TRUE, FALSE)</f>
        <v>0</v>
      </c>
      <c r="V435" t="b">
        <f>IF(OR(CleanedSalesData[[#This Row],[Order Status]]="Cancelled", CleanedSalesData[[#This Row],[Order Status]]="Returned"), TRUE, FALSE)</f>
        <v>0</v>
      </c>
      <c r="W435" t="str" cm="1">
        <f t="array" ref="W43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6" spans="1:23" x14ac:dyDescent="0.35">
      <c r="A436" t="s">
        <v>575</v>
      </c>
      <c r="B436" s="7">
        <v>46202</v>
      </c>
      <c r="C436" t="s">
        <v>945</v>
      </c>
      <c r="D436">
        <v>6</v>
      </c>
      <c r="E436" t="s">
        <v>69</v>
      </c>
      <c r="F436" t="s">
        <v>31</v>
      </c>
      <c r="G436" t="s">
        <v>41</v>
      </c>
      <c r="H436" t="s">
        <v>33</v>
      </c>
      <c r="I436" t="s">
        <v>34</v>
      </c>
      <c r="J436" t="s">
        <v>35</v>
      </c>
      <c r="K436" t="s">
        <v>36</v>
      </c>
      <c r="L436">
        <v>7</v>
      </c>
      <c r="M436" s="10">
        <v>0</v>
      </c>
      <c r="N436" s="11">
        <v>3325000</v>
      </c>
      <c r="O436" s="11">
        <v>1995000</v>
      </c>
      <c r="P436" s="11">
        <v>1330000</v>
      </c>
      <c r="Q436" t="s">
        <v>37</v>
      </c>
      <c r="R436" t="b">
        <f>COUNTIF($A$6     : CleanedSalesData[[#This Row],[Order ID]], CleanedSalesData[[#This Row],[Order ID]])&gt;1</f>
        <v>0</v>
      </c>
      <c r="S436" t="b">
        <f>IF(ISBLANK(CleanedSalesData[[#This Row],[Quantity]]), TRUE, FALSE)</f>
        <v>0</v>
      </c>
      <c r="T436" t="b">
        <f>IF(ISBLANK(CleanedSalesData[[#This Row],[Order Date]]), TRUE, FALSE)</f>
        <v>0</v>
      </c>
      <c r="U436" t="b">
        <f>IF(ISBLANK(CleanedSalesData[[#This Row],[Revenue]]), TRUE, FALSE)</f>
        <v>0</v>
      </c>
      <c r="V436" t="b">
        <f>IF(OR(CleanedSalesData[[#This Row],[Order Status]]="Cancelled", CleanedSalesData[[#This Row],[Order Status]]="Returned"), TRUE, FALSE)</f>
        <v>0</v>
      </c>
      <c r="W436" t="str" cm="1">
        <f t="array" ref="W43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7" spans="1:23" x14ac:dyDescent="0.35">
      <c r="A437" t="s">
        <v>576</v>
      </c>
      <c r="B437" s="7">
        <v>46096</v>
      </c>
      <c r="C437" t="s">
        <v>947</v>
      </c>
      <c r="D437">
        <v>3</v>
      </c>
      <c r="E437" t="s">
        <v>95</v>
      </c>
      <c r="F437" t="s">
        <v>59</v>
      </c>
      <c r="G437" t="s">
        <v>48</v>
      </c>
      <c r="H437" t="s">
        <v>33</v>
      </c>
      <c r="I437" t="s">
        <v>42</v>
      </c>
      <c r="J437" t="s">
        <v>43</v>
      </c>
      <c r="K437" t="s">
        <v>44</v>
      </c>
      <c r="L437">
        <v>6</v>
      </c>
      <c r="M437" s="10">
        <v>0.08</v>
      </c>
      <c r="N437" s="11">
        <v>1518000</v>
      </c>
      <c r="O437" s="11">
        <v>930000</v>
      </c>
      <c r="P437" s="11">
        <v>588000</v>
      </c>
      <c r="Q437" t="s">
        <v>84</v>
      </c>
      <c r="R437" t="b">
        <f>COUNTIF($A$6     : CleanedSalesData[[#This Row],[Order ID]], CleanedSalesData[[#This Row],[Order ID]])&gt;1</f>
        <v>0</v>
      </c>
      <c r="S437" t="b">
        <f>IF(ISBLANK(CleanedSalesData[[#This Row],[Quantity]]), TRUE, FALSE)</f>
        <v>0</v>
      </c>
      <c r="T437" t="b">
        <f>IF(ISBLANK(CleanedSalesData[[#This Row],[Order Date]]), TRUE, FALSE)</f>
        <v>0</v>
      </c>
      <c r="U437" t="b">
        <f>IF(ISBLANK(CleanedSalesData[[#This Row],[Revenue]]), TRUE, FALSE)</f>
        <v>0</v>
      </c>
      <c r="V437" t="b">
        <f>IF(OR(CleanedSalesData[[#This Row],[Order Status]]="Cancelled", CleanedSalesData[[#This Row],[Order Status]]="Returned"), TRUE, FALSE)</f>
        <v>0</v>
      </c>
      <c r="W437" t="str" cm="1">
        <f t="array" ref="W43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8" spans="1:23" x14ac:dyDescent="0.35">
      <c r="A438" t="s">
        <v>577</v>
      </c>
      <c r="B438" s="7">
        <v>46093</v>
      </c>
      <c r="C438" t="s">
        <v>947</v>
      </c>
      <c r="D438">
        <v>3</v>
      </c>
      <c r="E438" t="s">
        <v>65</v>
      </c>
      <c r="F438" t="s">
        <v>59</v>
      </c>
      <c r="G438" t="s">
        <v>41</v>
      </c>
      <c r="H438" t="s">
        <v>33</v>
      </c>
      <c r="I438" t="s">
        <v>49</v>
      </c>
      <c r="J438" t="s">
        <v>50</v>
      </c>
      <c r="K438" t="s">
        <v>51</v>
      </c>
      <c r="L438">
        <v>7</v>
      </c>
      <c r="M438" s="10">
        <v>0.03</v>
      </c>
      <c r="N438" s="11">
        <v>1663550</v>
      </c>
      <c r="O438" s="11">
        <v>1015000</v>
      </c>
      <c r="P438" s="11">
        <v>648550</v>
      </c>
      <c r="Q438" t="s">
        <v>63</v>
      </c>
      <c r="R438" t="b">
        <f>COUNTIF($A$6     : CleanedSalesData[[#This Row],[Order ID]], CleanedSalesData[[#This Row],[Order ID]])&gt;1</f>
        <v>0</v>
      </c>
      <c r="S438" t="b">
        <f>IF(ISBLANK(CleanedSalesData[[#This Row],[Quantity]]), TRUE, FALSE)</f>
        <v>0</v>
      </c>
      <c r="T438" t="b">
        <f>IF(ISBLANK(CleanedSalesData[[#This Row],[Order Date]]), TRUE, FALSE)</f>
        <v>0</v>
      </c>
      <c r="U438" t="b">
        <f>IF(ISBLANK(CleanedSalesData[[#This Row],[Revenue]]), TRUE, FALSE)</f>
        <v>0</v>
      </c>
      <c r="V438" t="b">
        <f>IF(OR(CleanedSalesData[[#This Row],[Order Status]]="Cancelled", CleanedSalesData[[#This Row],[Order Status]]="Returned"), TRUE, FALSE)</f>
        <v>0</v>
      </c>
      <c r="W438" t="str" cm="1">
        <f t="array" ref="W43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39" spans="1:23" x14ac:dyDescent="0.35">
      <c r="A439" t="s">
        <v>578</v>
      </c>
      <c r="B439" s="7">
        <v>46199</v>
      </c>
      <c r="C439" t="s">
        <v>945</v>
      </c>
      <c r="D439">
        <v>6</v>
      </c>
      <c r="E439" t="s">
        <v>95</v>
      </c>
      <c r="F439" t="s">
        <v>70</v>
      </c>
      <c r="G439" t="s">
        <v>81</v>
      </c>
      <c r="H439" t="s">
        <v>33</v>
      </c>
      <c r="I439" t="s">
        <v>55</v>
      </c>
      <c r="J439" t="s">
        <v>56</v>
      </c>
      <c r="K439" t="s">
        <v>36</v>
      </c>
      <c r="L439">
        <v>4</v>
      </c>
      <c r="M439" s="10">
        <v>0</v>
      </c>
      <c r="N439" s="11">
        <v>7400000</v>
      </c>
      <c r="O439" s="11">
        <v>5280000</v>
      </c>
      <c r="P439" s="11">
        <v>2120000</v>
      </c>
      <c r="Q439" t="s">
        <v>63</v>
      </c>
      <c r="R439" t="b">
        <f>COUNTIF($A$6     : CleanedSalesData[[#This Row],[Order ID]], CleanedSalesData[[#This Row],[Order ID]])&gt;1</f>
        <v>0</v>
      </c>
      <c r="S439" t="b">
        <f>IF(ISBLANK(CleanedSalesData[[#This Row],[Quantity]]), TRUE, FALSE)</f>
        <v>0</v>
      </c>
      <c r="T439" t="b">
        <f>IF(ISBLANK(CleanedSalesData[[#This Row],[Order Date]]), TRUE, FALSE)</f>
        <v>0</v>
      </c>
      <c r="U439" t="b">
        <f>IF(ISBLANK(CleanedSalesData[[#This Row],[Revenue]]), TRUE, FALSE)</f>
        <v>0</v>
      </c>
      <c r="V439" t="b">
        <f>IF(OR(CleanedSalesData[[#This Row],[Order Status]]="Cancelled", CleanedSalesData[[#This Row],[Order Status]]="Returned"), TRUE, FALSE)</f>
        <v>0</v>
      </c>
      <c r="W439" t="str" cm="1">
        <f t="array" ref="W43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0" spans="1:23" x14ac:dyDescent="0.35">
      <c r="A440" t="s">
        <v>579</v>
      </c>
      <c r="B440" s="7">
        <v>46100</v>
      </c>
      <c r="C440" t="s">
        <v>947</v>
      </c>
      <c r="D440">
        <v>3</v>
      </c>
      <c r="E440" t="s">
        <v>30</v>
      </c>
      <c r="F440" t="s">
        <v>40</v>
      </c>
      <c r="G440" t="s">
        <v>32</v>
      </c>
      <c r="H440" t="s">
        <v>90</v>
      </c>
      <c r="I440" t="s">
        <v>60</v>
      </c>
      <c r="J440" t="s">
        <v>61</v>
      </c>
      <c r="K440" t="s">
        <v>62</v>
      </c>
      <c r="L440">
        <v>5</v>
      </c>
      <c r="M440" s="10">
        <v>0.05</v>
      </c>
      <c r="N440" s="11">
        <v>308750</v>
      </c>
      <c r="O440" s="11">
        <v>155000</v>
      </c>
      <c r="P440" s="11">
        <v>153750</v>
      </c>
      <c r="Q440" t="s">
        <v>57</v>
      </c>
      <c r="R440" t="b">
        <f>COUNTIF($A$6     : CleanedSalesData[[#This Row],[Order ID]], CleanedSalesData[[#This Row],[Order ID]])&gt;1</f>
        <v>0</v>
      </c>
      <c r="S440" t="b">
        <f>IF(ISBLANK(CleanedSalesData[[#This Row],[Quantity]]), TRUE, FALSE)</f>
        <v>0</v>
      </c>
      <c r="T440" t="b">
        <f>IF(ISBLANK(CleanedSalesData[[#This Row],[Order Date]]), TRUE, FALSE)</f>
        <v>0</v>
      </c>
      <c r="U440" t="b">
        <f>IF(ISBLANK(CleanedSalesData[[#This Row],[Revenue]]), TRUE, FALSE)</f>
        <v>0</v>
      </c>
      <c r="V440" t="b">
        <f>IF(OR(CleanedSalesData[[#This Row],[Order Status]]="Cancelled", CleanedSalesData[[#This Row],[Order Status]]="Returned"), TRUE, FALSE)</f>
        <v>0</v>
      </c>
      <c r="W440" t="str" cm="1">
        <f t="array" ref="W44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1" spans="1:23" x14ac:dyDescent="0.35">
      <c r="A441" t="s">
        <v>580</v>
      </c>
      <c r="B441" s="7">
        <v>46136</v>
      </c>
      <c r="C441" t="s">
        <v>949</v>
      </c>
      <c r="D441">
        <v>4</v>
      </c>
      <c r="E441" t="s">
        <v>39</v>
      </c>
      <c r="F441" t="s">
        <v>47</v>
      </c>
      <c r="G441" t="s">
        <v>41</v>
      </c>
      <c r="H441" t="s">
        <v>33</v>
      </c>
      <c r="I441" t="s">
        <v>66</v>
      </c>
      <c r="J441" t="s">
        <v>67</v>
      </c>
      <c r="K441" t="s">
        <v>51</v>
      </c>
      <c r="L441">
        <v>6</v>
      </c>
      <c r="M441" s="10">
        <v>0.05</v>
      </c>
      <c r="N441" s="11">
        <v>1767000</v>
      </c>
      <c r="O441" s="11">
        <v>1140000</v>
      </c>
      <c r="P441" s="11">
        <v>627000</v>
      </c>
      <c r="Q441" t="s">
        <v>52</v>
      </c>
      <c r="R441" t="b">
        <f>COUNTIF($A$6     : CleanedSalesData[[#This Row],[Order ID]], CleanedSalesData[[#This Row],[Order ID]])&gt;1</f>
        <v>0</v>
      </c>
      <c r="S441" t="b">
        <f>IF(ISBLANK(CleanedSalesData[[#This Row],[Quantity]]), TRUE, FALSE)</f>
        <v>0</v>
      </c>
      <c r="T441" t="b">
        <f>IF(ISBLANK(CleanedSalesData[[#This Row],[Order Date]]), TRUE, FALSE)</f>
        <v>0</v>
      </c>
      <c r="U441" t="b">
        <f>IF(ISBLANK(CleanedSalesData[[#This Row],[Revenue]]), TRUE, FALSE)</f>
        <v>0</v>
      </c>
      <c r="V441" t="b">
        <f>IF(OR(CleanedSalesData[[#This Row],[Order Status]]="Cancelled", CleanedSalesData[[#This Row],[Order Status]]="Returned"), TRUE, FALSE)</f>
        <v>0</v>
      </c>
      <c r="W441" t="str" cm="1">
        <f t="array" ref="W44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2" spans="1:23" x14ac:dyDescent="0.35">
      <c r="A442" t="s">
        <v>581</v>
      </c>
      <c r="B442" s="7">
        <v>46077</v>
      </c>
      <c r="C442" t="s">
        <v>944</v>
      </c>
      <c r="D442">
        <v>2</v>
      </c>
      <c r="E442" t="s">
        <v>95</v>
      </c>
      <c r="F442" t="s">
        <v>47</v>
      </c>
      <c r="G442" t="s">
        <v>81</v>
      </c>
      <c r="H442" t="s">
        <v>33</v>
      </c>
      <c r="I442" t="s">
        <v>71</v>
      </c>
      <c r="J442" t="s">
        <v>72</v>
      </c>
      <c r="K442" t="s">
        <v>73</v>
      </c>
      <c r="L442">
        <v>7</v>
      </c>
      <c r="M442" s="10">
        <v>0.15</v>
      </c>
      <c r="N442" s="11">
        <v>743750</v>
      </c>
      <c r="O442" s="11">
        <v>490000</v>
      </c>
      <c r="P442" s="11">
        <v>253750</v>
      </c>
      <c r="Q442" t="s">
        <v>84</v>
      </c>
      <c r="R442" t="b">
        <f>COUNTIF($A$6     : CleanedSalesData[[#This Row],[Order ID]], CleanedSalesData[[#This Row],[Order ID]])&gt;1</f>
        <v>0</v>
      </c>
      <c r="S442" t="b">
        <f>IF(ISBLANK(CleanedSalesData[[#This Row],[Quantity]]), TRUE, FALSE)</f>
        <v>0</v>
      </c>
      <c r="T442" t="b">
        <f>IF(ISBLANK(CleanedSalesData[[#This Row],[Order Date]]), TRUE, FALSE)</f>
        <v>0</v>
      </c>
      <c r="U442" t="b">
        <f>IF(ISBLANK(CleanedSalesData[[#This Row],[Revenue]]), TRUE, FALSE)</f>
        <v>0</v>
      </c>
      <c r="V442" t="b">
        <f>IF(OR(CleanedSalesData[[#This Row],[Order Status]]="Cancelled", CleanedSalesData[[#This Row],[Order Status]]="Returned"), TRUE, FALSE)</f>
        <v>0</v>
      </c>
      <c r="W442" t="str" cm="1">
        <f t="array" ref="W44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3" spans="1:23" x14ac:dyDescent="0.35">
      <c r="A443" t="s">
        <v>582</v>
      </c>
      <c r="B443" s="7">
        <v>46039</v>
      </c>
      <c r="C443" t="s">
        <v>948</v>
      </c>
      <c r="D443">
        <v>1</v>
      </c>
      <c r="E443" t="s">
        <v>30</v>
      </c>
      <c r="F443" t="s">
        <v>31</v>
      </c>
      <c r="G443" t="s">
        <v>41</v>
      </c>
      <c r="H443" t="s">
        <v>33</v>
      </c>
      <c r="I443" t="s">
        <v>78</v>
      </c>
      <c r="J443" t="s">
        <v>79</v>
      </c>
      <c r="K443" t="s">
        <v>62</v>
      </c>
      <c r="L443">
        <v>5</v>
      </c>
      <c r="M443" s="10">
        <v>0.15</v>
      </c>
      <c r="N443" s="11">
        <v>361250</v>
      </c>
      <c r="O443" s="11">
        <v>215000</v>
      </c>
      <c r="P443" s="11">
        <v>146250</v>
      </c>
      <c r="Q443" t="s">
        <v>45</v>
      </c>
      <c r="R443" t="b">
        <f>COUNTIF($A$6     : CleanedSalesData[[#This Row],[Order ID]], CleanedSalesData[[#This Row],[Order ID]])&gt;1</f>
        <v>0</v>
      </c>
      <c r="S443" t="b">
        <f>IF(ISBLANK(CleanedSalesData[[#This Row],[Quantity]]), TRUE, FALSE)</f>
        <v>0</v>
      </c>
      <c r="T443" t="b">
        <f>IF(ISBLANK(CleanedSalesData[[#This Row],[Order Date]]), TRUE, FALSE)</f>
        <v>0</v>
      </c>
      <c r="U443" t="b">
        <f>IF(ISBLANK(CleanedSalesData[[#This Row],[Revenue]]), TRUE, FALSE)</f>
        <v>0</v>
      </c>
      <c r="V443" t="b">
        <f>IF(OR(CleanedSalesData[[#This Row],[Order Status]]="Cancelled", CleanedSalesData[[#This Row],[Order Status]]="Returned"), TRUE, FALSE)</f>
        <v>0</v>
      </c>
      <c r="W443" t="str" cm="1">
        <f t="array" ref="W44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4" spans="1:23" x14ac:dyDescent="0.35">
      <c r="A444" t="s">
        <v>583</v>
      </c>
      <c r="B444" s="7">
        <v>46074</v>
      </c>
      <c r="C444" t="s">
        <v>944</v>
      </c>
      <c r="D444">
        <v>2</v>
      </c>
      <c r="E444" t="s">
        <v>39</v>
      </c>
      <c r="F444" t="s">
        <v>40</v>
      </c>
      <c r="G444" t="s">
        <v>81</v>
      </c>
      <c r="H444" t="s">
        <v>33</v>
      </c>
      <c r="I444" t="s">
        <v>82</v>
      </c>
      <c r="J444" t="s">
        <v>83</v>
      </c>
      <c r="K444" t="s">
        <v>44</v>
      </c>
      <c r="L444">
        <v>1</v>
      </c>
      <c r="M444" s="10">
        <v>0.03</v>
      </c>
      <c r="N444" s="11">
        <v>1406500</v>
      </c>
      <c r="O444" s="11">
        <v>980000</v>
      </c>
      <c r="P444" s="11">
        <v>426500</v>
      </c>
      <c r="Q444" t="s">
        <v>57</v>
      </c>
      <c r="R444" t="b">
        <f>COUNTIF($A$6     : CleanedSalesData[[#This Row],[Order ID]], CleanedSalesData[[#This Row],[Order ID]])&gt;1</f>
        <v>0</v>
      </c>
      <c r="S444" t="b">
        <f>IF(ISBLANK(CleanedSalesData[[#This Row],[Quantity]]), TRUE, FALSE)</f>
        <v>0</v>
      </c>
      <c r="T444" t="b">
        <f>IF(ISBLANK(CleanedSalesData[[#This Row],[Order Date]]), TRUE, FALSE)</f>
        <v>0</v>
      </c>
      <c r="U444" t="b">
        <f>IF(ISBLANK(CleanedSalesData[[#This Row],[Revenue]]), TRUE, FALSE)</f>
        <v>0</v>
      </c>
      <c r="V444" t="b">
        <f>IF(OR(CleanedSalesData[[#This Row],[Order Status]]="Cancelled", CleanedSalesData[[#This Row],[Order Status]]="Returned"), TRUE, FALSE)</f>
        <v>0</v>
      </c>
      <c r="W444" t="str" cm="1">
        <f t="array" ref="W44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5" spans="1:23" x14ac:dyDescent="0.35">
      <c r="A445" t="s">
        <v>584</v>
      </c>
      <c r="B445" s="7">
        <v>46117</v>
      </c>
      <c r="C445" t="s">
        <v>949</v>
      </c>
      <c r="D445">
        <v>4</v>
      </c>
      <c r="E445" t="s">
        <v>39</v>
      </c>
      <c r="F445" t="s">
        <v>40</v>
      </c>
      <c r="G445" t="s">
        <v>41</v>
      </c>
      <c r="H445" t="s">
        <v>33</v>
      </c>
      <c r="I445" t="s">
        <v>86</v>
      </c>
      <c r="J445" t="s">
        <v>87</v>
      </c>
      <c r="K445" t="s">
        <v>36</v>
      </c>
      <c r="L445">
        <v>8</v>
      </c>
      <c r="M445" s="10">
        <v>0.1</v>
      </c>
      <c r="N445" s="11">
        <v>2520000</v>
      </c>
      <c r="O445" s="11">
        <v>1680000</v>
      </c>
      <c r="P445" s="11">
        <v>840000</v>
      </c>
      <c r="Q445" t="s">
        <v>63</v>
      </c>
      <c r="R445" t="b">
        <f>COUNTIF($A$6     : CleanedSalesData[[#This Row],[Order ID]], CleanedSalesData[[#This Row],[Order ID]])&gt;1</f>
        <v>0</v>
      </c>
      <c r="S445" t="b">
        <f>IF(ISBLANK(CleanedSalesData[[#This Row],[Quantity]]), TRUE, FALSE)</f>
        <v>0</v>
      </c>
      <c r="T445" t="b">
        <f>IF(ISBLANK(CleanedSalesData[[#This Row],[Order Date]]), TRUE, FALSE)</f>
        <v>0</v>
      </c>
      <c r="U445" t="b">
        <f>IF(ISBLANK(CleanedSalesData[[#This Row],[Revenue]]), TRUE, FALSE)</f>
        <v>0</v>
      </c>
      <c r="V445" t="b">
        <f>IF(OR(CleanedSalesData[[#This Row],[Order Status]]="Cancelled", CleanedSalesData[[#This Row],[Order Status]]="Returned"), TRUE, FALSE)</f>
        <v>0</v>
      </c>
      <c r="W445" t="str" cm="1">
        <f t="array" ref="W44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6" spans="1:23" x14ac:dyDescent="0.35">
      <c r="A446" t="s">
        <v>585</v>
      </c>
      <c r="B446" s="7">
        <v>46148</v>
      </c>
      <c r="C446" t="s">
        <v>946</v>
      </c>
      <c r="D446">
        <v>5</v>
      </c>
      <c r="E446" t="s">
        <v>54</v>
      </c>
      <c r="F446" t="s">
        <v>47</v>
      </c>
      <c r="G446" t="s">
        <v>81</v>
      </c>
      <c r="H446" t="s">
        <v>77</v>
      </c>
      <c r="I446" t="s">
        <v>34</v>
      </c>
      <c r="J446" t="s">
        <v>35</v>
      </c>
      <c r="K446" t="s">
        <v>36</v>
      </c>
      <c r="L446">
        <v>8</v>
      </c>
      <c r="M446" s="10">
        <v>0.03</v>
      </c>
      <c r="N446" s="11">
        <v>921500</v>
      </c>
      <c r="O446" s="11">
        <v>2280000</v>
      </c>
      <c r="P446" s="11">
        <v>-1358500</v>
      </c>
      <c r="Q446" t="s">
        <v>84</v>
      </c>
      <c r="R446" t="b">
        <f>COUNTIF($A$6     : CleanedSalesData[[#This Row],[Order ID]], CleanedSalesData[[#This Row],[Order ID]])&gt;1</f>
        <v>0</v>
      </c>
      <c r="S446" t="b">
        <f>IF(ISBLANK(CleanedSalesData[[#This Row],[Quantity]]), TRUE, FALSE)</f>
        <v>0</v>
      </c>
      <c r="T446" t="b">
        <f>IF(ISBLANK(CleanedSalesData[[#This Row],[Order Date]]), TRUE, FALSE)</f>
        <v>0</v>
      </c>
      <c r="U446" t="b">
        <f>IF(ISBLANK(CleanedSalesData[[#This Row],[Revenue]]), TRUE, FALSE)</f>
        <v>0</v>
      </c>
      <c r="V446" t="b">
        <f>IF(OR(CleanedSalesData[[#This Row],[Order Status]]="Cancelled", CleanedSalesData[[#This Row],[Order Status]]="Returned"), TRUE, FALSE)</f>
        <v>1</v>
      </c>
      <c r="W446" t="str" cm="1">
        <f t="array" ref="W44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47" spans="1:23" x14ac:dyDescent="0.35">
      <c r="A447" t="s">
        <v>586</v>
      </c>
      <c r="B447" s="7">
        <v>46089</v>
      </c>
      <c r="C447" t="s">
        <v>947</v>
      </c>
      <c r="D447">
        <v>3</v>
      </c>
      <c r="E447" t="s">
        <v>39</v>
      </c>
      <c r="F447" t="s">
        <v>40</v>
      </c>
      <c r="G447" t="s">
        <v>32</v>
      </c>
      <c r="H447" t="s">
        <v>33</v>
      </c>
      <c r="I447" t="s">
        <v>42</v>
      </c>
      <c r="J447" t="s">
        <v>43</v>
      </c>
      <c r="K447" t="s">
        <v>44</v>
      </c>
      <c r="L447">
        <v>2</v>
      </c>
      <c r="M447" s="10">
        <v>0.05</v>
      </c>
      <c r="N447" s="11">
        <v>522500</v>
      </c>
      <c r="O447" s="11">
        <v>310000</v>
      </c>
      <c r="P447" s="11">
        <v>212500</v>
      </c>
      <c r="Q447" t="s">
        <v>45</v>
      </c>
      <c r="R447" t="b">
        <f>COUNTIF($A$6     : CleanedSalesData[[#This Row],[Order ID]], CleanedSalesData[[#This Row],[Order ID]])&gt;1</f>
        <v>0</v>
      </c>
      <c r="S447" t="b">
        <f>IF(ISBLANK(CleanedSalesData[[#This Row],[Quantity]]), TRUE, FALSE)</f>
        <v>0</v>
      </c>
      <c r="T447" t="b">
        <f>IF(ISBLANK(CleanedSalesData[[#This Row],[Order Date]]), TRUE, FALSE)</f>
        <v>0</v>
      </c>
      <c r="U447" t="b">
        <f>IF(ISBLANK(CleanedSalesData[[#This Row],[Revenue]]), TRUE, FALSE)</f>
        <v>0</v>
      </c>
      <c r="V447" t="b">
        <f>IF(OR(CleanedSalesData[[#This Row],[Order Status]]="Cancelled", CleanedSalesData[[#This Row],[Order Status]]="Returned"), TRUE, FALSE)</f>
        <v>0</v>
      </c>
      <c r="W447" t="str" cm="1">
        <f t="array" ref="W44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8" spans="1:23" x14ac:dyDescent="0.35">
      <c r="A448" t="s">
        <v>587</v>
      </c>
      <c r="B448" s="7">
        <v>46188</v>
      </c>
      <c r="C448" t="s">
        <v>945</v>
      </c>
      <c r="D448">
        <v>6</v>
      </c>
      <c r="E448" t="s">
        <v>95</v>
      </c>
      <c r="F448" t="s">
        <v>59</v>
      </c>
      <c r="G448" t="s">
        <v>41</v>
      </c>
      <c r="H448" t="s">
        <v>33</v>
      </c>
      <c r="I448" t="s">
        <v>49</v>
      </c>
      <c r="J448" t="s">
        <v>50</v>
      </c>
      <c r="K448" t="s">
        <v>51</v>
      </c>
      <c r="L448">
        <v>4</v>
      </c>
      <c r="M448" s="10">
        <v>0.15</v>
      </c>
      <c r="N448" s="11">
        <v>833000</v>
      </c>
      <c r="O448" s="11">
        <v>580000</v>
      </c>
      <c r="P448" s="11">
        <v>253000</v>
      </c>
      <c r="Q448" t="s">
        <v>52</v>
      </c>
      <c r="R448" t="b">
        <f>COUNTIF($A$6     : CleanedSalesData[[#This Row],[Order ID]], CleanedSalesData[[#This Row],[Order ID]])&gt;1</f>
        <v>0</v>
      </c>
      <c r="S448" t="b">
        <f>IF(ISBLANK(CleanedSalesData[[#This Row],[Quantity]]), TRUE, FALSE)</f>
        <v>0</v>
      </c>
      <c r="T448" t="b">
        <f>IF(ISBLANK(CleanedSalesData[[#This Row],[Order Date]]), TRUE, FALSE)</f>
        <v>0</v>
      </c>
      <c r="U448" t="b">
        <f>IF(ISBLANK(CleanedSalesData[[#This Row],[Revenue]]), TRUE, FALSE)</f>
        <v>0</v>
      </c>
      <c r="V448" t="b">
        <f>IF(OR(CleanedSalesData[[#This Row],[Order Status]]="Cancelled", CleanedSalesData[[#This Row],[Order Status]]="Returned"), TRUE, FALSE)</f>
        <v>0</v>
      </c>
      <c r="W448" t="str" cm="1">
        <f t="array" ref="W44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49" spans="1:23" x14ac:dyDescent="0.35">
      <c r="A449" t="s">
        <v>588</v>
      </c>
      <c r="B449" s="7">
        <v>46056</v>
      </c>
      <c r="C449" t="s">
        <v>944</v>
      </c>
      <c r="D449">
        <v>2</v>
      </c>
      <c r="E449" t="s">
        <v>76</v>
      </c>
      <c r="F449" t="s">
        <v>31</v>
      </c>
      <c r="G449" t="s">
        <v>81</v>
      </c>
      <c r="H449" t="s">
        <v>90</v>
      </c>
      <c r="I449" t="s">
        <v>55</v>
      </c>
      <c r="J449" t="s">
        <v>56</v>
      </c>
      <c r="K449" t="s">
        <v>36</v>
      </c>
      <c r="L449">
        <v>3</v>
      </c>
      <c r="M449" s="10">
        <v>0.1</v>
      </c>
      <c r="N449" s="11">
        <v>4995000</v>
      </c>
      <c r="O449" s="11">
        <v>3960000</v>
      </c>
      <c r="P449" s="11">
        <v>1035000</v>
      </c>
      <c r="Q449" t="s">
        <v>57</v>
      </c>
      <c r="R449" t="b">
        <f>COUNTIF($A$6     : CleanedSalesData[[#This Row],[Order ID]], CleanedSalesData[[#This Row],[Order ID]])&gt;1</f>
        <v>0</v>
      </c>
      <c r="S449" t="b">
        <f>IF(ISBLANK(CleanedSalesData[[#This Row],[Quantity]]), TRUE, FALSE)</f>
        <v>0</v>
      </c>
      <c r="T449" t="b">
        <f>IF(ISBLANK(CleanedSalesData[[#This Row],[Order Date]]), TRUE, FALSE)</f>
        <v>0</v>
      </c>
      <c r="U449" t="b">
        <f>IF(ISBLANK(CleanedSalesData[[#This Row],[Revenue]]), TRUE, FALSE)</f>
        <v>0</v>
      </c>
      <c r="V449" t="b">
        <f>IF(OR(CleanedSalesData[[#This Row],[Order Status]]="Cancelled", CleanedSalesData[[#This Row],[Order Status]]="Returned"), TRUE, FALSE)</f>
        <v>0</v>
      </c>
      <c r="W449" t="str" cm="1">
        <f t="array" ref="W44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50" spans="1:23" x14ac:dyDescent="0.35">
      <c r="A450" t="s">
        <v>589</v>
      </c>
      <c r="B450" s="7">
        <v>46131</v>
      </c>
      <c r="C450" t="s">
        <v>949</v>
      </c>
      <c r="D450">
        <v>4</v>
      </c>
      <c r="E450" t="s">
        <v>76</v>
      </c>
      <c r="F450" t="s">
        <v>31</v>
      </c>
      <c r="G450" t="s">
        <v>48</v>
      </c>
      <c r="H450" t="s">
        <v>33</v>
      </c>
      <c r="I450" t="s">
        <v>60</v>
      </c>
      <c r="J450" t="s">
        <v>61</v>
      </c>
      <c r="K450" t="s">
        <v>62</v>
      </c>
      <c r="M450" s="10">
        <v>0.05</v>
      </c>
      <c r="N450" s="11">
        <v>432250</v>
      </c>
      <c r="O450" s="11">
        <v>217000</v>
      </c>
      <c r="P450" s="11">
        <v>215250</v>
      </c>
      <c r="Q450" t="s">
        <v>93</v>
      </c>
      <c r="R450" t="b">
        <f>COUNTIF($A$6     : CleanedSalesData[[#This Row],[Order ID]], CleanedSalesData[[#This Row],[Order ID]])&gt;1</f>
        <v>0</v>
      </c>
      <c r="S450" t="b">
        <f>IF(ISBLANK(CleanedSalesData[[#This Row],[Quantity]]), TRUE, FALSE)</f>
        <v>1</v>
      </c>
      <c r="T450" t="b">
        <f>IF(ISBLANK(CleanedSalesData[[#This Row],[Order Date]]), TRUE, FALSE)</f>
        <v>0</v>
      </c>
      <c r="U450" t="b">
        <f>IF(ISBLANK(CleanedSalesData[[#This Row],[Revenue]]), TRUE, FALSE)</f>
        <v>0</v>
      </c>
      <c r="V450" t="b">
        <f>IF(OR(CleanedSalesData[[#This Row],[Order Status]]="Cancelled", CleanedSalesData[[#This Row],[Order Status]]="Returned"), TRUE, FALSE)</f>
        <v>0</v>
      </c>
      <c r="W450" t="str" cm="1">
        <f t="array" ref="W45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Quantity</v>
      </c>
    </row>
    <row r="451" spans="1:23" x14ac:dyDescent="0.35">
      <c r="A451" t="s">
        <v>590</v>
      </c>
      <c r="B451" s="7">
        <v>46172</v>
      </c>
      <c r="C451" t="s">
        <v>946</v>
      </c>
      <c r="D451">
        <v>5</v>
      </c>
      <c r="E451" t="s">
        <v>76</v>
      </c>
      <c r="F451" t="s">
        <v>70</v>
      </c>
      <c r="G451" t="s">
        <v>81</v>
      </c>
      <c r="H451" t="s">
        <v>33</v>
      </c>
      <c r="I451" t="s">
        <v>66</v>
      </c>
      <c r="J451" t="s">
        <v>67</v>
      </c>
      <c r="K451" t="s">
        <v>51</v>
      </c>
      <c r="L451">
        <v>2</v>
      </c>
      <c r="M451" s="10">
        <v>0</v>
      </c>
      <c r="N451" s="11">
        <v>620000</v>
      </c>
      <c r="O451" s="11">
        <v>380000</v>
      </c>
      <c r="P451" s="11">
        <v>240000</v>
      </c>
      <c r="Q451" t="s">
        <v>37</v>
      </c>
      <c r="R451" t="b">
        <f>COUNTIF($A$6     : CleanedSalesData[[#This Row],[Order ID]], CleanedSalesData[[#This Row],[Order ID]])&gt;1</f>
        <v>0</v>
      </c>
      <c r="S451" t="b">
        <f>IF(ISBLANK(CleanedSalesData[[#This Row],[Quantity]]), TRUE, FALSE)</f>
        <v>0</v>
      </c>
      <c r="T451" t="b">
        <f>IF(ISBLANK(CleanedSalesData[[#This Row],[Order Date]]), TRUE, FALSE)</f>
        <v>0</v>
      </c>
      <c r="U451" t="b">
        <f>IF(ISBLANK(CleanedSalesData[[#This Row],[Revenue]]), TRUE, FALSE)</f>
        <v>0</v>
      </c>
      <c r="V451" t="b">
        <f>IF(OR(CleanedSalesData[[#This Row],[Order Status]]="Cancelled", CleanedSalesData[[#This Row],[Order Status]]="Returned"), TRUE, FALSE)</f>
        <v>0</v>
      </c>
      <c r="W451" t="str" cm="1">
        <f t="array" ref="W45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52" spans="1:23" x14ac:dyDescent="0.35">
      <c r="A452" t="s">
        <v>591</v>
      </c>
      <c r="B452" s="7">
        <v>46146</v>
      </c>
      <c r="C452" t="s">
        <v>946</v>
      </c>
      <c r="D452">
        <v>5</v>
      </c>
      <c r="E452" t="s">
        <v>76</v>
      </c>
      <c r="F452" t="s">
        <v>70</v>
      </c>
      <c r="G452" t="s">
        <v>81</v>
      </c>
      <c r="H452" t="s">
        <v>77</v>
      </c>
      <c r="I452" t="s">
        <v>71</v>
      </c>
      <c r="J452" t="s">
        <v>72</v>
      </c>
      <c r="K452" t="s">
        <v>73</v>
      </c>
      <c r="L452">
        <v>2</v>
      </c>
      <c r="M452" s="10">
        <v>0.05</v>
      </c>
      <c r="N452" s="11">
        <v>118750</v>
      </c>
      <c r="O452" s="11">
        <v>140000</v>
      </c>
      <c r="P452" s="11">
        <v>-21250</v>
      </c>
      <c r="Q452" t="s">
        <v>57</v>
      </c>
      <c r="R452" t="b">
        <f>COUNTIF($A$6     : CleanedSalesData[[#This Row],[Order ID]], CleanedSalesData[[#This Row],[Order ID]])&gt;1</f>
        <v>0</v>
      </c>
      <c r="S452" t="b">
        <f>IF(ISBLANK(CleanedSalesData[[#This Row],[Quantity]]), TRUE, FALSE)</f>
        <v>0</v>
      </c>
      <c r="T452" t="b">
        <f>IF(ISBLANK(CleanedSalesData[[#This Row],[Order Date]]), TRUE, FALSE)</f>
        <v>0</v>
      </c>
      <c r="U452" t="b">
        <f>IF(ISBLANK(CleanedSalesData[[#This Row],[Revenue]]), TRUE, FALSE)</f>
        <v>0</v>
      </c>
      <c r="V452" t="b">
        <f>IF(OR(CleanedSalesData[[#This Row],[Order Status]]="Cancelled", CleanedSalesData[[#This Row],[Order Status]]="Returned"), TRUE, FALSE)</f>
        <v>1</v>
      </c>
      <c r="W452" t="str" cm="1">
        <f t="array" ref="W45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53" spans="1:23" x14ac:dyDescent="0.35">
      <c r="A453" t="s">
        <v>592</v>
      </c>
      <c r="B453" s="7">
        <v>46071</v>
      </c>
      <c r="C453" t="s">
        <v>944</v>
      </c>
      <c r="D453">
        <v>2</v>
      </c>
      <c r="E453" t="s">
        <v>54</v>
      </c>
      <c r="F453" t="s">
        <v>40</v>
      </c>
      <c r="G453" t="s">
        <v>48</v>
      </c>
      <c r="H453" t="s">
        <v>33</v>
      </c>
      <c r="I453" t="s">
        <v>78</v>
      </c>
      <c r="J453" t="s">
        <v>79</v>
      </c>
      <c r="K453" t="s">
        <v>62</v>
      </c>
      <c r="L453">
        <v>3</v>
      </c>
      <c r="M453" s="10">
        <v>0.1</v>
      </c>
      <c r="N453" s="11">
        <v>229500</v>
      </c>
      <c r="O453" s="11">
        <v>129000</v>
      </c>
      <c r="P453" s="11">
        <v>100500</v>
      </c>
      <c r="Q453" t="s">
        <v>84</v>
      </c>
      <c r="R453" t="b">
        <f>COUNTIF($A$6     : CleanedSalesData[[#This Row],[Order ID]], CleanedSalesData[[#This Row],[Order ID]])&gt;1</f>
        <v>0</v>
      </c>
      <c r="S453" t="b">
        <f>IF(ISBLANK(CleanedSalesData[[#This Row],[Quantity]]), TRUE, FALSE)</f>
        <v>0</v>
      </c>
      <c r="T453" t="b">
        <f>IF(ISBLANK(CleanedSalesData[[#This Row],[Order Date]]), TRUE, FALSE)</f>
        <v>0</v>
      </c>
      <c r="U453" t="b">
        <f>IF(ISBLANK(CleanedSalesData[[#This Row],[Revenue]]), TRUE, FALSE)</f>
        <v>0</v>
      </c>
      <c r="V453" t="b">
        <f>IF(OR(CleanedSalesData[[#This Row],[Order Status]]="Cancelled", CleanedSalesData[[#This Row],[Order Status]]="Returned"), TRUE, FALSE)</f>
        <v>0</v>
      </c>
      <c r="W453" t="str" cm="1">
        <f t="array" ref="W45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54" spans="1:23" x14ac:dyDescent="0.35">
      <c r="A454" t="s">
        <v>593</v>
      </c>
      <c r="B454" s="7">
        <v>46029</v>
      </c>
      <c r="C454" t="s">
        <v>948</v>
      </c>
      <c r="D454">
        <v>1</v>
      </c>
      <c r="E454" t="s">
        <v>65</v>
      </c>
      <c r="F454" t="s">
        <v>59</v>
      </c>
      <c r="G454" t="s">
        <v>48</v>
      </c>
      <c r="H454" t="s">
        <v>33</v>
      </c>
      <c r="I454" t="s">
        <v>82</v>
      </c>
      <c r="J454" t="s">
        <v>83</v>
      </c>
      <c r="K454" t="s">
        <v>44</v>
      </c>
      <c r="L454">
        <v>8</v>
      </c>
      <c r="M454" s="10">
        <v>0.05</v>
      </c>
      <c r="N454" s="11">
        <v>11020000</v>
      </c>
      <c r="O454" s="11">
        <v>7840000</v>
      </c>
      <c r="P454" s="11">
        <v>3180000</v>
      </c>
      <c r="Q454" t="s">
        <v>74</v>
      </c>
      <c r="R454" t="b">
        <f>COUNTIF($A$6     : CleanedSalesData[[#This Row],[Order ID]], CleanedSalesData[[#This Row],[Order ID]])&gt;1</f>
        <v>0</v>
      </c>
      <c r="S454" t="b">
        <f>IF(ISBLANK(CleanedSalesData[[#This Row],[Quantity]]), TRUE, FALSE)</f>
        <v>0</v>
      </c>
      <c r="T454" t="b">
        <f>IF(ISBLANK(CleanedSalesData[[#This Row],[Order Date]]), TRUE, FALSE)</f>
        <v>0</v>
      </c>
      <c r="U454" t="b">
        <f>IF(ISBLANK(CleanedSalesData[[#This Row],[Revenue]]), TRUE, FALSE)</f>
        <v>0</v>
      </c>
      <c r="V454" t="b">
        <f>IF(OR(CleanedSalesData[[#This Row],[Order Status]]="Cancelled", CleanedSalesData[[#This Row],[Order Status]]="Returned"), TRUE, FALSE)</f>
        <v>0</v>
      </c>
      <c r="W454" t="str" cm="1">
        <f t="array" ref="W45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55" spans="1:23" x14ac:dyDescent="0.35">
      <c r="A455" t="s">
        <v>594</v>
      </c>
      <c r="B455" s="7">
        <v>46172</v>
      </c>
      <c r="C455" t="s">
        <v>946</v>
      </c>
      <c r="D455">
        <v>5</v>
      </c>
      <c r="E455" t="s">
        <v>54</v>
      </c>
      <c r="F455" t="s">
        <v>31</v>
      </c>
      <c r="G455" t="s">
        <v>48</v>
      </c>
      <c r="H455" t="s">
        <v>33</v>
      </c>
      <c r="I455" t="s">
        <v>86</v>
      </c>
      <c r="J455" t="s">
        <v>87</v>
      </c>
      <c r="K455" t="s">
        <v>36</v>
      </c>
      <c r="L455">
        <v>4</v>
      </c>
      <c r="M455" s="10">
        <v>0.05</v>
      </c>
      <c r="N455" s="11">
        <v>1330000</v>
      </c>
      <c r="O455" s="11">
        <v>840000</v>
      </c>
      <c r="P455" s="11">
        <v>490000</v>
      </c>
      <c r="Q455" t="s">
        <v>57</v>
      </c>
      <c r="R455" t="b">
        <f>COUNTIF($A$6     : CleanedSalesData[[#This Row],[Order ID]], CleanedSalesData[[#This Row],[Order ID]])&gt;1</f>
        <v>0</v>
      </c>
      <c r="S455" t="b">
        <f>IF(ISBLANK(CleanedSalesData[[#This Row],[Quantity]]), TRUE, FALSE)</f>
        <v>0</v>
      </c>
      <c r="T455" t="b">
        <f>IF(ISBLANK(CleanedSalesData[[#This Row],[Order Date]]), TRUE, FALSE)</f>
        <v>0</v>
      </c>
      <c r="U455" t="b">
        <f>IF(ISBLANK(CleanedSalesData[[#This Row],[Revenue]]), TRUE, FALSE)</f>
        <v>0</v>
      </c>
      <c r="V455" t="b">
        <f>IF(OR(CleanedSalesData[[#This Row],[Order Status]]="Cancelled", CleanedSalesData[[#This Row],[Order Status]]="Returned"), TRUE, FALSE)</f>
        <v>0</v>
      </c>
      <c r="W455" t="str" cm="1">
        <f t="array" ref="W45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56" spans="1:23" x14ac:dyDescent="0.35">
      <c r="A456" t="s">
        <v>595</v>
      </c>
      <c r="B456" s="7">
        <v>46066</v>
      </c>
      <c r="C456" t="s">
        <v>944</v>
      </c>
      <c r="D456">
        <v>2</v>
      </c>
      <c r="E456" t="s">
        <v>30</v>
      </c>
      <c r="F456" t="s">
        <v>31</v>
      </c>
      <c r="G456" t="s">
        <v>81</v>
      </c>
      <c r="H456" t="s">
        <v>33</v>
      </c>
      <c r="I456" t="s">
        <v>34</v>
      </c>
      <c r="J456" t="s">
        <v>35</v>
      </c>
      <c r="K456" t="s">
        <v>36</v>
      </c>
      <c r="L456">
        <v>3</v>
      </c>
      <c r="M456" s="10">
        <v>0.05</v>
      </c>
      <c r="N456" s="11">
        <v>1353750</v>
      </c>
      <c r="O456" s="11">
        <v>855000</v>
      </c>
      <c r="P456" s="11">
        <v>498750</v>
      </c>
      <c r="Q456" t="s">
        <v>63</v>
      </c>
      <c r="R456" t="b">
        <f>COUNTIF($A$6     : CleanedSalesData[[#This Row],[Order ID]], CleanedSalesData[[#This Row],[Order ID]])&gt;1</f>
        <v>0</v>
      </c>
      <c r="S456" t="b">
        <f>IF(ISBLANK(CleanedSalesData[[#This Row],[Quantity]]), TRUE, FALSE)</f>
        <v>0</v>
      </c>
      <c r="T456" t="b">
        <f>IF(ISBLANK(CleanedSalesData[[#This Row],[Order Date]]), TRUE, FALSE)</f>
        <v>0</v>
      </c>
      <c r="U456" t="b">
        <f>IF(ISBLANK(CleanedSalesData[[#This Row],[Revenue]]), TRUE, FALSE)</f>
        <v>0</v>
      </c>
      <c r="V456" t="b">
        <f>IF(OR(CleanedSalesData[[#This Row],[Order Status]]="Cancelled", CleanedSalesData[[#This Row],[Order Status]]="Returned"), TRUE, FALSE)</f>
        <v>0</v>
      </c>
      <c r="W456" t="str" cm="1">
        <f t="array" ref="W45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57" spans="1:23" x14ac:dyDescent="0.35">
      <c r="A457" t="s">
        <v>597</v>
      </c>
      <c r="B457" s="7">
        <v>46190</v>
      </c>
      <c r="C457" t="s">
        <v>945</v>
      </c>
      <c r="D457">
        <v>6</v>
      </c>
      <c r="E457" t="s">
        <v>54</v>
      </c>
      <c r="F457" t="s">
        <v>70</v>
      </c>
      <c r="G457" t="s">
        <v>48</v>
      </c>
      <c r="H457" t="s">
        <v>33</v>
      </c>
      <c r="I457" t="s">
        <v>42</v>
      </c>
      <c r="J457" t="s">
        <v>43</v>
      </c>
      <c r="K457" t="s">
        <v>44</v>
      </c>
      <c r="L457">
        <v>2</v>
      </c>
      <c r="M457" s="10">
        <v>0.03</v>
      </c>
      <c r="N457" s="11">
        <v>533500</v>
      </c>
      <c r="O457" s="11">
        <v>310000</v>
      </c>
      <c r="P457" s="11">
        <v>223500</v>
      </c>
      <c r="Q457" t="s">
        <v>63</v>
      </c>
      <c r="R457" t="b">
        <f>COUNTIF($A$6     : CleanedSalesData[[#This Row],[Order ID]], CleanedSalesData[[#This Row],[Order ID]])&gt;1</f>
        <v>0</v>
      </c>
      <c r="S457" t="b">
        <f>IF(ISBLANK(CleanedSalesData[[#This Row],[Quantity]]), TRUE, FALSE)</f>
        <v>0</v>
      </c>
      <c r="T457" t="b">
        <f>IF(ISBLANK(CleanedSalesData[[#This Row],[Order Date]]), TRUE, FALSE)</f>
        <v>0</v>
      </c>
      <c r="U457" t="b">
        <f>IF(ISBLANK(CleanedSalesData[[#This Row],[Revenue]]), TRUE, FALSE)</f>
        <v>0</v>
      </c>
      <c r="V457" t="b">
        <f>IF(OR(CleanedSalesData[[#This Row],[Order Status]]="Cancelled", CleanedSalesData[[#This Row],[Order Status]]="Returned"), TRUE, FALSE)</f>
        <v>0</v>
      </c>
      <c r="W457" t="str" cm="1">
        <f t="array" ref="W45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58" spans="1:23" x14ac:dyDescent="0.35">
      <c r="A458" t="s">
        <v>598</v>
      </c>
      <c r="B458" s="7">
        <v>46089</v>
      </c>
      <c r="C458" t="s">
        <v>947</v>
      </c>
      <c r="D458">
        <v>3</v>
      </c>
      <c r="E458" t="s">
        <v>69</v>
      </c>
      <c r="F458" t="s">
        <v>59</v>
      </c>
      <c r="G458" t="s">
        <v>41</v>
      </c>
      <c r="H458" t="s">
        <v>90</v>
      </c>
      <c r="I458" t="s">
        <v>49</v>
      </c>
      <c r="J458" t="s">
        <v>50</v>
      </c>
      <c r="K458" t="s">
        <v>51</v>
      </c>
      <c r="L458">
        <v>5</v>
      </c>
      <c r="M458" s="10">
        <v>0.08</v>
      </c>
      <c r="N458" s="11">
        <v>1127000</v>
      </c>
      <c r="O458" s="11">
        <v>725000</v>
      </c>
      <c r="P458" s="11">
        <v>402000</v>
      </c>
      <c r="Q458" t="s">
        <v>52</v>
      </c>
      <c r="R458" t="b">
        <f>COUNTIF($A$6     : CleanedSalesData[[#This Row],[Order ID]], CleanedSalesData[[#This Row],[Order ID]])&gt;1</f>
        <v>0</v>
      </c>
      <c r="S458" t="b">
        <f>IF(ISBLANK(CleanedSalesData[[#This Row],[Quantity]]), TRUE, FALSE)</f>
        <v>0</v>
      </c>
      <c r="T458" t="b">
        <f>IF(ISBLANK(CleanedSalesData[[#This Row],[Order Date]]), TRUE, FALSE)</f>
        <v>0</v>
      </c>
      <c r="U458" t="b">
        <f>IF(ISBLANK(CleanedSalesData[[#This Row],[Revenue]]), TRUE, FALSE)</f>
        <v>0</v>
      </c>
      <c r="V458" t="b">
        <f>IF(OR(CleanedSalesData[[#This Row],[Order Status]]="Cancelled", CleanedSalesData[[#This Row],[Order Status]]="Returned"), TRUE, FALSE)</f>
        <v>0</v>
      </c>
      <c r="W458" t="str" cm="1">
        <f t="array" ref="W45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59" spans="1:23" x14ac:dyDescent="0.35">
      <c r="A459" t="s">
        <v>599</v>
      </c>
      <c r="B459" s="7">
        <v>46072</v>
      </c>
      <c r="C459" t="s">
        <v>944</v>
      </c>
      <c r="D459">
        <v>2</v>
      </c>
      <c r="E459" t="s">
        <v>95</v>
      </c>
      <c r="F459" t="s">
        <v>70</v>
      </c>
      <c r="G459" t="s">
        <v>48</v>
      </c>
      <c r="H459" t="s">
        <v>33</v>
      </c>
      <c r="I459" t="s">
        <v>55</v>
      </c>
      <c r="J459" t="s">
        <v>56</v>
      </c>
      <c r="K459" t="s">
        <v>36</v>
      </c>
      <c r="L459">
        <v>2</v>
      </c>
      <c r="M459" s="10">
        <v>0.15</v>
      </c>
      <c r="N459" s="11">
        <v>3145000</v>
      </c>
      <c r="O459" s="11">
        <v>2640000</v>
      </c>
      <c r="P459" s="11">
        <v>505000</v>
      </c>
      <c r="Q459" t="s">
        <v>84</v>
      </c>
      <c r="R459" t="b">
        <f>COUNTIF($A$6     : CleanedSalesData[[#This Row],[Order ID]], CleanedSalesData[[#This Row],[Order ID]])&gt;1</f>
        <v>0</v>
      </c>
      <c r="S459" t="b">
        <f>IF(ISBLANK(CleanedSalesData[[#This Row],[Quantity]]), TRUE, FALSE)</f>
        <v>0</v>
      </c>
      <c r="T459" t="b">
        <f>IF(ISBLANK(CleanedSalesData[[#This Row],[Order Date]]), TRUE, FALSE)</f>
        <v>0</v>
      </c>
      <c r="U459" t="b">
        <f>IF(ISBLANK(CleanedSalesData[[#This Row],[Revenue]]), TRUE, FALSE)</f>
        <v>0</v>
      </c>
      <c r="V459" t="b">
        <f>IF(OR(CleanedSalesData[[#This Row],[Order Status]]="Cancelled", CleanedSalesData[[#This Row],[Order Status]]="Returned"), TRUE, FALSE)</f>
        <v>0</v>
      </c>
      <c r="W459" t="str" cm="1">
        <f t="array" ref="W45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0" spans="1:23" x14ac:dyDescent="0.35">
      <c r="A460" t="s">
        <v>600</v>
      </c>
      <c r="B460" s="7">
        <v>46058</v>
      </c>
      <c r="C460" t="s">
        <v>944</v>
      </c>
      <c r="D460">
        <v>2</v>
      </c>
      <c r="E460" t="s">
        <v>30</v>
      </c>
      <c r="F460" t="s">
        <v>47</v>
      </c>
      <c r="G460" t="s">
        <v>48</v>
      </c>
      <c r="H460" t="s">
        <v>33</v>
      </c>
      <c r="I460" t="s">
        <v>60</v>
      </c>
      <c r="J460" t="s">
        <v>61</v>
      </c>
      <c r="K460" t="s">
        <v>62</v>
      </c>
      <c r="L460">
        <v>4</v>
      </c>
      <c r="M460" s="10">
        <v>0.05</v>
      </c>
      <c r="N460" s="11">
        <v>247000</v>
      </c>
      <c r="O460" s="11">
        <v>124000</v>
      </c>
      <c r="P460" s="11">
        <v>123000</v>
      </c>
      <c r="Q460" t="s">
        <v>63</v>
      </c>
      <c r="R460" t="b">
        <f>COUNTIF($A$6     : CleanedSalesData[[#This Row],[Order ID]], CleanedSalesData[[#This Row],[Order ID]])&gt;1</f>
        <v>0</v>
      </c>
      <c r="S460" t="b">
        <f>IF(ISBLANK(CleanedSalesData[[#This Row],[Quantity]]), TRUE, FALSE)</f>
        <v>0</v>
      </c>
      <c r="T460" t="b">
        <f>IF(ISBLANK(CleanedSalesData[[#This Row],[Order Date]]), TRUE, FALSE)</f>
        <v>0</v>
      </c>
      <c r="U460" t="b">
        <f>IF(ISBLANK(CleanedSalesData[[#This Row],[Revenue]]), TRUE, FALSE)</f>
        <v>0</v>
      </c>
      <c r="V460" t="b">
        <f>IF(OR(CleanedSalesData[[#This Row],[Order Status]]="Cancelled", CleanedSalesData[[#This Row],[Order Status]]="Returned"), TRUE, FALSE)</f>
        <v>0</v>
      </c>
      <c r="W460" t="str" cm="1">
        <f t="array" ref="W46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1" spans="1:23" x14ac:dyDescent="0.35">
      <c r="A461" t="s">
        <v>601</v>
      </c>
      <c r="B461" s="7">
        <v>46069</v>
      </c>
      <c r="C461" t="s">
        <v>944</v>
      </c>
      <c r="D461">
        <v>2</v>
      </c>
      <c r="E461" t="s">
        <v>95</v>
      </c>
      <c r="F461" t="s">
        <v>31</v>
      </c>
      <c r="G461" t="s">
        <v>81</v>
      </c>
      <c r="H461" t="s">
        <v>33</v>
      </c>
      <c r="I461" t="s">
        <v>66</v>
      </c>
      <c r="J461" t="s">
        <v>67</v>
      </c>
      <c r="K461" t="s">
        <v>51</v>
      </c>
      <c r="L461">
        <v>2</v>
      </c>
      <c r="M461" s="10">
        <v>0.08</v>
      </c>
      <c r="N461" s="11">
        <v>570400</v>
      </c>
      <c r="O461" s="11">
        <v>380000</v>
      </c>
      <c r="P461" s="11">
        <v>190400</v>
      </c>
      <c r="Q461" t="s">
        <v>74</v>
      </c>
      <c r="R461" t="b">
        <f>COUNTIF($A$6     : CleanedSalesData[[#This Row],[Order ID]], CleanedSalesData[[#This Row],[Order ID]])&gt;1</f>
        <v>0</v>
      </c>
      <c r="S461" t="b">
        <f>IF(ISBLANK(CleanedSalesData[[#This Row],[Quantity]]), TRUE, FALSE)</f>
        <v>0</v>
      </c>
      <c r="T461" t="b">
        <f>IF(ISBLANK(CleanedSalesData[[#This Row],[Order Date]]), TRUE, FALSE)</f>
        <v>0</v>
      </c>
      <c r="U461" t="b">
        <f>IF(ISBLANK(CleanedSalesData[[#This Row],[Revenue]]), TRUE, FALSE)</f>
        <v>0</v>
      </c>
      <c r="V461" t="b">
        <f>IF(OR(CleanedSalesData[[#This Row],[Order Status]]="Cancelled", CleanedSalesData[[#This Row],[Order Status]]="Returned"), TRUE, FALSE)</f>
        <v>0</v>
      </c>
      <c r="W461" t="str" cm="1">
        <f t="array" ref="W46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2" spans="1:23" x14ac:dyDescent="0.35">
      <c r="A462" t="s">
        <v>602</v>
      </c>
      <c r="B462" s="7">
        <v>46138</v>
      </c>
      <c r="C462" t="s">
        <v>949</v>
      </c>
      <c r="D462">
        <v>4</v>
      </c>
      <c r="E462" t="s">
        <v>111</v>
      </c>
      <c r="F462" t="s">
        <v>31</v>
      </c>
      <c r="G462" t="s">
        <v>32</v>
      </c>
      <c r="H462" t="s">
        <v>33</v>
      </c>
      <c r="I462" t="s">
        <v>71</v>
      </c>
      <c r="J462" t="s">
        <v>72</v>
      </c>
      <c r="K462" t="s">
        <v>73</v>
      </c>
      <c r="L462">
        <v>5</v>
      </c>
      <c r="M462" s="10">
        <v>0.03</v>
      </c>
      <c r="N462" s="11">
        <v>606250</v>
      </c>
      <c r="O462" s="11">
        <v>350000</v>
      </c>
      <c r="P462" s="11">
        <v>256250</v>
      </c>
      <c r="Q462" t="s">
        <v>37</v>
      </c>
      <c r="R462" t="b">
        <f>COUNTIF($A$6     : CleanedSalesData[[#This Row],[Order ID]], CleanedSalesData[[#This Row],[Order ID]])&gt;1</f>
        <v>0</v>
      </c>
      <c r="S462" t="b">
        <f>IF(ISBLANK(CleanedSalesData[[#This Row],[Quantity]]), TRUE, FALSE)</f>
        <v>0</v>
      </c>
      <c r="T462" t="b">
        <f>IF(ISBLANK(CleanedSalesData[[#This Row],[Order Date]]), TRUE, FALSE)</f>
        <v>0</v>
      </c>
      <c r="U462" t="b">
        <f>IF(ISBLANK(CleanedSalesData[[#This Row],[Revenue]]), TRUE, FALSE)</f>
        <v>0</v>
      </c>
      <c r="V462" t="b">
        <f>IF(OR(CleanedSalesData[[#This Row],[Order Status]]="Cancelled", CleanedSalesData[[#This Row],[Order Status]]="Returned"), TRUE, FALSE)</f>
        <v>0</v>
      </c>
      <c r="W462" t="str" cm="1">
        <f t="array" ref="W46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3" spans="1:23" x14ac:dyDescent="0.35">
      <c r="A463" t="s">
        <v>603</v>
      </c>
      <c r="B463" s="7">
        <v>46056</v>
      </c>
      <c r="C463" t="s">
        <v>944</v>
      </c>
      <c r="D463">
        <v>2</v>
      </c>
      <c r="E463" t="s">
        <v>65</v>
      </c>
      <c r="F463" t="s">
        <v>59</v>
      </c>
      <c r="G463" t="s">
        <v>48</v>
      </c>
      <c r="H463" t="s">
        <v>33</v>
      </c>
      <c r="I463" t="s">
        <v>78</v>
      </c>
      <c r="J463" t="s">
        <v>79</v>
      </c>
      <c r="K463" t="s">
        <v>62</v>
      </c>
      <c r="L463">
        <v>7</v>
      </c>
      <c r="M463" s="10">
        <v>0.15</v>
      </c>
      <c r="N463" s="11">
        <v>505750</v>
      </c>
      <c r="O463" s="11">
        <v>301000</v>
      </c>
      <c r="P463" s="11">
        <v>204750</v>
      </c>
      <c r="Q463" t="s">
        <v>74</v>
      </c>
      <c r="R463" t="b">
        <f>COUNTIF($A$6     : CleanedSalesData[[#This Row],[Order ID]], CleanedSalesData[[#This Row],[Order ID]])&gt;1</f>
        <v>0</v>
      </c>
      <c r="S463" t="b">
        <f>IF(ISBLANK(CleanedSalesData[[#This Row],[Quantity]]), TRUE, FALSE)</f>
        <v>0</v>
      </c>
      <c r="T463" t="b">
        <f>IF(ISBLANK(CleanedSalesData[[#This Row],[Order Date]]), TRUE, FALSE)</f>
        <v>0</v>
      </c>
      <c r="U463" t="b">
        <f>IF(ISBLANK(CleanedSalesData[[#This Row],[Revenue]]), TRUE, FALSE)</f>
        <v>0</v>
      </c>
      <c r="V463" t="b">
        <f>IF(OR(CleanedSalesData[[#This Row],[Order Status]]="Cancelled", CleanedSalesData[[#This Row],[Order Status]]="Returned"), TRUE, FALSE)</f>
        <v>0</v>
      </c>
      <c r="W463" t="str" cm="1">
        <f t="array" ref="W46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4" spans="1:23" x14ac:dyDescent="0.35">
      <c r="A464" t="s">
        <v>604</v>
      </c>
      <c r="B464" s="7">
        <v>46032</v>
      </c>
      <c r="C464" t="s">
        <v>948</v>
      </c>
      <c r="D464">
        <v>1</v>
      </c>
      <c r="E464" t="s">
        <v>39</v>
      </c>
      <c r="F464" t="s">
        <v>40</v>
      </c>
      <c r="G464" t="s">
        <v>81</v>
      </c>
      <c r="H464" t="s">
        <v>33</v>
      </c>
      <c r="I464" t="s">
        <v>82</v>
      </c>
      <c r="J464" t="s">
        <v>83</v>
      </c>
      <c r="K464" t="s">
        <v>44</v>
      </c>
      <c r="L464">
        <v>4</v>
      </c>
      <c r="M464" s="10">
        <v>0.15</v>
      </c>
      <c r="N464" s="11">
        <v>4930000</v>
      </c>
      <c r="O464" s="11">
        <v>3920000</v>
      </c>
      <c r="P464" s="11">
        <v>1010000</v>
      </c>
      <c r="Q464" t="s">
        <v>74</v>
      </c>
      <c r="R464" t="b">
        <f>COUNTIF($A$6     : CleanedSalesData[[#This Row],[Order ID]], CleanedSalesData[[#This Row],[Order ID]])&gt;1</f>
        <v>0</v>
      </c>
      <c r="S464" t="b">
        <f>IF(ISBLANK(CleanedSalesData[[#This Row],[Quantity]]), TRUE, FALSE)</f>
        <v>0</v>
      </c>
      <c r="T464" t="b">
        <f>IF(ISBLANK(CleanedSalesData[[#This Row],[Order Date]]), TRUE, FALSE)</f>
        <v>0</v>
      </c>
      <c r="U464" t="b">
        <f>IF(ISBLANK(CleanedSalesData[[#This Row],[Revenue]]), TRUE, FALSE)</f>
        <v>0</v>
      </c>
      <c r="V464" t="b">
        <f>IF(OR(CleanedSalesData[[#This Row],[Order Status]]="Cancelled", CleanedSalesData[[#This Row],[Order Status]]="Returned"), TRUE, FALSE)</f>
        <v>0</v>
      </c>
      <c r="W464" t="str" cm="1">
        <f t="array" ref="W46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5" spans="1:23" x14ac:dyDescent="0.35">
      <c r="A465" t="s">
        <v>605</v>
      </c>
      <c r="B465" s="7">
        <v>46196</v>
      </c>
      <c r="C465" t="s">
        <v>945</v>
      </c>
      <c r="D465">
        <v>6</v>
      </c>
      <c r="E465" t="s">
        <v>76</v>
      </c>
      <c r="F465" t="s">
        <v>31</v>
      </c>
      <c r="G465" t="s">
        <v>81</v>
      </c>
      <c r="H465" t="s">
        <v>33</v>
      </c>
      <c r="I465" t="s">
        <v>86</v>
      </c>
      <c r="J465" t="s">
        <v>87</v>
      </c>
      <c r="K465" t="s">
        <v>36</v>
      </c>
      <c r="L465">
        <v>1</v>
      </c>
      <c r="M465" s="10">
        <v>0.15</v>
      </c>
      <c r="N465" s="11">
        <v>297500</v>
      </c>
      <c r="O465" s="11">
        <v>210000</v>
      </c>
      <c r="P465" s="11">
        <v>87500</v>
      </c>
      <c r="Q465" t="s">
        <v>84</v>
      </c>
      <c r="R465" t="b">
        <f>COUNTIF($A$6     : CleanedSalesData[[#This Row],[Order ID]], CleanedSalesData[[#This Row],[Order ID]])&gt;1</f>
        <v>0</v>
      </c>
      <c r="S465" t="b">
        <f>IF(ISBLANK(CleanedSalesData[[#This Row],[Quantity]]), TRUE, FALSE)</f>
        <v>0</v>
      </c>
      <c r="T465" t="b">
        <f>IF(ISBLANK(CleanedSalesData[[#This Row],[Order Date]]), TRUE, FALSE)</f>
        <v>0</v>
      </c>
      <c r="U465" t="b">
        <f>IF(ISBLANK(CleanedSalesData[[#This Row],[Revenue]]), TRUE, FALSE)</f>
        <v>0</v>
      </c>
      <c r="V465" t="b">
        <f>IF(OR(CleanedSalesData[[#This Row],[Order Status]]="Cancelled", CleanedSalesData[[#This Row],[Order Status]]="Returned"), TRUE, FALSE)</f>
        <v>0</v>
      </c>
      <c r="W465" t="str" cm="1">
        <f t="array" ref="W46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6" spans="1:23" x14ac:dyDescent="0.35">
      <c r="A466" t="s">
        <v>606</v>
      </c>
      <c r="B466" s="7">
        <v>46049</v>
      </c>
      <c r="C466" t="s">
        <v>948</v>
      </c>
      <c r="D466">
        <v>1</v>
      </c>
      <c r="E466" t="s">
        <v>95</v>
      </c>
      <c r="F466" t="s">
        <v>31</v>
      </c>
      <c r="G466" t="s">
        <v>41</v>
      </c>
      <c r="H466" t="s">
        <v>33</v>
      </c>
      <c r="I466" t="s">
        <v>34</v>
      </c>
      <c r="J466" t="s">
        <v>35</v>
      </c>
      <c r="K466" t="s">
        <v>36</v>
      </c>
      <c r="L466">
        <v>7</v>
      </c>
      <c r="M466" s="10">
        <v>0.1</v>
      </c>
      <c r="N466" s="11">
        <v>2992500</v>
      </c>
      <c r="O466" s="11">
        <v>1995000</v>
      </c>
      <c r="P466" s="11">
        <v>997500</v>
      </c>
      <c r="Q466" t="s">
        <v>57</v>
      </c>
      <c r="R466" t="b">
        <f>COUNTIF($A$6     : CleanedSalesData[[#This Row],[Order ID]], CleanedSalesData[[#This Row],[Order ID]])&gt;1</f>
        <v>0</v>
      </c>
      <c r="S466" t="b">
        <f>IF(ISBLANK(CleanedSalesData[[#This Row],[Quantity]]), TRUE, FALSE)</f>
        <v>0</v>
      </c>
      <c r="T466" t="b">
        <f>IF(ISBLANK(CleanedSalesData[[#This Row],[Order Date]]), TRUE, FALSE)</f>
        <v>0</v>
      </c>
      <c r="U466" t="b">
        <f>IF(ISBLANK(CleanedSalesData[[#This Row],[Revenue]]), TRUE, FALSE)</f>
        <v>0</v>
      </c>
      <c r="V466" t="b">
        <f>IF(OR(CleanedSalesData[[#This Row],[Order Status]]="Cancelled", CleanedSalesData[[#This Row],[Order Status]]="Returned"), TRUE, FALSE)</f>
        <v>0</v>
      </c>
      <c r="W466" t="str" cm="1">
        <f t="array" ref="W46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7" spans="1:23" x14ac:dyDescent="0.35">
      <c r="A467" t="s">
        <v>607</v>
      </c>
      <c r="B467" s="7">
        <v>46097</v>
      </c>
      <c r="C467" t="s">
        <v>947</v>
      </c>
      <c r="D467">
        <v>3</v>
      </c>
      <c r="E467" t="s">
        <v>65</v>
      </c>
      <c r="F467" t="s">
        <v>47</v>
      </c>
      <c r="G467" t="s">
        <v>81</v>
      </c>
      <c r="H467" t="s">
        <v>33</v>
      </c>
      <c r="I467" t="s">
        <v>42</v>
      </c>
      <c r="J467" t="s">
        <v>43</v>
      </c>
      <c r="K467" t="s">
        <v>44</v>
      </c>
      <c r="L467">
        <v>8</v>
      </c>
      <c r="M467" s="10">
        <v>0.15</v>
      </c>
      <c r="N467" s="11">
        <v>1870000</v>
      </c>
      <c r="O467" s="11">
        <v>1240000</v>
      </c>
      <c r="P467" s="11">
        <v>630000</v>
      </c>
      <c r="Q467" t="s">
        <v>84</v>
      </c>
      <c r="R467" t="b">
        <f>COUNTIF($A$6     : CleanedSalesData[[#This Row],[Order ID]], CleanedSalesData[[#This Row],[Order ID]])&gt;1</f>
        <v>0</v>
      </c>
      <c r="S467" t="b">
        <f>IF(ISBLANK(CleanedSalesData[[#This Row],[Quantity]]), TRUE, FALSE)</f>
        <v>0</v>
      </c>
      <c r="T467" t="b">
        <f>IF(ISBLANK(CleanedSalesData[[#This Row],[Order Date]]), TRUE, FALSE)</f>
        <v>0</v>
      </c>
      <c r="U467" t="b">
        <f>IF(ISBLANK(CleanedSalesData[[#This Row],[Revenue]]), TRUE, FALSE)</f>
        <v>0</v>
      </c>
      <c r="V467" t="b">
        <f>IF(OR(CleanedSalesData[[#This Row],[Order Status]]="Cancelled", CleanedSalesData[[#This Row],[Order Status]]="Returned"), TRUE, FALSE)</f>
        <v>0</v>
      </c>
      <c r="W467" t="str" cm="1">
        <f t="array" ref="W46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8" spans="1:23" x14ac:dyDescent="0.35">
      <c r="A468" t="s">
        <v>608</v>
      </c>
      <c r="B468" s="7">
        <v>46110</v>
      </c>
      <c r="C468" t="s">
        <v>947</v>
      </c>
      <c r="D468">
        <v>3</v>
      </c>
      <c r="E468" t="s">
        <v>95</v>
      </c>
      <c r="F468" t="s">
        <v>31</v>
      </c>
      <c r="G468" t="s">
        <v>48</v>
      </c>
      <c r="H468" t="s">
        <v>33</v>
      </c>
      <c r="I468" t="s">
        <v>49</v>
      </c>
      <c r="J468" t="s">
        <v>50</v>
      </c>
      <c r="K468" t="s">
        <v>51</v>
      </c>
      <c r="L468">
        <v>8</v>
      </c>
      <c r="M468" s="10">
        <v>0.05</v>
      </c>
      <c r="N468" s="11">
        <v>1862000</v>
      </c>
      <c r="O468" s="11">
        <v>1160000</v>
      </c>
      <c r="P468" s="11">
        <v>702000</v>
      </c>
      <c r="Q468" t="s">
        <v>45</v>
      </c>
      <c r="R468" t="b">
        <f>COUNTIF($A$6     : CleanedSalesData[[#This Row],[Order ID]], CleanedSalesData[[#This Row],[Order ID]])&gt;1</f>
        <v>0</v>
      </c>
      <c r="S468" t="b">
        <f>IF(ISBLANK(CleanedSalesData[[#This Row],[Quantity]]), TRUE, FALSE)</f>
        <v>0</v>
      </c>
      <c r="T468" t="b">
        <f>IF(ISBLANK(CleanedSalesData[[#This Row],[Order Date]]), TRUE, FALSE)</f>
        <v>0</v>
      </c>
      <c r="U468" t="b">
        <f>IF(ISBLANK(CleanedSalesData[[#This Row],[Revenue]]), TRUE, FALSE)</f>
        <v>0</v>
      </c>
      <c r="V468" t="b">
        <f>IF(OR(CleanedSalesData[[#This Row],[Order Status]]="Cancelled", CleanedSalesData[[#This Row],[Order Status]]="Returned"), TRUE, FALSE)</f>
        <v>0</v>
      </c>
      <c r="W468" t="str" cm="1">
        <f t="array" ref="W46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69" spans="1:23" x14ac:dyDescent="0.35">
      <c r="A469" t="s">
        <v>609</v>
      </c>
      <c r="B469" s="7">
        <v>46080</v>
      </c>
      <c r="C469" t="s">
        <v>944</v>
      </c>
      <c r="D469">
        <v>2</v>
      </c>
      <c r="E469" t="s">
        <v>69</v>
      </c>
      <c r="F469" t="s">
        <v>47</v>
      </c>
      <c r="G469" t="s">
        <v>32</v>
      </c>
      <c r="H469" t="s">
        <v>33</v>
      </c>
      <c r="I469" t="s">
        <v>55</v>
      </c>
      <c r="J469" t="s">
        <v>56</v>
      </c>
      <c r="K469" t="s">
        <v>36</v>
      </c>
      <c r="L469">
        <v>3</v>
      </c>
      <c r="M469" s="10">
        <v>0.03</v>
      </c>
      <c r="N469" s="11">
        <v>5383500</v>
      </c>
      <c r="O469" s="11">
        <v>3960000</v>
      </c>
      <c r="P469" s="11">
        <v>1423500</v>
      </c>
      <c r="Q469" t="s">
        <v>63</v>
      </c>
      <c r="R469" t="b">
        <f>COUNTIF($A$6     : CleanedSalesData[[#This Row],[Order ID]], CleanedSalesData[[#This Row],[Order ID]])&gt;1</f>
        <v>0</v>
      </c>
      <c r="S469" t="b">
        <f>IF(ISBLANK(CleanedSalesData[[#This Row],[Quantity]]), TRUE, FALSE)</f>
        <v>0</v>
      </c>
      <c r="T469" t="b">
        <f>IF(ISBLANK(CleanedSalesData[[#This Row],[Order Date]]), TRUE, FALSE)</f>
        <v>0</v>
      </c>
      <c r="U469" t="b">
        <f>IF(ISBLANK(CleanedSalesData[[#This Row],[Revenue]]), TRUE, FALSE)</f>
        <v>0</v>
      </c>
      <c r="V469" t="b">
        <f>IF(OR(CleanedSalesData[[#This Row],[Order Status]]="Cancelled", CleanedSalesData[[#This Row],[Order Status]]="Returned"), TRUE, FALSE)</f>
        <v>0</v>
      </c>
      <c r="W469" t="str" cm="1">
        <f t="array" ref="W46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0" spans="1:23" x14ac:dyDescent="0.35">
      <c r="A470" t="s">
        <v>610</v>
      </c>
      <c r="B470" s="7">
        <v>46189</v>
      </c>
      <c r="C470" t="s">
        <v>945</v>
      </c>
      <c r="D470">
        <v>6</v>
      </c>
      <c r="E470" t="s">
        <v>95</v>
      </c>
      <c r="F470" t="s">
        <v>70</v>
      </c>
      <c r="G470" t="s">
        <v>41</v>
      </c>
      <c r="H470" t="s">
        <v>90</v>
      </c>
      <c r="I470" t="s">
        <v>60</v>
      </c>
      <c r="J470" t="s">
        <v>61</v>
      </c>
      <c r="K470" t="s">
        <v>62</v>
      </c>
      <c r="L470">
        <v>1</v>
      </c>
      <c r="M470" s="10">
        <v>0.08</v>
      </c>
      <c r="N470" s="11">
        <v>59800</v>
      </c>
      <c r="O470" s="11">
        <v>31000</v>
      </c>
      <c r="P470" s="11">
        <v>28800</v>
      </c>
      <c r="Q470" t="s">
        <v>37</v>
      </c>
      <c r="R470" t="b">
        <f>COUNTIF($A$6     : CleanedSalesData[[#This Row],[Order ID]], CleanedSalesData[[#This Row],[Order ID]])&gt;1</f>
        <v>0</v>
      </c>
      <c r="S470" t="b">
        <f>IF(ISBLANK(CleanedSalesData[[#This Row],[Quantity]]), TRUE, FALSE)</f>
        <v>0</v>
      </c>
      <c r="T470" t="b">
        <f>IF(ISBLANK(CleanedSalesData[[#This Row],[Order Date]]), TRUE, FALSE)</f>
        <v>0</v>
      </c>
      <c r="U470" t="b">
        <f>IF(ISBLANK(CleanedSalesData[[#This Row],[Revenue]]), TRUE, FALSE)</f>
        <v>0</v>
      </c>
      <c r="V470" t="b">
        <f>IF(OR(CleanedSalesData[[#This Row],[Order Status]]="Cancelled", CleanedSalesData[[#This Row],[Order Status]]="Returned"), TRUE, FALSE)</f>
        <v>0</v>
      </c>
      <c r="W470" t="str" cm="1">
        <f t="array" ref="W47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1" spans="1:23" x14ac:dyDescent="0.35">
      <c r="A471" t="s">
        <v>611</v>
      </c>
      <c r="B471" s="7">
        <v>46190</v>
      </c>
      <c r="C471" t="s">
        <v>945</v>
      </c>
      <c r="D471">
        <v>6</v>
      </c>
      <c r="E471" t="s">
        <v>65</v>
      </c>
      <c r="F471" t="s">
        <v>59</v>
      </c>
      <c r="G471" t="s">
        <v>48</v>
      </c>
      <c r="H471" t="s">
        <v>33</v>
      </c>
      <c r="I471" t="s">
        <v>66</v>
      </c>
      <c r="J471" t="s">
        <v>67</v>
      </c>
      <c r="K471" t="s">
        <v>51</v>
      </c>
      <c r="L471">
        <v>1</v>
      </c>
      <c r="M471" s="10">
        <v>0</v>
      </c>
      <c r="N471" s="11">
        <v>310000</v>
      </c>
      <c r="O471" s="11">
        <v>190000</v>
      </c>
      <c r="P471" s="11">
        <v>120000</v>
      </c>
      <c r="Q471" t="s">
        <v>37</v>
      </c>
      <c r="R471" t="b">
        <f>COUNTIF($A$6     : CleanedSalesData[[#This Row],[Order ID]], CleanedSalesData[[#This Row],[Order ID]])&gt;1</f>
        <v>0</v>
      </c>
      <c r="S471" t="b">
        <f>IF(ISBLANK(CleanedSalesData[[#This Row],[Quantity]]), TRUE, FALSE)</f>
        <v>0</v>
      </c>
      <c r="T471" t="b">
        <f>IF(ISBLANK(CleanedSalesData[[#This Row],[Order Date]]), TRUE, FALSE)</f>
        <v>0</v>
      </c>
      <c r="U471" t="b">
        <f>IF(ISBLANK(CleanedSalesData[[#This Row],[Revenue]]), TRUE, FALSE)</f>
        <v>0</v>
      </c>
      <c r="V471" t="b">
        <f>IF(OR(CleanedSalesData[[#This Row],[Order Status]]="Cancelled", CleanedSalesData[[#This Row],[Order Status]]="Returned"), TRUE, FALSE)</f>
        <v>0</v>
      </c>
      <c r="W471" t="str" cm="1">
        <f t="array" ref="W47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2" spans="1:23" x14ac:dyDescent="0.35">
      <c r="A472" t="s">
        <v>612</v>
      </c>
      <c r="B472" s="7">
        <v>46163</v>
      </c>
      <c r="C472" t="s">
        <v>946</v>
      </c>
      <c r="D472">
        <v>5</v>
      </c>
      <c r="E472" t="s">
        <v>76</v>
      </c>
      <c r="F472" t="s">
        <v>31</v>
      </c>
      <c r="G472" t="s">
        <v>41</v>
      </c>
      <c r="H472" t="s">
        <v>33</v>
      </c>
      <c r="I472" t="s">
        <v>71</v>
      </c>
      <c r="J472" t="s">
        <v>72</v>
      </c>
      <c r="K472" t="s">
        <v>73</v>
      </c>
      <c r="L472">
        <v>5</v>
      </c>
      <c r="M472" s="10">
        <v>0.08</v>
      </c>
      <c r="N472" s="11">
        <v>575000</v>
      </c>
      <c r="O472" s="11">
        <v>350000</v>
      </c>
      <c r="P472" s="11">
        <v>225000</v>
      </c>
      <c r="Q472" t="s">
        <v>93</v>
      </c>
      <c r="R472" t="b">
        <f>COUNTIF($A$6     : CleanedSalesData[[#This Row],[Order ID]], CleanedSalesData[[#This Row],[Order ID]])&gt;1</f>
        <v>0</v>
      </c>
      <c r="S472" t="b">
        <f>IF(ISBLANK(CleanedSalesData[[#This Row],[Quantity]]), TRUE, FALSE)</f>
        <v>0</v>
      </c>
      <c r="T472" t="b">
        <f>IF(ISBLANK(CleanedSalesData[[#This Row],[Order Date]]), TRUE, FALSE)</f>
        <v>0</v>
      </c>
      <c r="U472" t="b">
        <f>IF(ISBLANK(CleanedSalesData[[#This Row],[Revenue]]), TRUE, FALSE)</f>
        <v>0</v>
      </c>
      <c r="V472" t="b">
        <f>IF(OR(CleanedSalesData[[#This Row],[Order Status]]="Cancelled", CleanedSalesData[[#This Row],[Order Status]]="Returned"), TRUE, FALSE)</f>
        <v>0</v>
      </c>
      <c r="W472" t="str" cm="1">
        <f t="array" ref="W47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3" spans="1:23" x14ac:dyDescent="0.35">
      <c r="A473" t="s">
        <v>613</v>
      </c>
      <c r="B473" s="7">
        <v>46192</v>
      </c>
      <c r="C473" t="s">
        <v>945</v>
      </c>
      <c r="D473">
        <v>6</v>
      </c>
      <c r="E473" t="s">
        <v>65</v>
      </c>
      <c r="F473" t="s">
        <v>47</v>
      </c>
      <c r="G473" t="s">
        <v>32</v>
      </c>
      <c r="H473" t="s">
        <v>33</v>
      </c>
      <c r="I473" t="s">
        <v>78</v>
      </c>
      <c r="J473" t="s">
        <v>79</v>
      </c>
      <c r="K473" t="s">
        <v>62</v>
      </c>
      <c r="L473">
        <v>2</v>
      </c>
      <c r="M473" s="10">
        <v>0.15</v>
      </c>
      <c r="N473" s="11">
        <v>144500</v>
      </c>
      <c r="O473" s="11">
        <v>86000</v>
      </c>
      <c r="P473" s="11">
        <v>58500</v>
      </c>
      <c r="Q473" t="s">
        <v>37</v>
      </c>
      <c r="R473" t="b">
        <f>COUNTIF($A$6     : CleanedSalesData[[#This Row],[Order ID]], CleanedSalesData[[#This Row],[Order ID]])&gt;1</f>
        <v>0</v>
      </c>
      <c r="S473" t="b">
        <f>IF(ISBLANK(CleanedSalesData[[#This Row],[Quantity]]), TRUE, FALSE)</f>
        <v>0</v>
      </c>
      <c r="T473" t="b">
        <f>IF(ISBLANK(CleanedSalesData[[#This Row],[Order Date]]), TRUE, FALSE)</f>
        <v>0</v>
      </c>
      <c r="U473" t="b">
        <f>IF(ISBLANK(CleanedSalesData[[#This Row],[Revenue]]), TRUE, FALSE)</f>
        <v>0</v>
      </c>
      <c r="V473" t="b">
        <f>IF(OR(CleanedSalesData[[#This Row],[Order Status]]="Cancelled", CleanedSalesData[[#This Row],[Order Status]]="Returned"), TRUE, FALSE)</f>
        <v>0</v>
      </c>
      <c r="W473" t="str" cm="1">
        <f t="array" ref="W47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4" spans="1:23" x14ac:dyDescent="0.35">
      <c r="A474" t="s">
        <v>614</v>
      </c>
      <c r="B474" s="7">
        <v>46153</v>
      </c>
      <c r="C474" t="s">
        <v>946</v>
      </c>
      <c r="D474">
        <v>5</v>
      </c>
      <c r="E474" t="s">
        <v>39</v>
      </c>
      <c r="F474" t="s">
        <v>40</v>
      </c>
      <c r="G474" t="s">
        <v>48</v>
      </c>
      <c r="H474" t="s">
        <v>33</v>
      </c>
      <c r="I474" t="s">
        <v>82</v>
      </c>
      <c r="J474" t="s">
        <v>83</v>
      </c>
      <c r="K474" t="s">
        <v>44</v>
      </c>
      <c r="L474">
        <v>2</v>
      </c>
      <c r="M474" s="10">
        <v>0.05</v>
      </c>
      <c r="O474" s="11">
        <v>1960000</v>
      </c>
      <c r="P474" s="11">
        <v>795000</v>
      </c>
      <c r="Q474" t="s">
        <v>45</v>
      </c>
      <c r="R474" t="b">
        <f>COUNTIF($A$6     : CleanedSalesData[[#This Row],[Order ID]], CleanedSalesData[[#This Row],[Order ID]])&gt;1</f>
        <v>0</v>
      </c>
      <c r="S474" t="b">
        <f>IF(ISBLANK(CleanedSalesData[[#This Row],[Quantity]]), TRUE, FALSE)</f>
        <v>0</v>
      </c>
      <c r="T474" t="b">
        <f>IF(ISBLANK(CleanedSalesData[[#This Row],[Order Date]]), TRUE, FALSE)</f>
        <v>0</v>
      </c>
      <c r="U474" t="b">
        <f>IF(ISBLANK(CleanedSalesData[[#This Row],[Revenue]]), TRUE, FALSE)</f>
        <v>1</v>
      </c>
      <c r="V474" t="b">
        <f>IF(OR(CleanedSalesData[[#This Row],[Order Status]]="Cancelled", CleanedSalesData[[#This Row],[Order Status]]="Returned"), TRUE, FALSE)</f>
        <v>0</v>
      </c>
      <c r="W474" t="str" cm="1">
        <f t="array" ref="W47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475" spans="1:23" x14ac:dyDescent="0.35">
      <c r="A475" t="s">
        <v>615</v>
      </c>
      <c r="B475" s="7">
        <v>46090</v>
      </c>
      <c r="C475" t="s">
        <v>947</v>
      </c>
      <c r="D475">
        <v>3</v>
      </c>
      <c r="E475" t="s">
        <v>95</v>
      </c>
      <c r="F475" t="s">
        <v>70</v>
      </c>
      <c r="G475" t="s">
        <v>32</v>
      </c>
      <c r="H475" t="s">
        <v>33</v>
      </c>
      <c r="I475" t="s">
        <v>86</v>
      </c>
      <c r="J475" t="s">
        <v>87</v>
      </c>
      <c r="K475" t="s">
        <v>36</v>
      </c>
      <c r="L475">
        <v>4</v>
      </c>
      <c r="M475" s="10">
        <v>0.05</v>
      </c>
      <c r="N475" s="11">
        <v>1330000</v>
      </c>
      <c r="O475" s="11">
        <v>840000</v>
      </c>
      <c r="P475" s="11">
        <v>490000</v>
      </c>
      <c r="Q475" t="s">
        <v>52</v>
      </c>
      <c r="R475" t="b">
        <f>COUNTIF($A$6     : CleanedSalesData[[#This Row],[Order ID]], CleanedSalesData[[#This Row],[Order ID]])&gt;1</f>
        <v>0</v>
      </c>
      <c r="S475" t="b">
        <f>IF(ISBLANK(CleanedSalesData[[#This Row],[Quantity]]), TRUE, FALSE)</f>
        <v>0</v>
      </c>
      <c r="T475" t="b">
        <f>IF(ISBLANK(CleanedSalesData[[#This Row],[Order Date]]), TRUE, FALSE)</f>
        <v>0</v>
      </c>
      <c r="U475" t="b">
        <f>IF(ISBLANK(CleanedSalesData[[#This Row],[Revenue]]), TRUE, FALSE)</f>
        <v>0</v>
      </c>
      <c r="V475" t="b">
        <f>IF(OR(CleanedSalesData[[#This Row],[Order Status]]="Cancelled", CleanedSalesData[[#This Row],[Order Status]]="Returned"), TRUE, FALSE)</f>
        <v>0</v>
      </c>
      <c r="W475" t="str" cm="1">
        <f t="array" ref="W47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6" spans="1:23" x14ac:dyDescent="0.35">
      <c r="A476" t="s">
        <v>617</v>
      </c>
      <c r="B476" s="7">
        <v>46076</v>
      </c>
      <c r="C476" t="s">
        <v>944</v>
      </c>
      <c r="D476">
        <v>2</v>
      </c>
      <c r="E476" t="s">
        <v>69</v>
      </c>
      <c r="F476" t="s">
        <v>40</v>
      </c>
      <c r="G476" t="s">
        <v>41</v>
      </c>
      <c r="H476" t="s">
        <v>33</v>
      </c>
      <c r="I476" t="s">
        <v>34</v>
      </c>
      <c r="J476" t="s">
        <v>35</v>
      </c>
      <c r="K476" t="s">
        <v>36</v>
      </c>
      <c r="L476">
        <v>8</v>
      </c>
      <c r="M476" s="10">
        <v>0.05</v>
      </c>
      <c r="N476" s="11">
        <v>3610000</v>
      </c>
      <c r="O476" s="11">
        <v>2280000</v>
      </c>
      <c r="P476" s="11">
        <v>1330000</v>
      </c>
      <c r="Q476" t="s">
        <v>52</v>
      </c>
      <c r="R476" t="b">
        <f>COUNTIF($A$6     : CleanedSalesData[[#This Row],[Order ID]], CleanedSalesData[[#This Row],[Order ID]])&gt;1</f>
        <v>0</v>
      </c>
      <c r="S476" t="b">
        <f>IF(ISBLANK(CleanedSalesData[[#This Row],[Quantity]]), TRUE, FALSE)</f>
        <v>0</v>
      </c>
      <c r="T476" t="b">
        <f>IF(ISBLANK(CleanedSalesData[[#This Row],[Order Date]]), TRUE, FALSE)</f>
        <v>0</v>
      </c>
      <c r="U476" t="b">
        <f>IF(ISBLANK(CleanedSalesData[[#This Row],[Revenue]]), TRUE, FALSE)</f>
        <v>0</v>
      </c>
      <c r="V476" t="b">
        <f>IF(OR(CleanedSalesData[[#This Row],[Order Status]]="Cancelled", CleanedSalesData[[#This Row],[Order Status]]="Returned"), TRUE, FALSE)</f>
        <v>0</v>
      </c>
      <c r="W476" t="str" cm="1">
        <f t="array" ref="W47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7" spans="1:23" x14ac:dyDescent="0.35">
      <c r="A477" t="s">
        <v>618</v>
      </c>
      <c r="B477" s="7">
        <v>46236</v>
      </c>
      <c r="C477" t="s">
        <v>950</v>
      </c>
      <c r="D477">
        <v>8</v>
      </c>
      <c r="E477" t="s">
        <v>39</v>
      </c>
      <c r="F477" t="s">
        <v>40</v>
      </c>
      <c r="G477" t="s">
        <v>81</v>
      </c>
      <c r="H477" t="s">
        <v>33</v>
      </c>
      <c r="I477" t="s">
        <v>42</v>
      </c>
      <c r="J477" t="s">
        <v>43</v>
      </c>
      <c r="K477" t="s">
        <v>44</v>
      </c>
      <c r="L477">
        <v>2</v>
      </c>
      <c r="M477" s="10">
        <v>0.1</v>
      </c>
      <c r="N477" s="11">
        <v>495000</v>
      </c>
      <c r="O477" s="11">
        <v>310000</v>
      </c>
      <c r="P477" s="11">
        <v>185000</v>
      </c>
      <c r="Q477" t="s">
        <v>52</v>
      </c>
      <c r="R477" t="b">
        <f>COUNTIF($A$6     : CleanedSalesData[[#This Row],[Order ID]], CleanedSalesData[[#This Row],[Order ID]])&gt;1</f>
        <v>0</v>
      </c>
      <c r="S477" t="b">
        <f>IF(ISBLANK(CleanedSalesData[[#This Row],[Quantity]]), TRUE, FALSE)</f>
        <v>0</v>
      </c>
      <c r="T477" t="b">
        <f>IF(ISBLANK(CleanedSalesData[[#This Row],[Order Date]]), TRUE, FALSE)</f>
        <v>0</v>
      </c>
      <c r="U477" t="b">
        <f>IF(ISBLANK(CleanedSalesData[[#This Row],[Revenue]]), TRUE, FALSE)</f>
        <v>0</v>
      </c>
      <c r="V477" t="b">
        <f>IF(OR(CleanedSalesData[[#This Row],[Order Status]]="Cancelled", CleanedSalesData[[#This Row],[Order Status]]="Returned"), TRUE, FALSE)</f>
        <v>0</v>
      </c>
      <c r="W477" t="str" cm="1">
        <f t="array" ref="W47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8" spans="1:23" x14ac:dyDescent="0.35">
      <c r="A478" t="s">
        <v>620</v>
      </c>
      <c r="B478" s="7">
        <v>46098</v>
      </c>
      <c r="C478" t="s">
        <v>947</v>
      </c>
      <c r="D478">
        <v>3</v>
      </c>
      <c r="E478" t="s">
        <v>76</v>
      </c>
      <c r="F478" t="s">
        <v>31</v>
      </c>
      <c r="G478" t="s">
        <v>41</v>
      </c>
      <c r="H478" t="s">
        <v>33</v>
      </c>
      <c r="I478" t="s">
        <v>49</v>
      </c>
      <c r="J478" t="s">
        <v>50</v>
      </c>
      <c r="K478" t="s">
        <v>51</v>
      </c>
      <c r="L478">
        <v>5</v>
      </c>
      <c r="M478" s="10">
        <v>0.08</v>
      </c>
      <c r="N478" s="11">
        <v>1127000</v>
      </c>
      <c r="O478" s="11">
        <v>725000</v>
      </c>
      <c r="P478" s="11">
        <v>402000</v>
      </c>
      <c r="Q478" t="s">
        <v>63</v>
      </c>
      <c r="R478" t="b">
        <f>COUNTIF($A$6     : CleanedSalesData[[#This Row],[Order ID]], CleanedSalesData[[#This Row],[Order ID]])&gt;1</f>
        <v>0</v>
      </c>
      <c r="S478" t="b">
        <f>IF(ISBLANK(CleanedSalesData[[#This Row],[Quantity]]), TRUE, FALSE)</f>
        <v>0</v>
      </c>
      <c r="T478" t="b">
        <f>IF(ISBLANK(CleanedSalesData[[#This Row],[Order Date]]), TRUE, FALSE)</f>
        <v>0</v>
      </c>
      <c r="U478" t="b">
        <f>IF(ISBLANK(CleanedSalesData[[#This Row],[Revenue]]), TRUE, FALSE)</f>
        <v>0</v>
      </c>
      <c r="V478" t="b">
        <f>IF(OR(CleanedSalesData[[#This Row],[Order Status]]="Cancelled", CleanedSalesData[[#This Row],[Order Status]]="Returned"), TRUE, FALSE)</f>
        <v>0</v>
      </c>
      <c r="W478" t="str" cm="1">
        <f t="array" ref="W47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79" spans="1:23" x14ac:dyDescent="0.35">
      <c r="A479" t="s">
        <v>621</v>
      </c>
      <c r="B479" s="7">
        <v>46196</v>
      </c>
      <c r="C479" t="s">
        <v>945</v>
      </c>
      <c r="D479">
        <v>6</v>
      </c>
      <c r="E479" t="s">
        <v>95</v>
      </c>
      <c r="F479" t="s">
        <v>40</v>
      </c>
      <c r="G479" t="s">
        <v>41</v>
      </c>
      <c r="H479" t="s">
        <v>33</v>
      </c>
      <c r="I479" t="s">
        <v>55</v>
      </c>
      <c r="J479" t="s">
        <v>56</v>
      </c>
      <c r="K479" t="s">
        <v>36</v>
      </c>
      <c r="L479">
        <v>6</v>
      </c>
      <c r="M479" s="10">
        <v>0.08</v>
      </c>
      <c r="N479" s="11">
        <v>10212000</v>
      </c>
      <c r="O479" s="11">
        <v>7920000</v>
      </c>
      <c r="P479" s="11">
        <v>2292000</v>
      </c>
      <c r="Q479" t="s">
        <v>84</v>
      </c>
      <c r="R479" t="b">
        <f>COUNTIF($A$6     : CleanedSalesData[[#This Row],[Order ID]], CleanedSalesData[[#This Row],[Order ID]])&gt;1</f>
        <v>0</v>
      </c>
      <c r="S479" t="b">
        <f>IF(ISBLANK(CleanedSalesData[[#This Row],[Quantity]]), TRUE, FALSE)</f>
        <v>0</v>
      </c>
      <c r="T479" t="b">
        <f>IF(ISBLANK(CleanedSalesData[[#This Row],[Order Date]]), TRUE, FALSE)</f>
        <v>0</v>
      </c>
      <c r="U479" t="b">
        <f>IF(ISBLANK(CleanedSalesData[[#This Row],[Revenue]]), TRUE, FALSE)</f>
        <v>0</v>
      </c>
      <c r="V479" t="b">
        <f>IF(OR(CleanedSalesData[[#This Row],[Order Status]]="Cancelled", CleanedSalesData[[#This Row],[Order Status]]="Returned"), TRUE, FALSE)</f>
        <v>0</v>
      </c>
      <c r="W479" t="str" cm="1">
        <f t="array" ref="W47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0" spans="1:23" x14ac:dyDescent="0.35">
      <c r="A480" t="s">
        <v>622</v>
      </c>
      <c r="B480" s="7">
        <v>46192</v>
      </c>
      <c r="C480" t="s">
        <v>945</v>
      </c>
      <c r="D480">
        <v>6</v>
      </c>
      <c r="E480" t="s">
        <v>69</v>
      </c>
      <c r="F480" t="s">
        <v>59</v>
      </c>
      <c r="G480" t="s">
        <v>81</v>
      </c>
      <c r="H480" t="s">
        <v>33</v>
      </c>
      <c r="I480" t="s">
        <v>60</v>
      </c>
      <c r="J480" t="s">
        <v>61</v>
      </c>
      <c r="K480" t="s">
        <v>62</v>
      </c>
      <c r="L480">
        <v>3</v>
      </c>
      <c r="M480" s="10">
        <v>0.05</v>
      </c>
      <c r="N480" s="11">
        <v>185250</v>
      </c>
      <c r="O480" s="11">
        <v>93000</v>
      </c>
      <c r="P480" s="11">
        <v>92250</v>
      </c>
      <c r="Q480" t="s">
        <v>63</v>
      </c>
      <c r="R480" t="b">
        <f>COUNTIF($A$6     : CleanedSalesData[[#This Row],[Order ID]], CleanedSalesData[[#This Row],[Order ID]])&gt;1</f>
        <v>0</v>
      </c>
      <c r="S480" t="b">
        <f>IF(ISBLANK(CleanedSalesData[[#This Row],[Quantity]]), TRUE, FALSE)</f>
        <v>0</v>
      </c>
      <c r="T480" t="b">
        <f>IF(ISBLANK(CleanedSalesData[[#This Row],[Order Date]]), TRUE, FALSE)</f>
        <v>0</v>
      </c>
      <c r="U480" t="b">
        <f>IF(ISBLANK(CleanedSalesData[[#This Row],[Revenue]]), TRUE, FALSE)</f>
        <v>0</v>
      </c>
      <c r="V480" t="b">
        <f>IF(OR(CleanedSalesData[[#This Row],[Order Status]]="Cancelled", CleanedSalesData[[#This Row],[Order Status]]="Returned"), TRUE, FALSE)</f>
        <v>0</v>
      </c>
      <c r="W480" t="str" cm="1">
        <f t="array" ref="W48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1" spans="1:23" x14ac:dyDescent="0.35">
      <c r="A481" t="s">
        <v>623</v>
      </c>
      <c r="B481" s="7">
        <v>46110</v>
      </c>
      <c r="C481" t="s">
        <v>947</v>
      </c>
      <c r="D481">
        <v>3</v>
      </c>
      <c r="E481" t="s">
        <v>65</v>
      </c>
      <c r="F481" t="s">
        <v>59</v>
      </c>
      <c r="G481" t="s">
        <v>81</v>
      </c>
      <c r="H481" t="s">
        <v>33</v>
      </c>
      <c r="I481" t="s">
        <v>66</v>
      </c>
      <c r="J481" t="s">
        <v>67</v>
      </c>
      <c r="K481" t="s">
        <v>51</v>
      </c>
      <c r="L481">
        <v>3</v>
      </c>
      <c r="M481" s="10">
        <v>0</v>
      </c>
      <c r="N481" s="11">
        <v>930000</v>
      </c>
      <c r="O481" s="11">
        <v>570000</v>
      </c>
      <c r="P481" s="11">
        <v>360000</v>
      </c>
      <c r="Q481" t="s">
        <v>52</v>
      </c>
      <c r="R481" t="b">
        <f>COUNTIF($A$6     : CleanedSalesData[[#This Row],[Order ID]], CleanedSalesData[[#This Row],[Order ID]])&gt;1</f>
        <v>0</v>
      </c>
      <c r="S481" t="b">
        <f>IF(ISBLANK(CleanedSalesData[[#This Row],[Quantity]]), TRUE, FALSE)</f>
        <v>0</v>
      </c>
      <c r="T481" t="b">
        <f>IF(ISBLANK(CleanedSalesData[[#This Row],[Order Date]]), TRUE, FALSE)</f>
        <v>0</v>
      </c>
      <c r="U481" t="b">
        <f>IF(ISBLANK(CleanedSalesData[[#This Row],[Revenue]]), TRUE, FALSE)</f>
        <v>0</v>
      </c>
      <c r="V481" t="b">
        <f>IF(OR(CleanedSalesData[[#This Row],[Order Status]]="Cancelled", CleanedSalesData[[#This Row],[Order Status]]="Returned"), TRUE, FALSE)</f>
        <v>0</v>
      </c>
      <c r="W481" t="str" cm="1">
        <f t="array" ref="W48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2" spans="1:23" x14ac:dyDescent="0.35">
      <c r="A482" t="s">
        <v>624</v>
      </c>
      <c r="B482" s="7">
        <v>46130</v>
      </c>
      <c r="C482" t="s">
        <v>949</v>
      </c>
      <c r="D482">
        <v>4</v>
      </c>
      <c r="E482" t="s">
        <v>69</v>
      </c>
      <c r="F482" t="s">
        <v>40</v>
      </c>
      <c r="G482" t="s">
        <v>32</v>
      </c>
      <c r="H482" t="s">
        <v>33</v>
      </c>
      <c r="I482" t="s">
        <v>71</v>
      </c>
      <c r="J482" t="s">
        <v>72</v>
      </c>
      <c r="K482" t="s">
        <v>73</v>
      </c>
      <c r="L482">
        <v>3</v>
      </c>
      <c r="M482" s="10">
        <v>0</v>
      </c>
      <c r="N482" s="11">
        <v>375000</v>
      </c>
      <c r="O482" s="11">
        <v>210000</v>
      </c>
      <c r="P482" s="11">
        <v>165000</v>
      </c>
      <c r="Q482" t="s">
        <v>93</v>
      </c>
      <c r="R482" t="b">
        <f>COUNTIF($A$6     : CleanedSalesData[[#This Row],[Order ID]], CleanedSalesData[[#This Row],[Order ID]])&gt;1</f>
        <v>0</v>
      </c>
      <c r="S482" t="b">
        <f>IF(ISBLANK(CleanedSalesData[[#This Row],[Quantity]]), TRUE, FALSE)</f>
        <v>0</v>
      </c>
      <c r="T482" t="b">
        <f>IF(ISBLANK(CleanedSalesData[[#This Row],[Order Date]]), TRUE, FALSE)</f>
        <v>0</v>
      </c>
      <c r="U482" t="b">
        <f>IF(ISBLANK(CleanedSalesData[[#This Row],[Revenue]]), TRUE, FALSE)</f>
        <v>0</v>
      </c>
      <c r="V482" t="b">
        <f>IF(OR(CleanedSalesData[[#This Row],[Order Status]]="Cancelled", CleanedSalesData[[#This Row],[Order Status]]="Returned"), TRUE, FALSE)</f>
        <v>0</v>
      </c>
      <c r="W482" t="str" cm="1">
        <f t="array" ref="W48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3" spans="1:23" x14ac:dyDescent="0.35">
      <c r="A483" t="s">
        <v>625</v>
      </c>
      <c r="B483" s="7">
        <v>46174</v>
      </c>
      <c r="C483" t="s">
        <v>945</v>
      </c>
      <c r="D483">
        <v>6</v>
      </c>
      <c r="E483" t="s">
        <v>54</v>
      </c>
      <c r="F483" t="s">
        <v>31</v>
      </c>
      <c r="G483" t="s">
        <v>48</v>
      </c>
      <c r="H483" t="s">
        <v>33</v>
      </c>
      <c r="I483" t="s">
        <v>78</v>
      </c>
      <c r="J483" t="s">
        <v>79</v>
      </c>
      <c r="K483" t="s">
        <v>62</v>
      </c>
      <c r="L483">
        <v>8</v>
      </c>
      <c r="M483" s="10">
        <v>0.1</v>
      </c>
      <c r="N483" s="11">
        <v>612000</v>
      </c>
      <c r="O483" s="11">
        <v>344000</v>
      </c>
      <c r="P483" s="11">
        <v>268000</v>
      </c>
      <c r="Q483" t="s">
        <v>74</v>
      </c>
      <c r="R483" t="b">
        <f>COUNTIF($A$6     : CleanedSalesData[[#This Row],[Order ID]], CleanedSalesData[[#This Row],[Order ID]])&gt;1</f>
        <v>0</v>
      </c>
      <c r="S483" t="b">
        <f>IF(ISBLANK(CleanedSalesData[[#This Row],[Quantity]]), TRUE, FALSE)</f>
        <v>0</v>
      </c>
      <c r="T483" t="b">
        <f>IF(ISBLANK(CleanedSalesData[[#This Row],[Order Date]]), TRUE, FALSE)</f>
        <v>0</v>
      </c>
      <c r="U483" t="b">
        <f>IF(ISBLANK(CleanedSalesData[[#This Row],[Revenue]]), TRUE, FALSE)</f>
        <v>0</v>
      </c>
      <c r="V483" t="b">
        <f>IF(OR(CleanedSalesData[[#This Row],[Order Status]]="Cancelled", CleanedSalesData[[#This Row],[Order Status]]="Returned"), TRUE, FALSE)</f>
        <v>0</v>
      </c>
      <c r="W483" t="str" cm="1">
        <f t="array" ref="W48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4" spans="1:23" x14ac:dyDescent="0.35">
      <c r="A484" t="s">
        <v>626</v>
      </c>
      <c r="B484" s="7">
        <v>46198</v>
      </c>
      <c r="C484" t="s">
        <v>945</v>
      </c>
      <c r="D484">
        <v>6</v>
      </c>
      <c r="E484" t="s">
        <v>95</v>
      </c>
      <c r="F484" t="s">
        <v>59</v>
      </c>
      <c r="G484" t="s">
        <v>48</v>
      </c>
      <c r="H484" t="s">
        <v>112</v>
      </c>
      <c r="I484" t="s">
        <v>82</v>
      </c>
      <c r="J484" t="s">
        <v>83</v>
      </c>
      <c r="K484" t="s">
        <v>44</v>
      </c>
      <c r="L484">
        <v>3</v>
      </c>
      <c r="M484" s="10">
        <v>0.08</v>
      </c>
      <c r="N484" s="11">
        <v>0</v>
      </c>
      <c r="O484" s="11">
        <v>2940000</v>
      </c>
      <c r="P484" s="11">
        <v>-2940000</v>
      </c>
      <c r="Q484" t="s">
        <v>37</v>
      </c>
      <c r="R484" t="b">
        <f>COUNTIF($A$6     : CleanedSalesData[[#This Row],[Order ID]], CleanedSalesData[[#This Row],[Order ID]])&gt;1</f>
        <v>0</v>
      </c>
      <c r="S484" t="b">
        <f>IF(ISBLANK(CleanedSalesData[[#This Row],[Quantity]]), TRUE, FALSE)</f>
        <v>0</v>
      </c>
      <c r="T484" t="b">
        <f>IF(ISBLANK(CleanedSalesData[[#This Row],[Order Date]]), TRUE, FALSE)</f>
        <v>0</v>
      </c>
      <c r="U484" t="b">
        <f>IF(ISBLANK(CleanedSalesData[[#This Row],[Revenue]]), TRUE, FALSE)</f>
        <v>0</v>
      </c>
      <c r="V484" t="b">
        <f>IF(OR(CleanedSalesData[[#This Row],[Order Status]]="Cancelled", CleanedSalesData[[#This Row],[Order Status]]="Returned"), TRUE, FALSE)</f>
        <v>1</v>
      </c>
      <c r="W484" t="str" cm="1">
        <f t="array" ref="W48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85" spans="1:23" x14ac:dyDescent="0.35">
      <c r="A485" t="s">
        <v>627</v>
      </c>
      <c r="B485" s="7">
        <v>46089</v>
      </c>
      <c r="C485" t="s">
        <v>947</v>
      </c>
      <c r="D485">
        <v>3</v>
      </c>
      <c r="E485" t="s">
        <v>54</v>
      </c>
      <c r="F485" t="s">
        <v>47</v>
      </c>
      <c r="G485" t="s">
        <v>32</v>
      </c>
      <c r="H485" t="s">
        <v>33</v>
      </c>
      <c r="I485" t="s">
        <v>86</v>
      </c>
      <c r="J485" t="s">
        <v>87</v>
      </c>
      <c r="K485" t="s">
        <v>36</v>
      </c>
      <c r="L485">
        <v>6</v>
      </c>
      <c r="M485" s="10">
        <v>0</v>
      </c>
      <c r="N485" s="11">
        <v>2100000</v>
      </c>
      <c r="O485" s="11">
        <v>1260000</v>
      </c>
      <c r="P485" s="11">
        <v>840000</v>
      </c>
      <c r="Q485" t="s">
        <v>37</v>
      </c>
      <c r="R485" t="b">
        <f>COUNTIF($A$6     : CleanedSalesData[[#This Row],[Order ID]], CleanedSalesData[[#This Row],[Order ID]])&gt;1</f>
        <v>0</v>
      </c>
      <c r="S485" t="b">
        <f>IF(ISBLANK(CleanedSalesData[[#This Row],[Quantity]]), TRUE, FALSE)</f>
        <v>0</v>
      </c>
      <c r="T485" t="b">
        <f>IF(ISBLANK(CleanedSalesData[[#This Row],[Order Date]]), TRUE, FALSE)</f>
        <v>0</v>
      </c>
      <c r="U485" t="b">
        <f>IF(ISBLANK(CleanedSalesData[[#This Row],[Revenue]]), TRUE, FALSE)</f>
        <v>0</v>
      </c>
      <c r="V485" t="b">
        <f>IF(OR(CleanedSalesData[[#This Row],[Order Status]]="Cancelled", CleanedSalesData[[#This Row],[Order Status]]="Returned"), TRUE, FALSE)</f>
        <v>0</v>
      </c>
      <c r="W485" t="str" cm="1">
        <f t="array" ref="W48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6" spans="1:23" x14ac:dyDescent="0.35">
      <c r="A486" t="s">
        <v>628</v>
      </c>
      <c r="B486" s="7">
        <v>46133</v>
      </c>
      <c r="C486" t="s">
        <v>949</v>
      </c>
      <c r="D486">
        <v>4</v>
      </c>
      <c r="E486" t="s">
        <v>95</v>
      </c>
      <c r="F486" t="s">
        <v>59</v>
      </c>
      <c r="G486" t="s">
        <v>32</v>
      </c>
      <c r="H486" t="s">
        <v>33</v>
      </c>
      <c r="I486" t="s">
        <v>34</v>
      </c>
      <c r="J486" t="s">
        <v>35</v>
      </c>
      <c r="K486" t="s">
        <v>36</v>
      </c>
      <c r="L486">
        <v>4</v>
      </c>
      <c r="M486" s="10">
        <v>0.08</v>
      </c>
      <c r="N486" s="11">
        <v>1748000</v>
      </c>
      <c r="O486" s="11">
        <v>1140000</v>
      </c>
      <c r="P486" s="11">
        <v>608000</v>
      </c>
      <c r="Q486" t="s">
        <v>74</v>
      </c>
      <c r="R486" t="b">
        <f>COUNTIF($A$6     : CleanedSalesData[[#This Row],[Order ID]], CleanedSalesData[[#This Row],[Order ID]])&gt;1</f>
        <v>0</v>
      </c>
      <c r="S486" t="b">
        <f>IF(ISBLANK(CleanedSalesData[[#This Row],[Quantity]]), TRUE, FALSE)</f>
        <v>0</v>
      </c>
      <c r="T486" t="b">
        <f>IF(ISBLANK(CleanedSalesData[[#This Row],[Order Date]]), TRUE, FALSE)</f>
        <v>0</v>
      </c>
      <c r="U486" t="b">
        <f>IF(ISBLANK(CleanedSalesData[[#This Row],[Revenue]]), TRUE, FALSE)</f>
        <v>0</v>
      </c>
      <c r="V486" t="b">
        <f>IF(OR(CleanedSalesData[[#This Row],[Order Status]]="Cancelled", CleanedSalesData[[#This Row],[Order Status]]="Returned"), TRUE, FALSE)</f>
        <v>0</v>
      </c>
      <c r="W486" t="str" cm="1">
        <f t="array" ref="W48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7" spans="1:23" x14ac:dyDescent="0.35">
      <c r="A487" t="s">
        <v>629</v>
      </c>
      <c r="B487" s="7">
        <v>46187</v>
      </c>
      <c r="C487" t="s">
        <v>945</v>
      </c>
      <c r="D487">
        <v>6</v>
      </c>
      <c r="E487" t="s">
        <v>69</v>
      </c>
      <c r="F487" t="s">
        <v>59</v>
      </c>
      <c r="G487" t="s">
        <v>32</v>
      </c>
      <c r="H487" t="s">
        <v>90</v>
      </c>
      <c r="I487" t="s">
        <v>42</v>
      </c>
      <c r="J487" t="s">
        <v>43</v>
      </c>
      <c r="K487" t="s">
        <v>44</v>
      </c>
      <c r="L487">
        <v>3</v>
      </c>
      <c r="M487" s="10">
        <v>0.1</v>
      </c>
      <c r="N487" s="11">
        <v>742500</v>
      </c>
      <c r="O487" s="11">
        <v>465000</v>
      </c>
      <c r="P487" s="11">
        <v>277500</v>
      </c>
      <c r="Q487" t="s">
        <v>52</v>
      </c>
      <c r="R487" t="b">
        <f>COUNTIF($A$6     : CleanedSalesData[[#This Row],[Order ID]], CleanedSalesData[[#This Row],[Order ID]])&gt;1</f>
        <v>0</v>
      </c>
      <c r="S487" t="b">
        <f>IF(ISBLANK(CleanedSalesData[[#This Row],[Quantity]]), TRUE, FALSE)</f>
        <v>0</v>
      </c>
      <c r="T487" t="b">
        <f>IF(ISBLANK(CleanedSalesData[[#This Row],[Order Date]]), TRUE, FALSE)</f>
        <v>0</v>
      </c>
      <c r="U487" t="b">
        <f>IF(ISBLANK(CleanedSalesData[[#This Row],[Revenue]]), TRUE, FALSE)</f>
        <v>0</v>
      </c>
      <c r="V487" t="b">
        <f>IF(OR(CleanedSalesData[[#This Row],[Order Status]]="Cancelled", CleanedSalesData[[#This Row],[Order Status]]="Returned"), TRUE, FALSE)</f>
        <v>0</v>
      </c>
      <c r="W487" t="str" cm="1">
        <f t="array" ref="W48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88" spans="1:23" x14ac:dyDescent="0.35">
      <c r="A488" t="s">
        <v>630</v>
      </c>
      <c r="B488" s="7">
        <v>46105</v>
      </c>
      <c r="C488" t="s">
        <v>947</v>
      </c>
      <c r="D488">
        <v>3</v>
      </c>
      <c r="E488" t="s">
        <v>65</v>
      </c>
      <c r="F488" t="s">
        <v>47</v>
      </c>
      <c r="G488" t="s">
        <v>32</v>
      </c>
      <c r="H488" t="s">
        <v>77</v>
      </c>
      <c r="I488" t="s">
        <v>49</v>
      </c>
      <c r="J488" t="s">
        <v>50</v>
      </c>
      <c r="K488" t="s">
        <v>51</v>
      </c>
      <c r="L488">
        <v>4</v>
      </c>
      <c r="M488" s="10">
        <v>0.05</v>
      </c>
      <c r="N488" s="11">
        <v>0</v>
      </c>
      <c r="O488" s="11">
        <v>580000</v>
      </c>
      <c r="P488" s="11">
        <v>-580000</v>
      </c>
      <c r="Q488" t="s">
        <v>93</v>
      </c>
      <c r="R488" t="b">
        <f>COUNTIF($A$6     : CleanedSalesData[[#This Row],[Order ID]], CleanedSalesData[[#This Row],[Order ID]])&gt;1</f>
        <v>0</v>
      </c>
      <c r="S488" t="b">
        <f>IF(ISBLANK(CleanedSalesData[[#This Row],[Quantity]]), TRUE, FALSE)</f>
        <v>0</v>
      </c>
      <c r="T488" t="b">
        <f>IF(ISBLANK(CleanedSalesData[[#This Row],[Order Date]]), TRUE, FALSE)</f>
        <v>0</v>
      </c>
      <c r="U488" t="b">
        <f>IF(ISBLANK(CleanedSalesData[[#This Row],[Revenue]]), TRUE, FALSE)</f>
        <v>0</v>
      </c>
      <c r="V488" t="b">
        <f>IF(OR(CleanedSalesData[[#This Row],[Order Status]]="Cancelled", CleanedSalesData[[#This Row],[Order Status]]="Returned"), TRUE, FALSE)</f>
        <v>1</v>
      </c>
      <c r="W488" t="str" cm="1">
        <f t="array" ref="W48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89" spans="1:23" x14ac:dyDescent="0.35">
      <c r="A489" t="s">
        <v>631</v>
      </c>
      <c r="B489" s="7">
        <v>46083</v>
      </c>
      <c r="C489" t="s">
        <v>947</v>
      </c>
      <c r="D489">
        <v>3</v>
      </c>
      <c r="E489" t="s">
        <v>69</v>
      </c>
      <c r="F489" t="s">
        <v>47</v>
      </c>
      <c r="G489" t="s">
        <v>48</v>
      </c>
      <c r="H489" t="s">
        <v>33</v>
      </c>
      <c r="I489" t="s">
        <v>55</v>
      </c>
      <c r="J489" t="s">
        <v>56</v>
      </c>
      <c r="K489" t="s">
        <v>36</v>
      </c>
      <c r="L489">
        <v>2</v>
      </c>
      <c r="M489" s="10">
        <v>0.08</v>
      </c>
      <c r="N489" s="11">
        <v>3404000</v>
      </c>
      <c r="O489" s="11">
        <v>2640000</v>
      </c>
      <c r="P489" s="11">
        <v>764000</v>
      </c>
      <c r="Q489" t="s">
        <v>52</v>
      </c>
      <c r="R489" t="b">
        <f>COUNTIF($A$6     : CleanedSalesData[[#This Row],[Order ID]], CleanedSalesData[[#This Row],[Order ID]])&gt;1</f>
        <v>0</v>
      </c>
      <c r="S489" t="b">
        <f>IF(ISBLANK(CleanedSalesData[[#This Row],[Quantity]]), TRUE, FALSE)</f>
        <v>0</v>
      </c>
      <c r="T489" t="b">
        <f>IF(ISBLANK(CleanedSalesData[[#This Row],[Order Date]]), TRUE, FALSE)</f>
        <v>0</v>
      </c>
      <c r="U489" t="b">
        <f>IF(ISBLANK(CleanedSalesData[[#This Row],[Revenue]]), TRUE, FALSE)</f>
        <v>0</v>
      </c>
      <c r="V489" t="b">
        <f>IF(OR(CleanedSalesData[[#This Row],[Order Status]]="Cancelled", CleanedSalesData[[#This Row],[Order Status]]="Returned"), TRUE, FALSE)</f>
        <v>0</v>
      </c>
      <c r="W489" t="str" cm="1">
        <f t="array" ref="W48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0" spans="1:23" x14ac:dyDescent="0.35">
      <c r="A490" t="s">
        <v>632</v>
      </c>
      <c r="B490" s="7">
        <v>46137</v>
      </c>
      <c r="C490" t="s">
        <v>949</v>
      </c>
      <c r="D490">
        <v>4</v>
      </c>
      <c r="E490" t="s">
        <v>65</v>
      </c>
      <c r="F490" t="s">
        <v>40</v>
      </c>
      <c r="G490" t="s">
        <v>41</v>
      </c>
      <c r="H490" t="s">
        <v>77</v>
      </c>
      <c r="I490" t="s">
        <v>60</v>
      </c>
      <c r="J490" t="s">
        <v>61</v>
      </c>
      <c r="K490" t="s">
        <v>62</v>
      </c>
      <c r="L490">
        <v>6</v>
      </c>
      <c r="M490" s="10">
        <v>0</v>
      </c>
      <c r="N490" s="11">
        <v>195000</v>
      </c>
      <c r="O490" s="11">
        <v>186000</v>
      </c>
      <c r="P490" s="11">
        <v>9000</v>
      </c>
      <c r="Q490" t="s">
        <v>93</v>
      </c>
      <c r="R490" t="b">
        <f>COUNTIF($A$6     : CleanedSalesData[[#This Row],[Order ID]], CleanedSalesData[[#This Row],[Order ID]])&gt;1</f>
        <v>0</v>
      </c>
      <c r="S490" t="b">
        <f>IF(ISBLANK(CleanedSalesData[[#This Row],[Quantity]]), TRUE, FALSE)</f>
        <v>0</v>
      </c>
      <c r="T490" t="b">
        <f>IF(ISBLANK(CleanedSalesData[[#This Row],[Order Date]]), TRUE, FALSE)</f>
        <v>0</v>
      </c>
      <c r="U490" t="b">
        <f>IF(ISBLANK(CleanedSalesData[[#This Row],[Revenue]]), TRUE, FALSE)</f>
        <v>0</v>
      </c>
      <c r="V490" t="b">
        <f>IF(OR(CleanedSalesData[[#This Row],[Order Status]]="Cancelled", CleanedSalesData[[#This Row],[Order Status]]="Returned"), TRUE, FALSE)</f>
        <v>1</v>
      </c>
      <c r="W490" t="str" cm="1">
        <f t="array" ref="W49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91" spans="1:23" x14ac:dyDescent="0.35">
      <c r="A491" t="s">
        <v>633</v>
      </c>
      <c r="B491" s="7">
        <v>46032</v>
      </c>
      <c r="C491" t="s">
        <v>948</v>
      </c>
      <c r="D491">
        <v>1</v>
      </c>
      <c r="E491" t="s">
        <v>39</v>
      </c>
      <c r="F491" t="s">
        <v>47</v>
      </c>
      <c r="G491" t="s">
        <v>81</v>
      </c>
      <c r="H491" t="s">
        <v>90</v>
      </c>
      <c r="I491" t="s">
        <v>66</v>
      </c>
      <c r="J491" t="s">
        <v>67</v>
      </c>
      <c r="K491" t="s">
        <v>51</v>
      </c>
      <c r="L491">
        <v>1</v>
      </c>
      <c r="M491" s="10">
        <v>0</v>
      </c>
      <c r="N491" s="11">
        <v>310000</v>
      </c>
      <c r="O491" s="11">
        <v>190000</v>
      </c>
      <c r="P491" s="11">
        <v>120000</v>
      </c>
      <c r="Q491" t="s">
        <v>52</v>
      </c>
      <c r="R491" t="b">
        <f>COUNTIF($A$6     : CleanedSalesData[[#This Row],[Order ID]], CleanedSalesData[[#This Row],[Order ID]])&gt;1</f>
        <v>0</v>
      </c>
      <c r="S491" t="b">
        <f>IF(ISBLANK(CleanedSalesData[[#This Row],[Quantity]]), TRUE, FALSE)</f>
        <v>0</v>
      </c>
      <c r="T491" t="b">
        <f>IF(ISBLANK(CleanedSalesData[[#This Row],[Order Date]]), TRUE, FALSE)</f>
        <v>0</v>
      </c>
      <c r="U491" t="b">
        <f>IF(ISBLANK(CleanedSalesData[[#This Row],[Revenue]]), TRUE, FALSE)</f>
        <v>0</v>
      </c>
      <c r="V491" t="b">
        <f>IF(OR(CleanedSalesData[[#This Row],[Order Status]]="Cancelled", CleanedSalesData[[#This Row],[Order Status]]="Returned"), TRUE, FALSE)</f>
        <v>0</v>
      </c>
      <c r="W491" t="str" cm="1">
        <f t="array" ref="W49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2" spans="1:23" x14ac:dyDescent="0.35">
      <c r="A492" t="s">
        <v>634</v>
      </c>
      <c r="B492" s="7">
        <v>46110</v>
      </c>
      <c r="C492" t="s">
        <v>947</v>
      </c>
      <c r="D492">
        <v>3</v>
      </c>
      <c r="E492" t="s">
        <v>111</v>
      </c>
      <c r="F492" t="s">
        <v>59</v>
      </c>
      <c r="G492" t="s">
        <v>81</v>
      </c>
      <c r="H492" t="s">
        <v>90</v>
      </c>
      <c r="I492" t="s">
        <v>71</v>
      </c>
      <c r="J492" t="s">
        <v>72</v>
      </c>
      <c r="K492" t="s">
        <v>73</v>
      </c>
      <c r="L492">
        <v>6</v>
      </c>
      <c r="M492" s="10">
        <v>0</v>
      </c>
      <c r="N492" s="11">
        <v>750000</v>
      </c>
      <c r="O492" s="11">
        <v>420000</v>
      </c>
      <c r="P492" s="11">
        <v>330000</v>
      </c>
      <c r="Q492" t="s">
        <v>63</v>
      </c>
      <c r="R492" t="b">
        <f>COUNTIF($A$6     : CleanedSalesData[[#This Row],[Order ID]], CleanedSalesData[[#This Row],[Order ID]])&gt;1</f>
        <v>0</v>
      </c>
      <c r="S492" t="b">
        <f>IF(ISBLANK(CleanedSalesData[[#This Row],[Quantity]]), TRUE, FALSE)</f>
        <v>0</v>
      </c>
      <c r="T492" t="b">
        <f>IF(ISBLANK(CleanedSalesData[[#This Row],[Order Date]]), TRUE, FALSE)</f>
        <v>0</v>
      </c>
      <c r="U492" t="b">
        <f>IF(ISBLANK(CleanedSalesData[[#This Row],[Revenue]]), TRUE, FALSE)</f>
        <v>0</v>
      </c>
      <c r="V492" t="b">
        <f>IF(OR(CleanedSalesData[[#This Row],[Order Status]]="Cancelled", CleanedSalesData[[#This Row],[Order Status]]="Returned"), TRUE, FALSE)</f>
        <v>0</v>
      </c>
      <c r="W492" t="str" cm="1">
        <f t="array" ref="W49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3" spans="1:23" x14ac:dyDescent="0.35">
      <c r="A493" t="s">
        <v>635</v>
      </c>
      <c r="B493" s="7">
        <v>46138</v>
      </c>
      <c r="C493" t="s">
        <v>949</v>
      </c>
      <c r="D493">
        <v>4</v>
      </c>
      <c r="E493" t="s">
        <v>54</v>
      </c>
      <c r="F493" t="s">
        <v>31</v>
      </c>
      <c r="G493" t="s">
        <v>41</v>
      </c>
      <c r="H493" t="s">
        <v>33</v>
      </c>
      <c r="I493" t="s">
        <v>78</v>
      </c>
      <c r="J493" t="s">
        <v>79</v>
      </c>
      <c r="K493" t="s">
        <v>62</v>
      </c>
      <c r="L493">
        <v>2</v>
      </c>
      <c r="M493" s="10">
        <v>0</v>
      </c>
      <c r="N493" s="11">
        <v>170000</v>
      </c>
      <c r="O493" s="11">
        <v>86000</v>
      </c>
      <c r="P493" s="11">
        <v>84000</v>
      </c>
      <c r="Q493" t="s">
        <v>63</v>
      </c>
      <c r="R493" t="b">
        <f>COUNTIF($A$6     : CleanedSalesData[[#This Row],[Order ID]], CleanedSalesData[[#This Row],[Order ID]])&gt;1</f>
        <v>0</v>
      </c>
      <c r="S493" t="b">
        <f>IF(ISBLANK(CleanedSalesData[[#This Row],[Quantity]]), TRUE, FALSE)</f>
        <v>0</v>
      </c>
      <c r="T493" t="b">
        <f>IF(ISBLANK(CleanedSalesData[[#This Row],[Order Date]]), TRUE, FALSE)</f>
        <v>0</v>
      </c>
      <c r="U493" t="b">
        <f>IF(ISBLANK(CleanedSalesData[[#This Row],[Revenue]]), TRUE, FALSE)</f>
        <v>0</v>
      </c>
      <c r="V493" t="b">
        <f>IF(OR(CleanedSalesData[[#This Row],[Order Status]]="Cancelled", CleanedSalesData[[#This Row],[Order Status]]="Returned"), TRUE, FALSE)</f>
        <v>0</v>
      </c>
      <c r="W493" t="str" cm="1">
        <f t="array" ref="W49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4" spans="1:23" x14ac:dyDescent="0.35">
      <c r="A494" t="s">
        <v>636</v>
      </c>
      <c r="B494" s="7">
        <v>46185</v>
      </c>
      <c r="C494" t="s">
        <v>945</v>
      </c>
      <c r="D494">
        <v>6</v>
      </c>
      <c r="E494" t="s">
        <v>30</v>
      </c>
      <c r="F494" t="s">
        <v>40</v>
      </c>
      <c r="G494" t="s">
        <v>41</v>
      </c>
      <c r="H494" t="s">
        <v>33</v>
      </c>
      <c r="I494" t="s">
        <v>82</v>
      </c>
      <c r="J494" t="s">
        <v>83</v>
      </c>
      <c r="K494" t="s">
        <v>44</v>
      </c>
      <c r="L494">
        <v>5</v>
      </c>
      <c r="M494" s="10">
        <v>0.1</v>
      </c>
      <c r="N494" s="11">
        <v>6525000</v>
      </c>
      <c r="O494" s="11">
        <v>4900000</v>
      </c>
      <c r="P494" s="11">
        <v>1625000</v>
      </c>
      <c r="Q494" t="s">
        <v>52</v>
      </c>
      <c r="R494" t="b">
        <f>COUNTIF($A$6     : CleanedSalesData[[#This Row],[Order ID]], CleanedSalesData[[#This Row],[Order ID]])&gt;1</f>
        <v>0</v>
      </c>
      <c r="S494" t="b">
        <f>IF(ISBLANK(CleanedSalesData[[#This Row],[Quantity]]), TRUE, FALSE)</f>
        <v>0</v>
      </c>
      <c r="T494" t="b">
        <f>IF(ISBLANK(CleanedSalesData[[#This Row],[Order Date]]), TRUE, FALSE)</f>
        <v>0</v>
      </c>
      <c r="U494" t="b">
        <f>IF(ISBLANK(CleanedSalesData[[#This Row],[Revenue]]), TRUE, FALSE)</f>
        <v>0</v>
      </c>
      <c r="V494" t="b">
        <f>IF(OR(CleanedSalesData[[#This Row],[Order Status]]="Cancelled", CleanedSalesData[[#This Row],[Order Status]]="Returned"), TRUE, FALSE)</f>
        <v>0</v>
      </c>
      <c r="W494" t="str" cm="1">
        <f t="array" ref="W49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5" spans="1:23" x14ac:dyDescent="0.35">
      <c r="A495" t="s">
        <v>637</v>
      </c>
      <c r="B495" s="7">
        <v>46058</v>
      </c>
      <c r="C495" t="s">
        <v>944</v>
      </c>
      <c r="D495">
        <v>2</v>
      </c>
      <c r="E495" t="s">
        <v>69</v>
      </c>
      <c r="F495" t="s">
        <v>31</v>
      </c>
      <c r="G495" t="s">
        <v>32</v>
      </c>
      <c r="H495" t="s">
        <v>33</v>
      </c>
      <c r="I495" t="s">
        <v>86</v>
      </c>
      <c r="J495" t="s">
        <v>87</v>
      </c>
      <c r="K495" t="s">
        <v>36</v>
      </c>
      <c r="L495">
        <v>7</v>
      </c>
      <c r="M495" s="10">
        <v>0</v>
      </c>
      <c r="N495" s="11">
        <v>2450000</v>
      </c>
      <c r="O495" s="11">
        <v>1470000</v>
      </c>
      <c r="P495" s="11">
        <v>980000</v>
      </c>
      <c r="Q495" t="s">
        <v>93</v>
      </c>
      <c r="R495" t="b">
        <f>COUNTIF($A$6     : CleanedSalesData[[#This Row],[Order ID]], CleanedSalesData[[#This Row],[Order ID]])&gt;1</f>
        <v>0</v>
      </c>
      <c r="S495" t="b">
        <f>IF(ISBLANK(CleanedSalesData[[#This Row],[Quantity]]), TRUE, FALSE)</f>
        <v>0</v>
      </c>
      <c r="T495" t="b">
        <f>IF(ISBLANK(CleanedSalesData[[#This Row],[Order Date]]), TRUE, FALSE)</f>
        <v>0</v>
      </c>
      <c r="U495" t="b">
        <f>IF(ISBLANK(CleanedSalesData[[#This Row],[Revenue]]), TRUE, FALSE)</f>
        <v>0</v>
      </c>
      <c r="V495" t="b">
        <f>IF(OR(CleanedSalesData[[#This Row],[Order Status]]="Cancelled", CleanedSalesData[[#This Row],[Order Status]]="Returned"), TRUE, FALSE)</f>
        <v>0</v>
      </c>
      <c r="W495" t="str" cm="1">
        <f t="array" ref="W49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6" spans="1:23" x14ac:dyDescent="0.35">
      <c r="A496" t="s">
        <v>638</v>
      </c>
      <c r="B496" s="7">
        <v>46078</v>
      </c>
      <c r="C496" t="s">
        <v>944</v>
      </c>
      <c r="D496">
        <v>2</v>
      </c>
      <c r="E496" t="s">
        <v>95</v>
      </c>
      <c r="F496" t="s">
        <v>40</v>
      </c>
      <c r="G496" t="s">
        <v>48</v>
      </c>
      <c r="H496" t="s">
        <v>33</v>
      </c>
      <c r="I496" t="s">
        <v>34</v>
      </c>
      <c r="J496" t="s">
        <v>35</v>
      </c>
      <c r="K496" t="s">
        <v>36</v>
      </c>
      <c r="L496">
        <v>8</v>
      </c>
      <c r="M496" s="10">
        <v>0.03</v>
      </c>
      <c r="N496" s="11">
        <v>3686000</v>
      </c>
      <c r="O496" s="11">
        <v>2280000</v>
      </c>
      <c r="P496" s="11">
        <v>1406000</v>
      </c>
      <c r="Q496" t="s">
        <v>37</v>
      </c>
      <c r="R496" t="b">
        <f>COUNTIF($A$6     : CleanedSalesData[[#This Row],[Order ID]], CleanedSalesData[[#This Row],[Order ID]])&gt;1</f>
        <v>0</v>
      </c>
      <c r="S496" t="b">
        <f>IF(ISBLANK(CleanedSalesData[[#This Row],[Quantity]]), TRUE, FALSE)</f>
        <v>0</v>
      </c>
      <c r="T496" t="b">
        <f>IF(ISBLANK(CleanedSalesData[[#This Row],[Order Date]]), TRUE, FALSE)</f>
        <v>0</v>
      </c>
      <c r="U496" t="b">
        <f>IF(ISBLANK(CleanedSalesData[[#This Row],[Revenue]]), TRUE, FALSE)</f>
        <v>0</v>
      </c>
      <c r="V496" t="b">
        <f>IF(OR(CleanedSalesData[[#This Row],[Order Status]]="Cancelled", CleanedSalesData[[#This Row],[Order Status]]="Returned"), TRUE, FALSE)</f>
        <v>0</v>
      </c>
      <c r="W496" t="str" cm="1">
        <f t="array" ref="W49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7" spans="1:23" x14ac:dyDescent="0.35">
      <c r="A497" t="s">
        <v>639</v>
      </c>
      <c r="B497" s="7">
        <v>46138</v>
      </c>
      <c r="C497" t="s">
        <v>949</v>
      </c>
      <c r="D497">
        <v>4</v>
      </c>
      <c r="E497" t="s">
        <v>111</v>
      </c>
      <c r="F497" t="s">
        <v>47</v>
      </c>
      <c r="G497" t="s">
        <v>32</v>
      </c>
      <c r="H497" t="s">
        <v>33</v>
      </c>
      <c r="I497" t="s">
        <v>42</v>
      </c>
      <c r="J497" t="s">
        <v>43</v>
      </c>
      <c r="K497" t="s">
        <v>44</v>
      </c>
      <c r="L497">
        <v>8</v>
      </c>
      <c r="M497" s="10">
        <v>0.15</v>
      </c>
      <c r="N497" s="11">
        <v>1870000</v>
      </c>
      <c r="O497" s="11">
        <v>1240000</v>
      </c>
      <c r="P497" s="11">
        <v>630000</v>
      </c>
      <c r="Q497" t="s">
        <v>74</v>
      </c>
      <c r="R497" t="b">
        <f>COUNTIF($A$6     : CleanedSalesData[[#This Row],[Order ID]], CleanedSalesData[[#This Row],[Order ID]])&gt;1</f>
        <v>0</v>
      </c>
      <c r="S497" t="b">
        <f>IF(ISBLANK(CleanedSalesData[[#This Row],[Quantity]]), TRUE, FALSE)</f>
        <v>0</v>
      </c>
      <c r="T497" t="b">
        <f>IF(ISBLANK(CleanedSalesData[[#This Row],[Order Date]]), TRUE, FALSE)</f>
        <v>0</v>
      </c>
      <c r="U497" t="b">
        <f>IF(ISBLANK(CleanedSalesData[[#This Row],[Revenue]]), TRUE, FALSE)</f>
        <v>0</v>
      </c>
      <c r="V497" t="b">
        <f>IF(OR(CleanedSalesData[[#This Row],[Order Status]]="Cancelled", CleanedSalesData[[#This Row],[Order Status]]="Returned"), TRUE, FALSE)</f>
        <v>0</v>
      </c>
      <c r="W497" t="str" cm="1">
        <f t="array" ref="W49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498" spans="1:23" x14ac:dyDescent="0.35">
      <c r="A498" t="s">
        <v>641</v>
      </c>
      <c r="B498" s="7">
        <v>46158</v>
      </c>
      <c r="C498" t="s">
        <v>946</v>
      </c>
      <c r="D498">
        <v>5</v>
      </c>
      <c r="E498" t="s">
        <v>30</v>
      </c>
      <c r="F498" t="s">
        <v>59</v>
      </c>
      <c r="G498" t="s">
        <v>32</v>
      </c>
      <c r="H498" t="s">
        <v>112</v>
      </c>
      <c r="I498" t="s">
        <v>49</v>
      </c>
      <c r="J498" t="s">
        <v>50</v>
      </c>
      <c r="K498" t="s">
        <v>51</v>
      </c>
      <c r="L498">
        <v>1</v>
      </c>
      <c r="M498" s="10">
        <v>0.1</v>
      </c>
      <c r="N498" s="11">
        <v>110250</v>
      </c>
      <c r="O498" s="11">
        <v>145000</v>
      </c>
      <c r="P498" s="11">
        <v>-34750</v>
      </c>
      <c r="Q498" t="s">
        <v>84</v>
      </c>
      <c r="R498" t="b">
        <f>COUNTIF($A$6     : CleanedSalesData[[#This Row],[Order ID]], CleanedSalesData[[#This Row],[Order ID]])&gt;1</f>
        <v>0</v>
      </c>
      <c r="S498" t="b">
        <f>IF(ISBLANK(CleanedSalesData[[#This Row],[Quantity]]), TRUE, FALSE)</f>
        <v>0</v>
      </c>
      <c r="T498" t="b">
        <f>IF(ISBLANK(CleanedSalesData[[#This Row],[Order Date]]), TRUE, FALSE)</f>
        <v>0</v>
      </c>
      <c r="U498" t="b">
        <f>IF(ISBLANK(CleanedSalesData[[#This Row],[Revenue]]), TRUE, FALSE)</f>
        <v>0</v>
      </c>
      <c r="V498" t="b">
        <f>IF(OR(CleanedSalesData[[#This Row],[Order Status]]="Cancelled", CleanedSalesData[[#This Row],[Order Status]]="Returned"), TRUE, FALSE)</f>
        <v>1</v>
      </c>
      <c r="W498" t="str" cm="1">
        <f t="array" ref="W49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499" spans="1:23" x14ac:dyDescent="0.35">
      <c r="A499" t="s">
        <v>642</v>
      </c>
      <c r="B499" s="7">
        <v>46049</v>
      </c>
      <c r="C499" t="s">
        <v>948</v>
      </c>
      <c r="D499">
        <v>1</v>
      </c>
      <c r="E499" t="s">
        <v>65</v>
      </c>
      <c r="F499" t="s">
        <v>70</v>
      </c>
      <c r="G499" t="s">
        <v>48</v>
      </c>
      <c r="H499" t="s">
        <v>33</v>
      </c>
      <c r="I499" t="s">
        <v>55</v>
      </c>
      <c r="J499" t="s">
        <v>56</v>
      </c>
      <c r="K499" t="s">
        <v>36</v>
      </c>
      <c r="L499">
        <v>7</v>
      </c>
      <c r="M499" s="10">
        <v>0.15</v>
      </c>
      <c r="N499" s="11">
        <v>11007500</v>
      </c>
      <c r="O499" s="11">
        <v>9240000</v>
      </c>
      <c r="P499" s="11">
        <v>1767500</v>
      </c>
      <c r="Q499" t="s">
        <v>45</v>
      </c>
      <c r="R499" t="b">
        <f>COUNTIF($A$6     : CleanedSalesData[[#This Row],[Order ID]], CleanedSalesData[[#This Row],[Order ID]])&gt;1</f>
        <v>0</v>
      </c>
      <c r="S499" t="b">
        <f>IF(ISBLANK(CleanedSalesData[[#This Row],[Quantity]]), TRUE, FALSE)</f>
        <v>0</v>
      </c>
      <c r="T499" t="b">
        <f>IF(ISBLANK(CleanedSalesData[[#This Row],[Order Date]]), TRUE, FALSE)</f>
        <v>0</v>
      </c>
      <c r="U499" t="b">
        <f>IF(ISBLANK(CleanedSalesData[[#This Row],[Revenue]]), TRUE, FALSE)</f>
        <v>0</v>
      </c>
      <c r="V499" t="b">
        <f>IF(OR(CleanedSalesData[[#This Row],[Order Status]]="Cancelled", CleanedSalesData[[#This Row],[Order Status]]="Returned"), TRUE, FALSE)</f>
        <v>0</v>
      </c>
      <c r="W499" t="str" cm="1">
        <f t="array" ref="W49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0" spans="1:23" x14ac:dyDescent="0.35">
      <c r="A500" t="s">
        <v>643</v>
      </c>
      <c r="B500" s="7">
        <v>46093</v>
      </c>
      <c r="C500" t="s">
        <v>947</v>
      </c>
      <c r="D500">
        <v>3</v>
      </c>
      <c r="E500" t="s">
        <v>65</v>
      </c>
      <c r="F500" t="s">
        <v>31</v>
      </c>
      <c r="G500" t="s">
        <v>32</v>
      </c>
      <c r="H500" t="s">
        <v>77</v>
      </c>
      <c r="I500" t="s">
        <v>60</v>
      </c>
      <c r="J500" t="s">
        <v>61</v>
      </c>
      <c r="K500" t="s">
        <v>62</v>
      </c>
      <c r="L500">
        <v>7</v>
      </c>
      <c r="M500" s="10">
        <v>0.05</v>
      </c>
      <c r="N500" s="11">
        <v>108062</v>
      </c>
      <c r="O500" s="11">
        <v>217000</v>
      </c>
      <c r="P500" s="11">
        <v>-108938</v>
      </c>
      <c r="Q500" t="s">
        <v>57</v>
      </c>
      <c r="R500" t="b">
        <f>COUNTIF($A$6     : CleanedSalesData[[#This Row],[Order ID]], CleanedSalesData[[#This Row],[Order ID]])&gt;1</f>
        <v>0</v>
      </c>
      <c r="S500" t="b">
        <f>IF(ISBLANK(CleanedSalesData[[#This Row],[Quantity]]), TRUE, FALSE)</f>
        <v>0</v>
      </c>
      <c r="T500" t="b">
        <f>IF(ISBLANK(CleanedSalesData[[#This Row],[Order Date]]), TRUE, FALSE)</f>
        <v>0</v>
      </c>
      <c r="U500" t="b">
        <f>IF(ISBLANK(CleanedSalesData[[#This Row],[Revenue]]), TRUE, FALSE)</f>
        <v>0</v>
      </c>
      <c r="V500" t="b">
        <f>IF(OR(CleanedSalesData[[#This Row],[Order Status]]="Cancelled", CleanedSalesData[[#This Row],[Order Status]]="Returned"), TRUE, FALSE)</f>
        <v>1</v>
      </c>
      <c r="W500" t="str" cm="1">
        <f t="array" ref="W50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01" spans="1:23" x14ac:dyDescent="0.35">
      <c r="A501" t="s">
        <v>644</v>
      </c>
      <c r="B501" s="7">
        <v>46202</v>
      </c>
      <c r="C501" t="s">
        <v>945</v>
      </c>
      <c r="D501">
        <v>6</v>
      </c>
      <c r="E501" t="s">
        <v>39</v>
      </c>
      <c r="F501" t="s">
        <v>47</v>
      </c>
      <c r="G501" t="s">
        <v>32</v>
      </c>
      <c r="H501" t="s">
        <v>33</v>
      </c>
      <c r="I501" t="s">
        <v>66</v>
      </c>
      <c r="J501" t="s">
        <v>67</v>
      </c>
      <c r="K501" t="s">
        <v>51</v>
      </c>
      <c r="L501">
        <v>6</v>
      </c>
      <c r="M501" s="10">
        <v>0.15</v>
      </c>
      <c r="N501" s="11">
        <v>1581000</v>
      </c>
      <c r="O501" s="11">
        <v>1140000</v>
      </c>
      <c r="P501" s="11">
        <v>441000</v>
      </c>
      <c r="Q501" t="s">
        <v>45</v>
      </c>
      <c r="R501" t="b">
        <f>COUNTIF($A$6     : CleanedSalesData[[#This Row],[Order ID]], CleanedSalesData[[#This Row],[Order ID]])&gt;1</f>
        <v>0</v>
      </c>
      <c r="S501" t="b">
        <f>IF(ISBLANK(CleanedSalesData[[#This Row],[Quantity]]), TRUE, FALSE)</f>
        <v>0</v>
      </c>
      <c r="T501" t="b">
        <f>IF(ISBLANK(CleanedSalesData[[#This Row],[Order Date]]), TRUE, FALSE)</f>
        <v>0</v>
      </c>
      <c r="U501" t="b">
        <f>IF(ISBLANK(CleanedSalesData[[#This Row],[Revenue]]), TRUE, FALSE)</f>
        <v>0</v>
      </c>
      <c r="V501" t="b">
        <f>IF(OR(CleanedSalesData[[#This Row],[Order Status]]="Cancelled", CleanedSalesData[[#This Row],[Order Status]]="Returned"), TRUE, FALSE)</f>
        <v>0</v>
      </c>
      <c r="W501" t="str" cm="1">
        <f t="array" ref="W50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2" spans="1:23" x14ac:dyDescent="0.35">
      <c r="A502" t="s">
        <v>645</v>
      </c>
      <c r="B502" s="7">
        <v>46182</v>
      </c>
      <c r="C502" t="s">
        <v>945</v>
      </c>
      <c r="D502">
        <v>6</v>
      </c>
      <c r="E502" t="s">
        <v>54</v>
      </c>
      <c r="F502" t="s">
        <v>31</v>
      </c>
      <c r="G502" t="s">
        <v>32</v>
      </c>
      <c r="H502" t="s">
        <v>33</v>
      </c>
      <c r="I502" t="s">
        <v>646</v>
      </c>
      <c r="J502" t="s">
        <v>72</v>
      </c>
      <c r="K502" t="s">
        <v>73</v>
      </c>
      <c r="L502">
        <v>5</v>
      </c>
      <c r="M502" s="10">
        <v>0.15</v>
      </c>
      <c r="N502" s="11">
        <v>531250</v>
      </c>
      <c r="O502" s="11">
        <v>350000</v>
      </c>
      <c r="P502" s="11">
        <v>181250</v>
      </c>
      <c r="Q502" t="s">
        <v>37</v>
      </c>
      <c r="R502" t="b">
        <f>COUNTIF($A$6     : CleanedSalesData[[#This Row],[Order ID]], CleanedSalesData[[#This Row],[Order ID]])&gt;1</f>
        <v>0</v>
      </c>
      <c r="S502" t="b">
        <f>IF(ISBLANK(CleanedSalesData[[#This Row],[Quantity]]), TRUE, FALSE)</f>
        <v>0</v>
      </c>
      <c r="T502" t="b">
        <f>IF(ISBLANK(CleanedSalesData[[#This Row],[Order Date]]), TRUE, FALSE)</f>
        <v>0</v>
      </c>
      <c r="U502" t="b">
        <f>IF(ISBLANK(CleanedSalesData[[#This Row],[Revenue]]), TRUE, FALSE)</f>
        <v>0</v>
      </c>
      <c r="V502" t="b">
        <f>IF(OR(CleanedSalesData[[#This Row],[Order Status]]="Cancelled", CleanedSalesData[[#This Row],[Order Status]]="Returned"), TRUE, FALSE)</f>
        <v>0</v>
      </c>
      <c r="W502" t="str" cm="1">
        <f t="array" ref="W50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3" spans="1:23" x14ac:dyDescent="0.35">
      <c r="A503" t="s">
        <v>647</v>
      </c>
      <c r="E503" t="s">
        <v>65</v>
      </c>
      <c r="F503" t="s">
        <v>59</v>
      </c>
      <c r="G503" t="s">
        <v>81</v>
      </c>
      <c r="H503" t="s">
        <v>33</v>
      </c>
      <c r="I503" t="s">
        <v>78</v>
      </c>
      <c r="J503" t="s">
        <v>79</v>
      </c>
      <c r="K503" t="s">
        <v>62</v>
      </c>
      <c r="L503">
        <v>8</v>
      </c>
      <c r="M503" s="10">
        <v>0.1</v>
      </c>
      <c r="N503" s="11">
        <v>612000</v>
      </c>
      <c r="O503" s="11">
        <v>344000</v>
      </c>
      <c r="P503" s="11">
        <v>268000</v>
      </c>
      <c r="Q503" t="s">
        <v>74</v>
      </c>
      <c r="R503" t="b">
        <f>COUNTIF($A$6     : CleanedSalesData[[#This Row],[Order ID]], CleanedSalesData[[#This Row],[Order ID]])&gt;1</f>
        <v>0</v>
      </c>
      <c r="S503" t="b">
        <f>IF(ISBLANK(CleanedSalesData[[#This Row],[Quantity]]), TRUE, FALSE)</f>
        <v>0</v>
      </c>
      <c r="T503" t="b">
        <f>IF(ISBLANK(CleanedSalesData[[#This Row],[Order Date]]), TRUE, FALSE)</f>
        <v>1</v>
      </c>
      <c r="U503" t="b">
        <f>IF(ISBLANK(CleanedSalesData[[#This Row],[Revenue]]), TRUE, FALSE)</f>
        <v>0</v>
      </c>
      <c r="V503" t="b">
        <f>IF(OR(CleanedSalesData[[#This Row],[Order Status]]="Cancelled", CleanedSalesData[[#This Row],[Order Status]]="Returned"), TRUE, FALSE)</f>
        <v>0</v>
      </c>
      <c r="W503" t="str" cm="1">
        <f t="array" ref="W50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Date</v>
      </c>
    </row>
    <row r="504" spans="1:23" x14ac:dyDescent="0.35">
      <c r="A504" t="s">
        <v>648</v>
      </c>
      <c r="B504" s="7">
        <v>46156</v>
      </c>
      <c r="C504" t="s">
        <v>946</v>
      </c>
      <c r="D504">
        <v>5</v>
      </c>
      <c r="E504" t="s">
        <v>39</v>
      </c>
      <c r="F504" t="s">
        <v>40</v>
      </c>
      <c r="G504" t="s">
        <v>41</v>
      </c>
      <c r="H504" t="s">
        <v>33</v>
      </c>
      <c r="I504" t="s">
        <v>82</v>
      </c>
      <c r="J504" t="s">
        <v>83</v>
      </c>
      <c r="K504" t="s">
        <v>44</v>
      </c>
      <c r="L504">
        <v>2</v>
      </c>
      <c r="M504" s="10">
        <v>0</v>
      </c>
      <c r="N504" s="11">
        <v>2900000</v>
      </c>
      <c r="O504" s="11">
        <v>1960000</v>
      </c>
      <c r="P504" s="11">
        <v>940000</v>
      </c>
      <c r="Q504" t="s">
        <v>57</v>
      </c>
      <c r="R504" t="b">
        <f>COUNTIF($A$6     : CleanedSalesData[[#This Row],[Order ID]], CleanedSalesData[[#This Row],[Order ID]])&gt;1</f>
        <v>0</v>
      </c>
      <c r="S504" t="b">
        <f>IF(ISBLANK(CleanedSalesData[[#This Row],[Quantity]]), TRUE, FALSE)</f>
        <v>0</v>
      </c>
      <c r="T504" t="b">
        <f>IF(ISBLANK(CleanedSalesData[[#This Row],[Order Date]]), TRUE, FALSE)</f>
        <v>0</v>
      </c>
      <c r="U504" t="b">
        <f>IF(ISBLANK(CleanedSalesData[[#This Row],[Revenue]]), TRUE, FALSE)</f>
        <v>0</v>
      </c>
      <c r="V504" t="b">
        <f>IF(OR(CleanedSalesData[[#This Row],[Order Status]]="Cancelled", CleanedSalesData[[#This Row],[Order Status]]="Returned"), TRUE, FALSE)</f>
        <v>0</v>
      </c>
      <c r="W504" t="str" cm="1">
        <f t="array" ref="W50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5" spans="1:23" x14ac:dyDescent="0.35">
      <c r="A505" t="s">
        <v>649</v>
      </c>
      <c r="B505" s="7">
        <v>46064</v>
      </c>
      <c r="C505" t="s">
        <v>944</v>
      </c>
      <c r="D505">
        <v>2</v>
      </c>
      <c r="E505" t="s">
        <v>39</v>
      </c>
      <c r="F505" t="s">
        <v>40</v>
      </c>
      <c r="G505" t="s">
        <v>81</v>
      </c>
      <c r="H505" t="s">
        <v>33</v>
      </c>
      <c r="I505" t="s">
        <v>86</v>
      </c>
      <c r="J505" t="s">
        <v>87</v>
      </c>
      <c r="K505" t="s">
        <v>36</v>
      </c>
      <c r="L505">
        <v>5</v>
      </c>
      <c r="M505" s="10">
        <v>0.15</v>
      </c>
      <c r="N505" s="11">
        <v>1487500</v>
      </c>
      <c r="O505" s="11">
        <v>1050000</v>
      </c>
      <c r="P505" s="11">
        <v>437500</v>
      </c>
      <c r="Q505" t="s">
        <v>74</v>
      </c>
      <c r="R505" t="b">
        <f>COUNTIF($A$6     : CleanedSalesData[[#This Row],[Order ID]], CleanedSalesData[[#This Row],[Order ID]])&gt;1</f>
        <v>0</v>
      </c>
      <c r="S505" t="b">
        <f>IF(ISBLANK(CleanedSalesData[[#This Row],[Quantity]]), TRUE, FALSE)</f>
        <v>0</v>
      </c>
      <c r="T505" t="b">
        <f>IF(ISBLANK(CleanedSalesData[[#This Row],[Order Date]]), TRUE, FALSE)</f>
        <v>0</v>
      </c>
      <c r="U505" t="b">
        <f>IF(ISBLANK(CleanedSalesData[[#This Row],[Revenue]]), TRUE, FALSE)</f>
        <v>0</v>
      </c>
      <c r="V505" t="b">
        <f>IF(OR(CleanedSalesData[[#This Row],[Order Status]]="Cancelled", CleanedSalesData[[#This Row],[Order Status]]="Returned"), TRUE, FALSE)</f>
        <v>0</v>
      </c>
      <c r="W505" t="str" cm="1">
        <f t="array" ref="W50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6" spans="1:23" x14ac:dyDescent="0.35">
      <c r="A506" t="s">
        <v>650</v>
      </c>
      <c r="B506" s="7">
        <v>46114</v>
      </c>
      <c r="C506" t="s">
        <v>949</v>
      </c>
      <c r="D506">
        <v>4</v>
      </c>
      <c r="E506" t="s">
        <v>65</v>
      </c>
      <c r="F506" t="s">
        <v>47</v>
      </c>
      <c r="G506" t="s">
        <v>32</v>
      </c>
      <c r="H506" t="s">
        <v>33</v>
      </c>
      <c r="I506" t="s">
        <v>34</v>
      </c>
      <c r="J506" t="s">
        <v>35</v>
      </c>
      <c r="K506" t="s">
        <v>36</v>
      </c>
      <c r="L506">
        <v>8</v>
      </c>
      <c r="M506" s="10">
        <v>0</v>
      </c>
      <c r="N506" s="11">
        <v>3800000</v>
      </c>
      <c r="O506" s="11">
        <v>2280000</v>
      </c>
      <c r="P506" s="11">
        <v>1520000</v>
      </c>
      <c r="Q506" t="s">
        <v>45</v>
      </c>
      <c r="R506" t="b">
        <f>COUNTIF($A$6     : CleanedSalesData[[#This Row],[Order ID]], CleanedSalesData[[#This Row],[Order ID]])&gt;1</f>
        <v>0</v>
      </c>
      <c r="S506" t="b">
        <f>IF(ISBLANK(CleanedSalesData[[#This Row],[Quantity]]), TRUE, FALSE)</f>
        <v>0</v>
      </c>
      <c r="T506" t="b">
        <f>IF(ISBLANK(CleanedSalesData[[#This Row],[Order Date]]), TRUE, FALSE)</f>
        <v>0</v>
      </c>
      <c r="U506" t="b">
        <f>IF(ISBLANK(CleanedSalesData[[#This Row],[Revenue]]), TRUE, FALSE)</f>
        <v>0</v>
      </c>
      <c r="V506" t="b">
        <f>IF(OR(CleanedSalesData[[#This Row],[Order Status]]="Cancelled", CleanedSalesData[[#This Row],[Order Status]]="Returned"), TRUE, FALSE)</f>
        <v>0</v>
      </c>
      <c r="W506" t="str" cm="1">
        <f t="array" ref="W50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7" spans="1:23" x14ac:dyDescent="0.35">
      <c r="A507" t="s">
        <v>651</v>
      </c>
      <c r="B507" s="7">
        <v>46153</v>
      </c>
      <c r="C507" t="s">
        <v>946</v>
      </c>
      <c r="D507">
        <v>5</v>
      </c>
      <c r="E507" t="s">
        <v>65</v>
      </c>
      <c r="F507" t="s">
        <v>59</v>
      </c>
      <c r="G507" t="s">
        <v>48</v>
      </c>
      <c r="H507" t="s">
        <v>33</v>
      </c>
      <c r="I507" t="s">
        <v>42</v>
      </c>
      <c r="J507" t="s">
        <v>43</v>
      </c>
      <c r="K507" t="s">
        <v>44</v>
      </c>
      <c r="L507">
        <v>5</v>
      </c>
      <c r="M507" s="10">
        <v>0.15</v>
      </c>
      <c r="N507" s="11">
        <v>1168750</v>
      </c>
      <c r="O507" s="11">
        <v>775000</v>
      </c>
      <c r="P507" s="11">
        <v>393750</v>
      </c>
      <c r="Q507" t="s">
        <v>63</v>
      </c>
      <c r="R507" t="b">
        <f>COUNTIF($A$6     : CleanedSalesData[[#This Row],[Order ID]], CleanedSalesData[[#This Row],[Order ID]])&gt;1</f>
        <v>0</v>
      </c>
      <c r="S507" t="b">
        <f>IF(ISBLANK(CleanedSalesData[[#This Row],[Quantity]]), TRUE, FALSE)</f>
        <v>0</v>
      </c>
      <c r="T507" t="b">
        <f>IF(ISBLANK(CleanedSalesData[[#This Row],[Order Date]]), TRUE, FALSE)</f>
        <v>0</v>
      </c>
      <c r="U507" t="b">
        <f>IF(ISBLANK(CleanedSalesData[[#This Row],[Revenue]]), TRUE, FALSE)</f>
        <v>0</v>
      </c>
      <c r="V507" t="b">
        <f>IF(OR(CleanedSalesData[[#This Row],[Order Status]]="Cancelled", CleanedSalesData[[#This Row],[Order Status]]="Returned"), TRUE, FALSE)</f>
        <v>0</v>
      </c>
      <c r="W507" t="str" cm="1">
        <f t="array" ref="W50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8" spans="1:23" x14ac:dyDescent="0.35">
      <c r="A508" t="s">
        <v>652</v>
      </c>
      <c r="B508" s="7">
        <v>46164</v>
      </c>
      <c r="C508" t="s">
        <v>946</v>
      </c>
      <c r="D508">
        <v>5</v>
      </c>
      <c r="E508" t="s">
        <v>39</v>
      </c>
      <c r="F508" t="s">
        <v>31</v>
      </c>
      <c r="G508" t="s">
        <v>48</v>
      </c>
      <c r="H508" t="s">
        <v>33</v>
      </c>
      <c r="I508" t="s">
        <v>49</v>
      </c>
      <c r="J508" t="s">
        <v>50</v>
      </c>
      <c r="K508" t="s">
        <v>51</v>
      </c>
      <c r="L508">
        <v>1</v>
      </c>
      <c r="M508" s="10">
        <v>0</v>
      </c>
      <c r="N508" s="11">
        <v>245000</v>
      </c>
      <c r="O508" s="11">
        <v>145000</v>
      </c>
      <c r="P508" s="11">
        <v>100000</v>
      </c>
      <c r="Q508" t="s">
        <v>63</v>
      </c>
      <c r="R508" t="b">
        <f>COUNTIF($A$6     : CleanedSalesData[[#This Row],[Order ID]], CleanedSalesData[[#This Row],[Order ID]])&gt;1</f>
        <v>0</v>
      </c>
      <c r="S508" t="b">
        <f>IF(ISBLANK(CleanedSalesData[[#This Row],[Quantity]]), TRUE, FALSE)</f>
        <v>0</v>
      </c>
      <c r="T508" t="b">
        <f>IF(ISBLANK(CleanedSalesData[[#This Row],[Order Date]]), TRUE, FALSE)</f>
        <v>0</v>
      </c>
      <c r="U508" t="b">
        <f>IF(ISBLANK(CleanedSalesData[[#This Row],[Revenue]]), TRUE, FALSE)</f>
        <v>0</v>
      </c>
      <c r="V508" t="b">
        <f>IF(OR(CleanedSalesData[[#This Row],[Order Status]]="Cancelled", CleanedSalesData[[#This Row],[Order Status]]="Returned"), TRUE, FALSE)</f>
        <v>0</v>
      </c>
      <c r="W508" t="str" cm="1">
        <f t="array" ref="W50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09" spans="1:23" x14ac:dyDescent="0.35">
      <c r="A509" t="s">
        <v>653</v>
      </c>
      <c r="B509" s="7">
        <v>46173</v>
      </c>
      <c r="C509" t="s">
        <v>946</v>
      </c>
      <c r="D509">
        <v>5</v>
      </c>
      <c r="E509" t="s">
        <v>69</v>
      </c>
      <c r="F509" t="s">
        <v>59</v>
      </c>
      <c r="G509" t="s">
        <v>32</v>
      </c>
      <c r="H509" t="s">
        <v>77</v>
      </c>
      <c r="I509" t="s">
        <v>55</v>
      </c>
      <c r="J509" t="s">
        <v>56</v>
      </c>
      <c r="K509" t="s">
        <v>36</v>
      </c>
      <c r="L509">
        <v>4</v>
      </c>
      <c r="M509" s="10">
        <v>0.15</v>
      </c>
      <c r="N509" s="11">
        <v>1572500</v>
      </c>
      <c r="O509" s="11">
        <v>5280000</v>
      </c>
      <c r="P509" s="11">
        <v>-3707500</v>
      </c>
      <c r="Q509" t="s">
        <v>84</v>
      </c>
      <c r="R509" t="b">
        <f>COUNTIF($A$6     : CleanedSalesData[[#This Row],[Order ID]], CleanedSalesData[[#This Row],[Order ID]])&gt;1</f>
        <v>0</v>
      </c>
      <c r="S509" t="b">
        <f>IF(ISBLANK(CleanedSalesData[[#This Row],[Quantity]]), TRUE, FALSE)</f>
        <v>0</v>
      </c>
      <c r="T509" t="b">
        <f>IF(ISBLANK(CleanedSalesData[[#This Row],[Order Date]]), TRUE, FALSE)</f>
        <v>0</v>
      </c>
      <c r="U509" t="b">
        <f>IF(ISBLANK(CleanedSalesData[[#This Row],[Revenue]]), TRUE, FALSE)</f>
        <v>0</v>
      </c>
      <c r="V509" t="b">
        <f>IF(OR(CleanedSalesData[[#This Row],[Order Status]]="Cancelled", CleanedSalesData[[#This Row],[Order Status]]="Returned"), TRUE, FALSE)</f>
        <v>1</v>
      </c>
      <c r="W509" t="str" cm="1">
        <f t="array" ref="W50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10" spans="1:23" x14ac:dyDescent="0.35">
      <c r="A510" t="s">
        <v>654</v>
      </c>
      <c r="B510" s="7">
        <v>46067</v>
      </c>
      <c r="C510" t="s">
        <v>944</v>
      </c>
      <c r="D510">
        <v>2</v>
      </c>
      <c r="E510" t="s">
        <v>30</v>
      </c>
      <c r="F510" t="s">
        <v>70</v>
      </c>
      <c r="G510" t="s">
        <v>81</v>
      </c>
      <c r="H510" t="s">
        <v>33</v>
      </c>
      <c r="I510" t="s">
        <v>60</v>
      </c>
      <c r="J510" t="s">
        <v>61</v>
      </c>
      <c r="K510" t="s">
        <v>62</v>
      </c>
      <c r="L510">
        <v>2</v>
      </c>
      <c r="M510" s="10">
        <v>0.08</v>
      </c>
      <c r="N510" s="11">
        <v>119600</v>
      </c>
      <c r="O510" s="11">
        <v>62000</v>
      </c>
      <c r="P510" s="11">
        <v>57600</v>
      </c>
      <c r="Q510" t="s">
        <v>84</v>
      </c>
      <c r="R510" t="b">
        <f>COUNTIF($A$6     : CleanedSalesData[[#This Row],[Order ID]], CleanedSalesData[[#This Row],[Order ID]])&gt;1</f>
        <v>0</v>
      </c>
      <c r="S510" t="b">
        <f>IF(ISBLANK(CleanedSalesData[[#This Row],[Quantity]]), TRUE, FALSE)</f>
        <v>0</v>
      </c>
      <c r="T510" t="b">
        <f>IF(ISBLANK(CleanedSalesData[[#This Row],[Order Date]]), TRUE, FALSE)</f>
        <v>0</v>
      </c>
      <c r="U510" t="b">
        <f>IF(ISBLANK(CleanedSalesData[[#This Row],[Revenue]]), TRUE, FALSE)</f>
        <v>0</v>
      </c>
      <c r="V510" t="b">
        <f>IF(OR(CleanedSalesData[[#This Row],[Order Status]]="Cancelled", CleanedSalesData[[#This Row],[Order Status]]="Returned"), TRUE, FALSE)</f>
        <v>0</v>
      </c>
      <c r="W510" t="str" cm="1">
        <f t="array" ref="W51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1" spans="1:23" x14ac:dyDescent="0.35">
      <c r="A511" t="s">
        <v>655</v>
      </c>
      <c r="B511" s="7">
        <v>46172</v>
      </c>
      <c r="C511" t="s">
        <v>946</v>
      </c>
      <c r="D511">
        <v>5</v>
      </c>
      <c r="E511" t="s">
        <v>30</v>
      </c>
      <c r="F511" t="s">
        <v>31</v>
      </c>
      <c r="G511" t="s">
        <v>41</v>
      </c>
      <c r="H511" t="s">
        <v>33</v>
      </c>
      <c r="I511" t="s">
        <v>66</v>
      </c>
      <c r="J511" t="s">
        <v>67</v>
      </c>
      <c r="K511" t="s">
        <v>51</v>
      </c>
      <c r="L511">
        <v>5</v>
      </c>
      <c r="M511" s="10">
        <v>0</v>
      </c>
      <c r="N511" s="11">
        <v>1550000</v>
      </c>
      <c r="O511" s="11">
        <v>950000</v>
      </c>
      <c r="P511" s="11">
        <v>600000</v>
      </c>
      <c r="Q511" t="s">
        <v>63</v>
      </c>
      <c r="R511" t="b">
        <f>COUNTIF($A$6     : CleanedSalesData[[#This Row],[Order ID]], CleanedSalesData[[#This Row],[Order ID]])&gt;1</f>
        <v>0</v>
      </c>
      <c r="S511" t="b">
        <f>IF(ISBLANK(CleanedSalesData[[#This Row],[Quantity]]), TRUE, FALSE)</f>
        <v>0</v>
      </c>
      <c r="T511" t="b">
        <f>IF(ISBLANK(CleanedSalesData[[#This Row],[Order Date]]), TRUE, FALSE)</f>
        <v>0</v>
      </c>
      <c r="U511" t="b">
        <f>IF(ISBLANK(CleanedSalesData[[#This Row],[Revenue]]), TRUE, FALSE)</f>
        <v>0</v>
      </c>
      <c r="V511" t="b">
        <f>IF(OR(CleanedSalesData[[#This Row],[Order Status]]="Cancelled", CleanedSalesData[[#This Row],[Order Status]]="Returned"), TRUE, FALSE)</f>
        <v>0</v>
      </c>
      <c r="W511" t="str" cm="1">
        <f t="array" ref="W51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2" spans="1:23" x14ac:dyDescent="0.35">
      <c r="A512" t="s">
        <v>656</v>
      </c>
      <c r="B512" s="7">
        <v>46175</v>
      </c>
      <c r="C512" t="s">
        <v>945</v>
      </c>
      <c r="D512">
        <v>6</v>
      </c>
      <c r="E512" t="s">
        <v>54</v>
      </c>
      <c r="F512" t="s">
        <v>70</v>
      </c>
      <c r="G512" t="s">
        <v>48</v>
      </c>
      <c r="H512" t="s">
        <v>33</v>
      </c>
      <c r="I512" t="s">
        <v>71</v>
      </c>
      <c r="J512" t="s">
        <v>72</v>
      </c>
      <c r="K512" t="s">
        <v>73</v>
      </c>
      <c r="L512">
        <v>1</v>
      </c>
      <c r="M512" s="10">
        <v>0.15</v>
      </c>
      <c r="N512" s="11">
        <v>106250</v>
      </c>
      <c r="O512" s="11">
        <v>70000</v>
      </c>
      <c r="P512" s="11">
        <v>36250</v>
      </c>
      <c r="Q512" t="s">
        <v>37</v>
      </c>
      <c r="R512" t="b">
        <f>COUNTIF($A$6     : CleanedSalesData[[#This Row],[Order ID]], CleanedSalesData[[#This Row],[Order ID]])&gt;1</f>
        <v>0</v>
      </c>
      <c r="S512" t="b">
        <f>IF(ISBLANK(CleanedSalesData[[#This Row],[Quantity]]), TRUE, FALSE)</f>
        <v>0</v>
      </c>
      <c r="T512" t="b">
        <f>IF(ISBLANK(CleanedSalesData[[#This Row],[Order Date]]), TRUE, FALSE)</f>
        <v>0</v>
      </c>
      <c r="U512" t="b">
        <f>IF(ISBLANK(CleanedSalesData[[#This Row],[Revenue]]), TRUE, FALSE)</f>
        <v>0</v>
      </c>
      <c r="V512" t="b">
        <f>IF(OR(CleanedSalesData[[#This Row],[Order Status]]="Cancelled", CleanedSalesData[[#This Row],[Order Status]]="Returned"), TRUE, FALSE)</f>
        <v>0</v>
      </c>
      <c r="W512" t="str" cm="1">
        <f t="array" ref="W51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3" spans="1:23" x14ac:dyDescent="0.35">
      <c r="A513" t="s">
        <v>657</v>
      </c>
      <c r="B513" s="7">
        <v>46104</v>
      </c>
      <c r="C513" t="s">
        <v>947</v>
      </c>
      <c r="D513">
        <v>3</v>
      </c>
      <c r="E513" t="s">
        <v>65</v>
      </c>
      <c r="F513" t="s">
        <v>47</v>
      </c>
      <c r="G513" t="s">
        <v>32</v>
      </c>
      <c r="H513" t="s">
        <v>33</v>
      </c>
      <c r="I513" t="s">
        <v>78</v>
      </c>
      <c r="J513" t="s">
        <v>79</v>
      </c>
      <c r="K513" t="s">
        <v>62</v>
      </c>
      <c r="L513">
        <v>4</v>
      </c>
      <c r="M513" s="10">
        <v>0.03</v>
      </c>
      <c r="N513" s="11">
        <v>329800</v>
      </c>
      <c r="O513" s="11">
        <v>172000</v>
      </c>
      <c r="P513" s="11">
        <v>157800</v>
      </c>
      <c r="Q513" t="s">
        <v>93</v>
      </c>
      <c r="R513" t="b">
        <f>COUNTIF($A$6     : CleanedSalesData[[#This Row],[Order ID]], CleanedSalesData[[#This Row],[Order ID]])&gt;1</f>
        <v>0</v>
      </c>
      <c r="S513" t="b">
        <f>IF(ISBLANK(CleanedSalesData[[#This Row],[Quantity]]), TRUE, FALSE)</f>
        <v>0</v>
      </c>
      <c r="T513" t="b">
        <f>IF(ISBLANK(CleanedSalesData[[#This Row],[Order Date]]), TRUE, FALSE)</f>
        <v>0</v>
      </c>
      <c r="U513" t="b">
        <f>IF(ISBLANK(CleanedSalesData[[#This Row],[Revenue]]), TRUE, FALSE)</f>
        <v>0</v>
      </c>
      <c r="V513" t="b">
        <f>IF(OR(CleanedSalesData[[#This Row],[Order Status]]="Cancelled", CleanedSalesData[[#This Row],[Order Status]]="Returned"), TRUE, FALSE)</f>
        <v>0</v>
      </c>
      <c r="W513" t="str" cm="1">
        <f t="array" ref="W51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4" spans="1:23" x14ac:dyDescent="0.35">
      <c r="A514" t="s">
        <v>658</v>
      </c>
      <c r="B514" s="7">
        <v>46046</v>
      </c>
      <c r="C514" t="s">
        <v>948</v>
      </c>
      <c r="D514">
        <v>1</v>
      </c>
      <c r="E514" t="s">
        <v>54</v>
      </c>
      <c r="F514" t="s">
        <v>70</v>
      </c>
      <c r="G514" t="s">
        <v>81</v>
      </c>
      <c r="H514" t="s">
        <v>90</v>
      </c>
      <c r="I514" t="s">
        <v>82</v>
      </c>
      <c r="J514" t="s">
        <v>83</v>
      </c>
      <c r="K514" t="s">
        <v>44</v>
      </c>
      <c r="L514">
        <v>6</v>
      </c>
      <c r="M514" s="10">
        <v>0.03</v>
      </c>
      <c r="N514" s="11">
        <v>8439000</v>
      </c>
      <c r="O514" s="11">
        <v>5880000</v>
      </c>
      <c r="P514" s="11">
        <v>2559000</v>
      </c>
      <c r="Q514" t="s">
        <v>57</v>
      </c>
      <c r="R514" t="b">
        <f>COUNTIF($A$6     : CleanedSalesData[[#This Row],[Order ID]], CleanedSalesData[[#This Row],[Order ID]])&gt;1</f>
        <v>0</v>
      </c>
      <c r="S514" t="b">
        <f>IF(ISBLANK(CleanedSalesData[[#This Row],[Quantity]]), TRUE, FALSE)</f>
        <v>0</v>
      </c>
      <c r="T514" t="b">
        <f>IF(ISBLANK(CleanedSalesData[[#This Row],[Order Date]]), TRUE, FALSE)</f>
        <v>0</v>
      </c>
      <c r="U514" t="b">
        <f>IF(ISBLANK(CleanedSalesData[[#This Row],[Revenue]]), TRUE, FALSE)</f>
        <v>0</v>
      </c>
      <c r="V514" t="b">
        <f>IF(OR(CleanedSalesData[[#This Row],[Order Status]]="Cancelled", CleanedSalesData[[#This Row],[Order Status]]="Returned"), TRUE, FALSE)</f>
        <v>0</v>
      </c>
      <c r="W514" t="str" cm="1">
        <f t="array" ref="W51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5" spans="1:23" x14ac:dyDescent="0.35">
      <c r="A515" t="s">
        <v>659</v>
      </c>
      <c r="B515" s="7">
        <v>46078</v>
      </c>
      <c r="C515" t="s">
        <v>944</v>
      </c>
      <c r="D515">
        <v>2</v>
      </c>
      <c r="E515" t="s">
        <v>54</v>
      </c>
      <c r="F515" t="s">
        <v>40</v>
      </c>
      <c r="G515" t="s">
        <v>41</v>
      </c>
      <c r="H515" t="s">
        <v>90</v>
      </c>
      <c r="I515" t="s">
        <v>86</v>
      </c>
      <c r="J515" t="s">
        <v>87</v>
      </c>
      <c r="K515" t="s">
        <v>36</v>
      </c>
      <c r="L515">
        <v>8</v>
      </c>
      <c r="M515" s="10">
        <v>0.1</v>
      </c>
      <c r="N515" s="11">
        <v>2520000</v>
      </c>
      <c r="O515" s="11">
        <v>1680000</v>
      </c>
      <c r="P515" s="11">
        <v>840000</v>
      </c>
      <c r="Q515" t="s">
        <v>52</v>
      </c>
      <c r="R515" t="b">
        <f>COUNTIF($A$6     : CleanedSalesData[[#This Row],[Order ID]], CleanedSalesData[[#This Row],[Order ID]])&gt;1</f>
        <v>0</v>
      </c>
      <c r="S515" t="b">
        <f>IF(ISBLANK(CleanedSalesData[[#This Row],[Quantity]]), TRUE, FALSE)</f>
        <v>0</v>
      </c>
      <c r="T515" t="b">
        <f>IF(ISBLANK(CleanedSalesData[[#This Row],[Order Date]]), TRUE, FALSE)</f>
        <v>0</v>
      </c>
      <c r="U515" t="b">
        <f>IF(ISBLANK(CleanedSalesData[[#This Row],[Revenue]]), TRUE, FALSE)</f>
        <v>0</v>
      </c>
      <c r="V515" t="b">
        <f>IF(OR(CleanedSalesData[[#This Row],[Order Status]]="Cancelled", CleanedSalesData[[#This Row],[Order Status]]="Returned"), TRUE, FALSE)</f>
        <v>0</v>
      </c>
      <c r="W515" t="str" cm="1">
        <f t="array" ref="W51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6" spans="1:23" x14ac:dyDescent="0.35">
      <c r="A516" t="s">
        <v>660</v>
      </c>
      <c r="B516" s="7">
        <v>46084</v>
      </c>
      <c r="C516" t="s">
        <v>947</v>
      </c>
      <c r="D516">
        <v>3</v>
      </c>
      <c r="E516" t="s">
        <v>69</v>
      </c>
      <c r="F516" t="s">
        <v>70</v>
      </c>
      <c r="G516" t="s">
        <v>48</v>
      </c>
      <c r="H516" t="s">
        <v>33</v>
      </c>
      <c r="I516" t="s">
        <v>34</v>
      </c>
      <c r="J516" t="s">
        <v>35</v>
      </c>
      <c r="K516" t="s">
        <v>36</v>
      </c>
      <c r="L516">
        <v>4</v>
      </c>
      <c r="M516" s="10">
        <v>0</v>
      </c>
      <c r="N516" s="11">
        <v>1900000</v>
      </c>
      <c r="O516" s="11">
        <v>1140000</v>
      </c>
      <c r="P516" s="11">
        <v>760000</v>
      </c>
      <c r="Q516" t="s">
        <v>93</v>
      </c>
      <c r="R516" t="b">
        <f>COUNTIF($A$6     : CleanedSalesData[[#This Row],[Order ID]], CleanedSalesData[[#This Row],[Order ID]])&gt;1</f>
        <v>0</v>
      </c>
      <c r="S516" t="b">
        <f>IF(ISBLANK(CleanedSalesData[[#This Row],[Quantity]]), TRUE, FALSE)</f>
        <v>0</v>
      </c>
      <c r="T516" t="b">
        <f>IF(ISBLANK(CleanedSalesData[[#This Row],[Order Date]]), TRUE, FALSE)</f>
        <v>0</v>
      </c>
      <c r="U516" t="b">
        <f>IF(ISBLANK(CleanedSalesData[[#This Row],[Revenue]]), TRUE, FALSE)</f>
        <v>0</v>
      </c>
      <c r="V516" t="b">
        <f>IF(OR(CleanedSalesData[[#This Row],[Order Status]]="Cancelled", CleanedSalesData[[#This Row],[Order Status]]="Returned"), TRUE, FALSE)</f>
        <v>0</v>
      </c>
      <c r="W516" t="str" cm="1">
        <f t="array" ref="W51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7" spans="1:23" x14ac:dyDescent="0.35">
      <c r="A517" t="s">
        <v>661</v>
      </c>
      <c r="B517" s="7">
        <v>46088</v>
      </c>
      <c r="C517" t="s">
        <v>947</v>
      </c>
      <c r="D517">
        <v>3</v>
      </c>
      <c r="E517" t="s">
        <v>111</v>
      </c>
      <c r="F517" t="s">
        <v>47</v>
      </c>
      <c r="G517" t="s">
        <v>48</v>
      </c>
      <c r="H517" t="s">
        <v>112</v>
      </c>
      <c r="I517" t="s">
        <v>42</v>
      </c>
      <c r="J517" t="s">
        <v>43</v>
      </c>
      <c r="K517" t="s">
        <v>44</v>
      </c>
      <c r="L517">
        <v>5</v>
      </c>
      <c r="M517" s="10">
        <v>0</v>
      </c>
      <c r="N517" s="11">
        <v>343750</v>
      </c>
      <c r="O517" s="11">
        <v>775000</v>
      </c>
      <c r="P517" s="11">
        <v>-431250</v>
      </c>
      <c r="Q517" t="s">
        <v>74</v>
      </c>
      <c r="R517" t="b">
        <f>COUNTIF($A$6     : CleanedSalesData[[#This Row],[Order ID]], CleanedSalesData[[#This Row],[Order ID]])&gt;1</f>
        <v>0</v>
      </c>
      <c r="S517" t="b">
        <f>IF(ISBLANK(CleanedSalesData[[#This Row],[Quantity]]), TRUE, FALSE)</f>
        <v>0</v>
      </c>
      <c r="T517" t="b">
        <f>IF(ISBLANK(CleanedSalesData[[#This Row],[Order Date]]), TRUE, FALSE)</f>
        <v>0</v>
      </c>
      <c r="U517" t="b">
        <f>IF(ISBLANK(CleanedSalesData[[#This Row],[Revenue]]), TRUE, FALSE)</f>
        <v>0</v>
      </c>
      <c r="V517" t="b">
        <f>IF(OR(CleanedSalesData[[#This Row],[Order Status]]="Cancelled", CleanedSalesData[[#This Row],[Order Status]]="Returned"), TRUE, FALSE)</f>
        <v>1</v>
      </c>
      <c r="W517" t="str" cm="1">
        <f t="array" ref="W51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18" spans="1:23" x14ac:dyDescent="0.35">
      <c r="A518" t="s">
        <v>662</v>
      </c>
      <c r="B518" s="7">
        <v>46098</v>
      </c>
      <c r="C518" t="s">
        <v>947</v>
      </c>
      <c r="D518">
        <v>3</v>
      </c>
      <c r="E518" t="s">
        <v>95</v>
      </c>
      <c r="F518" t="s">
        <v>40</v>
      </c>
      <c r="G518" t="s">
        <v>32</v>
      </c>
      <c r="H518" t="s">
        <v>33</v>
      </c>
      <c r="I518" t="s">
        <v>49</v>
      </c>
      <c r="J518" t="s">
        <v>50</v>
      </c>
      <c r="K518" t="s">
        <v>51</v>
      </c>
      <c r="L518">
        <v>4</v>
      </c>
      <c r="M518" s="10">
        <v>0.05</v>
      </c>
      <c r="N518" s="11">
        <v>931000</v>
      </c>
      <c r="O518" s="11">
        <v>580000</v>
      </c>
      <c r="P518" s="11">
        <v>351000</v>
      </c>
      <c r="Q518" t="s">
        <v>37</v>
      </c>
      <c r="R518" t="b">
        <f>COUNTIF($A$6     : CleanedSalesData[[#This Row],[Order ID]], CleanedSalesData[[#This Row],[Order ID]])&gt;1</f>
        <v>0</v>
      </c>
      <c r="S518" t="b">
        <f>IF(ISBLANK(CleanedSalesData[[#This Row],[Quantity]]), TRUE, FALSE)</f>
        <v>0</v>
      </c>
      <c r="T518" t="b">
        <f>IF(ISBLANK(CleanedSalesData[[#This Row],[Order Date]]), TRUE, FALSE)</f>
        <v>0</v>
      </c>
      <c r="U518" t="b">
        <f>IF(ISBLANK(CleanedSalesData[[#This Row],[Revenue]]), TRUE, FALSE)</f>
        <v>0</v>
      </c>
      <c r="V518" t="b">
        <f>IF(OR(CleanedSalesData[[#This Row],[Order Status]]="Cancelled", CleanedSalesData[[#This Row],[Order Status]]="Returned"), TRUE, FALSE)</f>
        <v>0</v>
      </c>
      <c r="W518" t="str" cm="1">
        <f t="array" ref="W51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19" spans="1:23" x14ac:dyDescent="0.35">
      <c r="A519" t="s">
        <v>663</v>
      </c>
      <c r="B519" s="7">
        <v>46076</v>
      </c>
      <c r="C519" t="s">
        <v>944</v>
      </c>
      <c r="D519">
        <v>2</v>
      </c>
      <c r="E519" t="s">
        <v>65</v>
      </c>
      <c r="F519" t="s">
        <v>40</v>
      </c>
      <c r="G519" t="s">
        <v>32</v>
      </c>
      <c r="H519" t="s">
        <v>33</v>
      </c>
      <c r="I519" t="s">
        <v>55</v>
      </c>
      <c r="J519" t="s">
        <v>56</v>
      </c>
      <c r="K519" t="s">
        <v>36</v>
      </c>
      <c r="L519">
        <v>4</v>
      </c>
      <c r="M519" s="10">
        <v>0.15</v>
      </c>
      <c r="N519" s="11">
        <v>6290000</v>
      </c>
      <c r="O519" s="11">
        <v>5280000</v>
      </c>
      <c r="P519" s="11">
        <v>1010000</v>
      </c>
      <c r="Q519" t="s">
        <v>37</v>
      </c>
      <c r="R519" t="b">
        <f>COUNTIF($A$6     : CleanedSalesData[[#This Row],[Order ID]], CleanedSalesData[[#This Row],[Order ID]])&gt;1</f>
        <v>0</v>
      </c>
      <c r="S519" t="b">
        <f>IF(ISBLANK(CleanedSalesData[[#This Row],[Quantity]]), TRUE, FALSE)</f>
        <v>0</v>
      </c>
      <c r="T519" t="b">
        <f>IF(ISBLANK(CleanedSalesData[[#This Row],[Order Date]]), TRUE, FALSE)</f>
        <v>0</v>
      </c>
      <c r="U519" t="b">
        <f>IF(ISBLANK(CleanedSalesData[[#This Row],[Revenue]]), TRUE, FALSE)</f>
        <v>0</v>
      </c>
      <c r="V519" t="b">
        <f>IF(OR(CleanedSalesData[[#This Row],[Order Status]]="Cancelled", CleanedSalesData[[#This Row],[Order Status]]="Returned"), TRUE, FALSE)</f>
        <v>0</v>
      </c>
      <c r="W519" t="str" cm="1">
        <f t="array" ref="W51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0" spans="1:23" x14ac:dyDescent="0.35">
      <c r="A520" t="s">
        <v>664</v>
      </c>
      <c r="B520" s="7">
        <v>46198</v>
      </c>
      <c r="C520" t="s">
        <v>945</v>
      </c>
      <c r="D520">
        <v>6</v>
      </c>
      <c r="E520" t="s">
        <v>69</v>
      </c>
      <c r="F520" t="s">
        <v>70</v>
      </c>
      <c r="G520" t="s">
        <v>41</v>
      </c>
      <c r="H520" t="s">
        <v>33</v>
      </c>
      <c r="I520" t="s">
        <v>60</v>
      </c>
      <c r="J520" t="s">
        <v>61</v>
      </c>
      <c r="K520" t="s">
        <v>62</v>
      </c>
      <c r="L520">
        <v>3</v>
      </c>
      <c r="M520" s="10">
        <v>0</v>
      </c>
      <c r="N520" s="11">
        <v>195000</v>
      </c>
      <c r="O520" s="11">
        <v>93000</v>
      </c>
      <c r="P520" s="11">
        <v>102000</v>
      </c>
      <c r="Q520" t="s">
        <v>37</v>
      </c>
      <c r="R520" t="b">
        <f>COUNTIF($A$6     : CleanedSalesData[[#This Row],[Order ID]], CleanedSalesData[[#This Row],[Order ID]])&gt;1</f>
        <v>0</v>
      </c>
      <c r="S520" t="b">
        <f>IF(ISBLANK(CleanedSalesData[[#This Row],[Quantity]]), TRUE, FALSE)</f>
        <v>0</v>
      </c>
      <c r="T520" t="b">
        <f>IF(ISBLANK(CleanedSalesData[[#This Row],[Order Date]]), TRUE, FALSE)</f>
        <v>0</v>
      </c>
      <c r="U520" t="b">
        <f>IF(ISBLANK(CleanedSalesData[[#This Row],[Revenue]]), TRUE, FALSE)</f>
        <v>0</v>
      </c>
      <c r="V520" t="b">
        <f>IF(OR(CleanedSalesData[[#This Row],[Order Status]]="Cancelled", CleanedSalesData[[#This Row],[Order Status]]="Returned"), TRUE, FALSE)</f>
        <v>0</v>
      </c>
      <c r="W520" t="str" cm="1">
        <f t="array" ref="W52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1" spans="1:23" x14ac:dyDescent="0.35">
      <c r="A521" t="s">
        <v>665</v>
      </c>
      <c r="B521" s="7">
        <v>46036</v>
      </c>
      <c r="C521" t="s">
        <v>948</v>
      </c>
      <c r="D521">
        <v>1</v>
      </c>
      <c r="E521" t="s">
        <v>76</v>
      </c>
      <c r="F521" t="s">
        <v>47</v>
      </c>
      <c r="G521" t="s">
        <v>32</v>
      </c>
      <c r="H521" t="s">
        <v>33</v>
      </c>
      <c r="I521" t="s">
        <v>66</v>
      </c>
      <c r="J521" t="s">
        <v>67</v>
      </c>
      <c r="K521" t="s">
        <v>51</v>
      </c>
      <c r="L521">
        <v>3</v>
      </c>
      <c r="M521" s="10">
        <v>0.05</v>
      </c>
      <c r="N521" s="11">
        <v>883500</v>
      </c>
      <c r="O521" s="11">
        <v>570000</v>
      </c>
      <c r="P521" s="11">
        <v>313500</v>
      </c>
      <c r="Q521" t="s">
        <v>93</v>
      </c>
      <c r="R521" t="b">
        <f>COUNTIF($A$6     : CleanedSalesData[[#This Row],[Order ID]], CleanedSalesData[[#This Row],[Order ID]])&gt;1</f>
        <v>0</v>
      </c>
      <c r="S521" t="b">
        <f>IF(ISBLANK(CleanedSalesData[[#This Row],[Quantity]]), TRUE, FALSE)</f>
        <v>0</v>
      </c>
      <c r="T521" t="b">
        <f>IF(ISBLANK(CleanedSalesData[[#This Row],[Order Date]]), TRUE, FALSE)</f>
        <v>0</v>
      </c>
      <c r="U521" t="b">
        <f>IF(ISBLANK(CleanedSalesData[[#This Row],[Revenue]]), TRUE, FALSE)</f>
        <v>0</v>
      </c>
      <c r="V521" t="b">
        <f>IF(OR(CleanedSalesData[[#This Row],[Order Status]]="Cancelled", CleanedSalesData[[#This Row],[Order Status]]="Returned"), TRUE, FALSE)</f>
        <v>0</v>
      </c>
      <c r="W521" t="str" cm="1">
        <f t="array" ref="W52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2" spans="1:23" x14ac:dyDescent="0.35">
      <c r="A522" t="s">
        <v>666</v>
      </c>
      <c r="B522" s="7">
        <v>46122</v>
      </c>
      <c r="C522" t="s">
        <v>949</v>
      </c>
      <c r="D522">
        <v>4</v>
      </c>
      <c r="E522" t="s">
        <v>65</v>
      </c>
      <c r="F522" t="s">
        <v>70</v>
      </c>
      <c r="G522" t="s">
        <v>41</v>
      </c>
      <c r="H522" t="s">
        <v>33</v>
      </c>
      <c r="I522" t="s">
        <v>71</v>
      </c>
      <c r="J522" t="s">
        <v>72</v>
      </c>
      <c r="K522" t="s">
        <v>73</v>
      </c>
      <c r="L522">
        <v>8</v>
      </c>
      <c r="M522" s="10">
        <v>0.15</v>
      </c>
      <c r="N522" s="11">
        <v>850000</v>
      </c>
      <c r="O522" s="11">
        <v>560000</v>
      </c>
      <c r="P522" s="11">
        <v>290000</v>
      </c>
      <c r="Q522" t="s">
        <v>37</v>
      </c>
      <c r="R522" t="b">
        <f>COUNTIF($A$6     : CleanedSalesData[[#This Row],[Order ID]], CleanedSalesData[[#This Row],[Order ID]])&gt;1</f>
        <v>0</v>
      </c>
      <c r="S522" t="b">
        <f>IF(ISBLANK(CleanedSalesData[[#This Row],[Quantity]]), TRUE, FALSE)</f>
        <v>0</v>
      </c>
      <c r="T522" t="b">
        <f>IF(ISBLANK(CleanedSalesData[[#This Row],[Order Date]]), TRUE, FALSE)</f>
        <v>0</v>
      </c>
      <c r="U522" t="b">
        <f>IF(ISBLANK(CleanedSalesData[[#This Row],[Revenue]]), TRUE, FALSE)</f>
        <v>0</v>
      </c>
      <c r="V522" t="b">
        <f>IF(OR(CleanedSalesData[[#This Row],[Order Status]]="Cancelled", CleanedSalesData[[#This Row],[Order Status]]="Returned"), TRUE, FALSE)</f>
        <v>0</v>
      </c>
      <c r="W522" t="str" cm="1">
        <f t="array" ref="W52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3" spans="1:23" x14ac:dyDescent="0.35">
      <c r="A523" t="s">
        <v>668</v>
      </c>
      <c r="B523" s="7">
        <v>46159</v>
      </c>
      <c r="C523" t="s">
        <v>946</v>
      </c>
      <c r="D523">
        <v>5</v>
      </c>
      <c r="E523" t="s">
        <v>69</v>
      </c>
      <c r="F523" t="s">
        <v>40</v>
      </c>
      <c r="G523" t="s">
        <v>41</v>
      </c>
      <c r="H523" t="s">
        <v>33</v>
      </c>
      <c r="I523" t="s">
        <v>78</v>
      </c>
      <c r="J523" t="s">
        <v>79</v>
      </c>
      <c r="K523" t="s">
        <v>62</v>
      </c>
      <c r="L523">
        <v>1</v>
      </c>
      <c r="M523" s="10">
        <v>0.15</v>
      </c>
      <c r="N523" s="11">
        <v>72250</v>
      </c>
      <c r="O523" s="11">
        <v>43000</v>
      </c>
      <c r="P523" s="11">
        <v>29250</v>
      </c>
      <c r="Q523" t="s">
        <v>63</v>
      </c>
      <c r="R523" t="b">
        <f>COUNTIF($A$6     : CleanedSalesData[[#This Row],[Order ID]], CleanedSalesData[[#This Row],[Order ID]])&gt;1</f>
        <v>0</v>
      </c>
      <c r="S523" t="b">
        <f>IF(ISBLANK(CleanedSalesData[[#This Row],[Quantity]]), TRUE, FALSE)</f>
        <v>0</v>
      </c>
      <c r="T523" t="b">
        <f>IF(ISBLANK(CleanedSalesData[[#This Row],[Order Date]]), TRUE, FALSE)</f>
        <v>0</v>
      </c>
      <c r="U523" t="b">
        <f>IF(ISBLANK(CleanedSalesData[[#This Row],[Revenue]]), TRUE, FALSE)</f>
        <v>0</v>
      </c>
      <c r="V523" t="b">
        <f>IF(OR(CleanedSalesData[[#This Row],[Order Status]]="Cancelled", CleanedSalesData[[#This Row],[Order Status]]="Returned"), TRUE, FALSE)</f>
        <v>0</v>
      </c>
      <c r="W523" t="str" cm="1">
        <f t="array" ref="W52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4" spans="1:23" x14ac:dyDescent="0.35">
      <c r="A524" t="s">
        <v>669</v>
      </c>
      <c r="B524" s="7">
        <v>46151</v>
      </c>
      <c r="C524" t="s">
        <v>946</v>
      </c>
      <c r="D524">
        <v>5</v>
      </c>
      <c r="E524" t="s">
        <v>76</v>
      </c>
      <c r="F524" t="s">
        <v>70</v>
      </c>
      <c r="G524" t="s">
        <v>41</v>
      </c>
      <c r="H524" t="s">
        <v>90</v>
      </c>
      <c r="I524" t="s">
        <v>82</v>
      </c>
      <c r="J524" t="s">
        <v>83</v>
      </c>
      <c r="K524" t="s">
        <v>44</v>
      </c>
      <c r="L524">
        <v>2</v>
      </c>
      <c r="M524" s="10">
        <v>0.05</v>
      </c>
      <c r="N524" s="11">
        <v>2755000</v>
      </c>
      <c r="O524" s="11">
        <v>1960000</v>
      </c>
      <c r="P524" s="11">
        <v>795000</v>
      </c>
      <c r="Q524" t="s">
        <v>52</v>
      </c>
      <c r="R524" t="b">
        <f>COUNTIF($A$6     : CleanedSalesData[[#This Row],[Order ID]], CleanedSalesData[[#This Row],[Order ID]])&gt;1</f>
        <v>0</v>
      </c>
      <c r="S524" t="b">
        <f>IF(ISBLANK(CleanedSalesData[[#This Row],[Quantity]]), TRUE, FALSE)</f>
        <v>0</v>
      </c>
      <c r="T524" t="b">
        <f>IF(ISBLANK(CleanedSalesData[[#This Row],[Order Date]]), TRUE, FALSE)</f>
        <v>0</v>
      </c>
      <c r="U524" t="b">
        <f>IF(ISBLANK(CleanedSalesData[[#This Row],[Revenue]]), TRUE, FALSE)</f>
        <v>0</v>
      </c>
      <c r="V524" t="b">
        <f>IF(OR(CleanedSalesData[[#This Row],[Order Status]]="Cancelled", CleanedSalesData[[#This Row],[Order Status]]="Returned"), TRUE, FALSE)</f>
        <v>0</v>
      </c>
      <c r="W524" t="str" cm="1">
        <f t="array" ref="W52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5" spans="1:23" x14ac:dyDescent="0.35">
      <c r="A525" t="s">
        <v>670</v>
      </c>
      <c r="B525" s="7">
        <v>46120</v>
      </c>
      <c r="C525" t="s">
        <v>949</v>
      </c>
      <c r="D525">
        <v>4</v>
      </c>
      <c r="E525" t="s">
        <v>30</v>
      </c>
      <c r="F525" t="s">
        <v>31</v>
      </c>
      <c r="G525" t="s">
        <v>32</v>
      </c>
      <c r="H525" t="s">
        <v>33</v>
      </c>
      <c r="I525" t="s">
        <v>86</v>
      </c>
      <c r="J525" t="s">
        <v>87</v>
      </c>
      <c r="K525" t="s">
        <v>36</v>
      </c>
      <c r="L525">
        <v>7</v>
      </c>
      <c r="M525" s="10">
        <v>0.15</v>
      </c>
      <c r="N525" s="11">
        <v>2082500</v>
      </c>
      <c r="O525" s="11">
        <v>1470000</v>
      </c>
      <c r="P525" s="11">
        <v>612500</v>
      </c>
      <c r="Q525" t="s">
        <v>93</v>
      </c>
      <c r="R525" t="b">
        <f>COUNTIF($A$6     : CleanedSalesData[[#This Row],[Order ID]], CleanedSalesData[[#This Row],[Order ID]])&gt;1</f>
        <v>0</v>
      </c>
      <c r="S525" t="b">
        <f>IF(ISBLANK(CleanedSalesData[[#This Row],[Quantity]]), TRUE, FALSE)</f>
        <v>0</v>
      </c>
      <c r="T525" t="b">
        <f>IF(ISBLANK(CleanedSalesData[[#This Row],[Order Date]]), TRUE, FALSE)</f>
        <v>0</v>
      </c>
      <c r="U525" t="b">
        <f>IF(ISBLANK(CleanedSalesData[[#This Row],[Revenue]]), TRUE, FALSE)</f>
        <v>0</v>
      </c>
      <c r="V525" t="b">
        <f>IF(OR(CleanedSalesData[[#This Row],[Order Status]]="Cancelled", CleanedSalesData[[#This Row],[Order Status]]="Returned"), TRUE, FALSE)</f>
        <v>0</v>
      </c>
      <c r="W525" t="str" cm="1">
        <f t="array" ref="W52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6" spans="1:23" x14ac:dyDescent="0.35">
      <c r="A526" t="s">
        <v>671</v>
      </c>
      <c r="B526" s="7">
        <v>46162</v>
      </c>
      <c r="C526" t="s">
        <v>946</v>
      </c>
      <c r="D526">
        <v>5</v>
      </c>
      <c r="E526" t="s">
        <v>30</v>
      </c>
      <c r="F526" t="s">
        <v>70</v>
      </c>
      <c r="G526" t="s">
        <v>41</v>
      </c>
      <c r="H526" t="s">
        <v>33</v>
      </c>
      <c r="I526" t="s">
        <v>34</v>
      </c>
      <c r="J526" t="s">
        <v>35</v>
      </c>
      <c r="K526" t="s">
        <v>36</v>
      </c>
      <c r="L526">
        <v>5</v>
      </c>
      <c r="M526" s="10">
        <v>0.15</v>
      </c>
      <c r="N526" s="11">
        <v>2018750</v>
      </c>
      <c r="O526" s="11">
        <v>1425000</v>
      </c>
      <c r="P526" s="11">
        <v>593750</v>
      </c>
      <c r="Q526" t="s">
        <v>37</v>
      </c>
      <c r="R526" t="b">
        <f>COUNTIF($A$6     : CleanedSalesData[[#This Row],[Order ID]], CleanedSalesData[[#This Row],[Order ID]])&gt;1</f>
        <v>0</v>
      </c>
      <c r="S526" t="b">
        <f>IF(ISBLANK(CleanedSalesData[[#This Row],[Quantity]]), TRUE, FALSE)</f>
        <v>0</v>
      </c>
      <c r="T526" t="b">
        <f>IF(ISBLANK(CleanedSalesData[[#This Row],[Order Date]]), TRUE, FALSE)</f>
        <v>0</v>
      </c>
      <c r="U526" t="b">
        <f>IF(ISBLANK(CleanedSalesData[[#This Row],[Revenue]]), TRUE, FALSE)</f>
        <v>0</v>
      </c>
      <c r="V526" t="b">
        <f>IF(OR(CleanedSalesData[[#This Row],[Order Status]]="Cancelled", CleanedSalesData[[#This Row],[Order Status]]="Returned"), TRUE, FALSE)</f>
        <v>0</v>
      </c>
      <c r="W526" t="str" cm="1">
        <f t="array" ref="W52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7" spans="1:23" x14ac:dyDescent="0.35">
      <c r="A527" t="s">
        <v>672</v>
      </c>
      <c r="B527" s="7">
        <v>46033</v>
      </c>
      <c r="C527" t="s">
        <v>948</v>
      </c>
      <c r="D527">
        <v>1</v>
      </c>
      <c r="E527" t="s">
        <v>76</v>
      </c>
      <c r="F527" t="s">
        <v>47</v>
      </c>
      <c r="G527" t="s">
        <v>41</v>
      </c>
      <c r="H527" t="s">
        <v>33</v>
      </c>
      <c r="I527" t="s">
        <v>42</v>
      </c>
      <c r="J527" t="s">
        <v>43</v>
      </c>
      <c r="K527" t="s">
        <v>44</v>
      </c>
      <c r="L527">
        <v>1</v>
      </c>
      <c r="M527" s="10">
        <v>0.1</v>
      </c>
      <c r="N527" s="11">
        <v>247500</v>
      </c>
      <c r="O527" s="11">
        <v>155000</v>
      </c>
      <c r="P527" s="11">
        <v>92500</v>
      </c>
      <c r="Q527" t="s">
        <v>45</v>
      </c>
      <c r="R527" t="b">
        <f>COUNTIF($A$6     : CleanedSalesData[[#This Row],[Order ID]], CleanedSalesData[[#This Row],[Order ID]])&gt;1</f>
        <v>0</v>
      </c>
      <c r="S527" t="b">
        <f>IF(ISBLANK(CleanedSalesData[[#This Row],[Quantity]]), TRUE, FALSE)</f>
        <v>0</v>
      </c>
      <c r="T527" t="b">
        <f>IF(ISBLANK(CleanedSalesData[[#This Row],[Order Date]]), TRUE, FALSE)</f>
        <v>0</v>
      </c>
      <c r="U527" t="b">
        <f>IF(ISBLANK(CleanedSalesData[[#This Row],[Revenue]]), TRUE, FALSE)</f>
        <v>0</v>
      </c>
      <c r="V527" t="b">
        <f>IF(OR(CleanedSalesData[[#This Row],[Order Status]]="Cancelled", CleanedSalesData[[#This Row],[Order Status]]="Returned"), TRUE, FALSE)</f>
        <v>0</v>
      </c>
      <c r="W527" t="str" cm="1">
        <f t="array" ref="W52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28" spans="1:23" x14ac:dyDescent="0.35">
      <c r="A528" t="s">
        <v>673</v>
      </c>
      <c r="B528" s="7">
        <v>46111</v>
      </c>
      <c r="C528" t="s">
        <v>947</v>
      </c>
      <c r="D528">
        <v>3</v>
      </c>
      <c r="E528" t="s">
        <v>30</v>
      </c>
      <c r="F528" t="s">
        <v>31</v>
      </c>
      <c r="G528" t="s">
        <v>32</v>
      </c>
      <c r="H528" t="s">
        <v>112</v>
      </c>
      <c r="I528" t="s">
        <v>49</v>
      </c>
      <c r="J528" t="s">
        <v>50</v>
      </c>
      <c r="K528" t="s">
        <v>51</v>
      </c>
      <c r="L528">
        <v>4</v>
      </c>
      <c r="M528" s="10">
        <v>0.08</v>
      </c>
      <c r="N528" s="11">
        <v>450800</v>
      </c>
      <c r="O528" s="11">
        <v>580000</v>
      </c>
      <c r="P528" s="11">
        <v>-129200</v>
      </c>
      <c r="Q528" t="s">
        <v>45</v>
      </c>
      <c r="R528" t="b">
        <f>COUNTIF($A$6     : CleanedSalesData[[#This Row],[Order ID]], CleanedSalesData[[#This Row],[Order ID]])&gt;1</f>
        <v>0</v>
      </c>
      <c r="S528" t="b">
        <f>IF(ISBLANK(CleanedSalesData[[#This Row],[Quantity]]), TRUE, FALSE)</f>
        <v>0</v>
      </c>
      <c r="T528" t="b">
        <f>IF(ISBLANK(CleanedSalesData[[#This Row],[Order Date]]), TRUE, FALSE)</f>
        <v>0</v>
      </c>
      <c r="U528" t="b">
        <f>IF(ISBLANK(CleanedSalesData[[#This Row],[Revenue]]), TRUE, FALSE)</f>
        <v>0</v>
      </c>
      <c r="V528" t="b">
        <f>IF(OR(CleanedSalesData[[#This Row],[Order Status]]="Cancelled", CleanedSalesData[[#This Row],[Order Status]]="Returned"), TRUE, FALSE)</f>
        <v>1</v>
      </c>
      <c r="W528" t="str" cm="1">
        <f t="array" ref="W52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29" spans="1:23" x14ac:dyDescent="0.35">
      <c r="A529" t="s">
        <v>674</v>
      </c>
      <c r="B529" s="7">
        <v>46180</v>
      </c>
      <c r="C529" t="s">
        <v>945</v>
      </c>
      <c r="D529">
        <v>6</v>
      </c>
      <c r="E529" t="s">
        <v>111</v>
      </c>
      <c r="F529" t="s">
        <v>47</v>
      </c>
      <c r="G529" t="s">
        <v>41</v>
      </c>
      <c r="H529" t="s">
        <v>33</v>
      </c>
      <c r="I529" t="s">
        <v>55</v>
      </c>
      <c r="J529" t="s">
        <v>56</v>
      </c>
      <c r="K529" t="s">
        <v>36</v>
      </c>
      <c r="L529">
        <v>5</v>
      </c>
      <c r="M529" s="10">
        <v>0.03</v>
      </c>
      <c r="N529" s="11">
        <v>8972500</v>
      </c>
      <c r="O529" s="11">
        <v>6600000</v>
      </c>
      <c r="P529" s="11">
        <v>2372500</v>
      </c>
      <c r="Q529" t="s">
        <v>37</v>
      </c>
      <c r="R529" t="b">
        <f>COUNTIF($A$6     : CleanedSalesData[[#This Row],[Order ID]], CleanedSalesData[[#This Row],[Order ID]])&gt;1</f>
        <v>0</v>
      </c>
      <c r="S529" t="b">
        <f>IF(ISBLANK(CleanedSalesData[[#This Row],[Quantity]]), TRUE, FALSE)</f>
        <v>0</v>
      </c>
      <c r="T529" t="b">
        <f>IF(ISBLANK(CleanedSalesData[[#This Row],[Order Date]]), TRUE, FALSE)</f>
        <v>0</v>
      </c>
      <c r="U529" t="b">
        <f>IF(ISBLANK(CleanedSalesData[[#This Row],[Revenue]]), TRUE, FALSE)</f>
        <v>0</v>
      </c>
      <c r="V529" t="b">
        <f>IF(OR(CleanedSalesData[[#This Row],[Order Status]]="Cancelled", CleanedSalesData[[#This Row],[Order Status]]="Returned"), TRUE, FALSE)</f>
        <v>0</v>
      </c>
      <c r="W529" t="str" cm="1">
        <f t="array" ref="W52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0" spans="1:23" x14ac:dyDescent="0.35">
      <c r="A530" t="s">
        <v>675</v>
      </c>
      <c r="B530" s="7">
        <v>46097</v>
      </c>
      <c r="C530" t="s">
        <v>947</v>
      </c>
      <c r="D530">
        <v>3</v>
      </c>
      <c r="E530" t="s">
        <v>54</v>
      </c>
      <c r="F530" t="s">
        <v>47</v>
      </c>
      <c r="G530" t="s">
        <v>48</v>
      </c>
      <c r="H530" t="s">
        <v>33</v>
      </c>
      <c r="I530" t="s">
        <v>60</v>
      </c>
      <c r="J530" t="s">
        <v>61</v>
      </c>
      <c r="K530" t="s">
        <v>62</v>
      </c>
      <c r="L530">
        <v>2</v>
      </c>
      <c r="M530" s="10">
        <v>0.05</v>
      </c>
      <c r="N530" s="11">
        <v>123500</v>
      </c>
      <c r="O530" s="11">
        <v>62000</v>
      </c>
      <c r="P530" s="11">
        <v>61500</v>
      </c>
      <c r="Q530" t="s">
        <v>63</v>
      </c>
      <c r="R530" t="b">
        <f>COUNTIF($A$6     : CleanedSalesData[[#This Row],[Order ID]], CleanedSalesData[[#This Row],[Order ID]])&gt;1</f>
        <v>0</v>
      </c>
      <c r="S530" t="b">
        <f>IF(ISBLANK(CleanedSalesData[[#This Row],[Quantity]]), TRUE, FALSE)</f>
        <v>0</v>
      </c>
      <c r="T530" t="b">
        <f>IF(ISBLANK(CleanedSalesData[[#This Row],[Order Date]]), TRUE, FALSE)</f>
        <v>0</v>
      </c>
      <c r="U530" t="b">
        <f>IF(ISBLANK(CleanedSalesData[[#This Row],[Revenue]]), TRUE, FALSE)</f>
        <v>0</v>
      </c>
      <c r="V530" t="b">
        <f>IF(OR(CleanedSalesData[[#This Row],[Order Status]]="Cancelled", CleanedSalesData[[#This Row],[Order Status]]="Returned"), TRUE, FALSE)</f>
        <v>0</v>
      </c>
      <c r="W530" t="str" cm="1">
        <f t="array" ref="W53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1" spans="1:23" x14ac:dyDescent="0.35">
      <c r="A531" t="s">
        <v>676</v>
      </c>
      <c r="B531" s="7">
        <v>46055</v>
      </c>
      <c r="C531" t="s">
        <v>944</v>
      </c>
      <c r="D531">
        <v>2</v>
      </c>
      <c r="E531" t="s">
        <v>54</v>
      </c>
      <c r="F531" t="s">
        <v>40</v>
      </c>
      <c r="G531" t="s">
        <v>32</v>
      </c>
      <c r="H531" t="s">
        <v>33</v>
      </c>
      <c r="I531" t="s">
        <v>66</v>
      </c>
      <c r="J531" t="s">
        <v>67</v>
      </c>
      <c r="K531" t="s">
        <v>51</v>
      </c>
      <c r="L531">
        <v>4</v>
      </c>
      <c r="M531" s="10">
        <v>0</v>
      </c>
      <c r="N531" s="11">
        <v>1240000</v>
      </c>
      <c r="O531" s="11">
        <v>760000</v>
      </c>
      <c r="P531" s="11">
        <v>480000</v>
      </c>
      <c r="Q531" t="s">
        <v>52</v>
      </c>
      <c r="R531" t="b">
        <f>COUNTIF($A$6     : CleanedSalesData[[#This Row],[Order ID]], CleanedSalesData[[#This Row],[Order ID]])&gt;1</f>
        <v>0</v>
      </c>
      <c r="S531" t="b">
        <f>IF(ISBLANK(CleanedSalesData[[#This Row],[Quantity]]), TRUE, FALSE)</f>
        <v>0</v>
      </c>
      <c r="T531" t="b">
        <f>IF(ISBLANK(CleanedSalesData[[#This Row],[Order Date]]), TRUE, FALSE)</f>
        <v>0</v>
      </c>
      <c r="U531" t="b">
        <f>IF(ISBLANK(CleanedSalesData[[#This Row],[Revenue]]), TRUE, FALSE)</f>
        <v>0</v>
      </c>
      <c r="V531" t="b">
        <f>IF(OR(CleanedSalesData[[#This Row],[Order Status]]="Cancelled", CleanedSalesData[[#This Row],[Order Status]]="Returned"), TRUE, FALSE)</f>
        <v>0</v>
      </c>
      <c r="W531" t="str" cm="1">
        <f t="array" ref="W53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2" spans="1:23" x14ac:dyDescent="0.35">
      <c r="A532" t="s">
        <v>677</v>
      </c>
      <c r="B532" s="7">
        <v>46138</v>
      </c>
      <c r="C532" t="s">
        <v>949</v>
      </c>
      <c r="D532">
        <v>4</v>
      </c>
      <c r="E532" t="s">
        <v>54</v>
      </c>
      <c r="F532" t="s">
        <v>47</v>
      </c>
      <c r="G532" t="s">
        <v>32</v>
      </c>
      <c r="H532" t="s">
        <v>33</v>
      </c>
      <c r="I532" t="s">
        <v>71</v>
      </c>
      <c r="J532" t="s">
        <v>72</v>
      </c>
      <c r="K532" t="s">
        <v>73</v>
      </c>
      <c r="L532">
        <v>6</v>
      </c>
      <c r="M532" s="10">
        <v>0.1</v>
      </c>
      <c r="N532" s="11">
        <v>675000</v>
      </c>
      <c r="O532" s="11">
        <v>420000</v>
      </c>
      <c r="P532" s="11">
        <v>255000</v>
      </c>
      <c r="Q532" t="s">
        <v>63</v>
      </c>
      <c r="R532" t="b">
        <f>COUNTIF($A$6     : CleanedSalesData[[#This Row],[Order ID]], CleanedSalesData[[#This Row],[Order ID]])&gt;1</f>
        <v>0</v>
      </c>
      <c r="S532" t="b">
        <f>IF(ISBLANK(CleanedSalesData[[#This Row],[Quantity]]), TRUE, FALSE)</f>
        <v>0</v>
      </c>
      <c r="T532" t="b">
        <f>IF(ISBLANK(CleanedSalesData[[#This Row],[Order Date]]), TRUE, FALSE)</f>
        <v>0</v>
      </c>
      <c r="U532" t="b">
        <f>IF(ISBLANK(CleanedSalesData[[#This Row],[Revenue]]), TRUE, FALSE)</f>
        <v>0</v>
      </c>
      <c r="V532" t="b">
        <f>IF(OR(CleanedSalesData[[#This Row],[Order Status]]="Cancelled", CleanedSalesData[[#This Row],[Order Status]]="Returned"), TRUE, FALSE)</f>
        <v>0</v>
      </c>
      <c r="W532" t="str" cm="1">
        <f t="array" ref="W53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3" spans="1:23" x14ac:dyDescent="0.35">
      <c r="A533" t="s">
        <v>678</v>
      </c>
      <c r="B533" s="7">
        <v>46132</v>
      </c>
      <c r="C533" t="s">
        <v>949</v>
      </c>
      <c r="D533">
        <v>4</v>
      </c>
      <c r="E533" t="s">
        <v>76</v>
      </c>
      <c r="F533" t="s">
        <v>31</v>
      </c>
      <c r="G533" t="s">
        <v>48</v>
      </c>
      <c r="H533" t="s">
        <v>33</v>
      </c>
      <c r="I533" t="s">
        <v>78</v>
      </c>
      <c r="J533" t="s">
        <v>79</v>
      </c>
      <c r="K533" t="s">
        <v>62</v>
      </c>
      <c r="L533">
        <v>3</v>
      </c>
      <c r="M533" s="10">
        <v>0</v>
      </c>
      <c r="N533" s="11">
        <v>255000</v>
      </c>
      <c r="O533" s="11">
        <v>129000</v>
      </c>
      <c r="P533" s="11">
        <v>126000</v>
      </c>
      <c r="Q533" t="s">
        <v>63</v>
      </c>
      <c r="R533" t="b">
        <f>COUNTIF($A$6     : CleanedSalesData[[#This Row],[Order ID]], CleanedSalesData[[#This Row],[Order ID]])&gt;1</f>
        <v>0</v>
      </c>
      <c r="S533" t="b">
        <f>IF(ISBLANK(CleanedSalesData[[#This Row],[Quantity]]), TRUE, FALSE)</f>
        <v>0</v>
      </c>
      <c r="T533" t="b">
        <f>IF(ISBLANK(CleanedSalesData[[#This Row],[Order Date]]), TRUE, FALSE)</f>
        <v>0</v>
      </c>
      <c r="U533" t="b">
        <f>IF(ISBLANK(CleanedSalesData[[#This Row],[Revenue]]), TRUE, FALSE)</f>
        <v>0</v>
      </c>
      <c r="V533" t="b">
        <f>IF(OR(CleanedSalesData[[#This Row],[Order Status]]="Cancelled", CleanedSalesData[[#This Row],[Order Status]]="Returned"), TRUE, FALSE)</f>
        <v>0</v>
      </c>
      <c r="W533" t="str" cm="1">
        <f t="array" ref="W53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4" spans="1:23" x14ac:dyDescent="0.35">
      <c r="A534" t="s">
        <v>679</v>
      </c>
      <c r="B534" s="7">
        <v>46057</v>
      </c>
      <c r="C534" t="s">
        <v>944</v>
      </c>
      <c r="D534">
        <v>2</v>
      </c>
      <c r="E534" t="s">
        <v>111</v>
      </c>
      <c r="F534" t="s">
        <v>70</v>
      </c>
      <c r="G534" t="s">
        <v>81</v>
      </c>
      <c r="H534" t="s">
        <v>33</v>
      </c>
      <c r="I534" t="s">
        <v>82</v>
      </c>
      <c r="J534" t="s">
        <v>83</v>
      </c>
      <c r="K534" t="s">
        <v>44</v>
      </c>
      <c r="L534">
        <v>6</v>
      </c>
      <c r="M534" s="10">
        <v>0.08</v>
      </c>
      <c r="N534" s="11">
        <v>8004000</v>
      </c>
      <c r="O534" s="11">
        <v>5880000</v>
      </c>
      <c r="P534" s="11">
        <v>2124000</v>
      </c>
      <c r="Q534" t="s">
        <v>37</v>
      </c>
      <c r="R534" t="b">
        <f>COUNTIF($A$6     : CleanedSalesData[[#This Row],[Order ID]], CleanedSalesData[[#This Row],[Order ID]])&gt;1</f>
        <v>0</v>
      </c>
      <c r="S534" t="b">
        <f>IF(ISBLANK(CleanedSalesData[[#This Row],[Quantity]]), TRUE, FALSE)</f>
        <v>0</v>
      </c>
      <c r="T534" t="b">
        <f>IF(ISBLANK(CleanedSalesData[[#This Row],[Order Date]]), TRUE, FALSE)</f>
        <v>0</v>
      </c>
      <c r="U534" t="b">
        <f>IF(ISBLANK(CleanedSalesData[[#This Row],[Revenue]]), TRUE, FALSE)</f>
        <v>0</v>
      </c>
      <c r="V534" t="b">
        <f>IF(OR(CleanedSalesData[[#This Row],[Order Status]]="Cancelled", CleanedSalesData[[#This Row],[Order Status]]="Returned"), TRUE, FALSE)</f>
        <v>0</v>
      </c>
      <c r="W534" t="str" cm="1">
        <f t="array" ref="W53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5" spans="1:23" x14ac:dyDescent="0.35">
      <c r="A535" t="s">
        <v>680</v>
      </c>
      <c r="B535" s="7">
        <v>46067</v>
      </c>
      <c r="C535" t="s">
        <v>944</v>
      </c>
      <c r="D535">
        <v>2</v>
      </c>
      <c r="E535" t="s">
        <v>76</v>
      </c>
      <c r="F535" t="s">
        <v>31</v>
      </c>
      <c r="G535" t="s">
        <v>32</v>
      </c>
      <c r="H535" t="s">
        <v>90</v>
      </c>
      <c r="I535" t="s">
        <v>86</v>
      </c>
      <c r="J535" t="s">
        <v>87</v>
      </c>
      <c r="K535" t="s">
        <v>36</v>
      </c>
      <c r="L535">
        <v>2</v>
      </c>
      <c r="M535" s="10">
        <v>0.05</v>
      </c>
      <c r="N535" s="11">
        <v>665000</v>
      </c>
      <c r="O535" s="11">
        <v>420000</v>
      </c>
      <c r="P535" s="11">
        <v>245000</v>
      </c>
      <c r="Q535" t="s">
        <v>37</v>
      </c>
      <c r="R535" t="b">
        <f>COUNTIF($A$6     : CleanedSalesData[[#This Row],[Order ID]], CleanedSalesData[[#This Row],[Order ID]])&gt;1</f>
        <v>0</v>
      </c>
      <c r="S535" t="b">
        <f>IF(ISBLANK(CleanedSalesData[[#This Row],[Quantity]]), TRUE, FALSE)</f>
        <v>0</v>
      </c>
      <c r="T535" t="b">
        <f>IF(ISBLANK(CleanedSalesData[[#This Row],[Order Date]]), TRUE, FALSE)</f>
        <v>0</v>
      </c>
      <c r="U535" t="b">
        <f>IF(ISBLANK(CleanedSalesData[[#This Row],[Revenue]]), TRUE, FALSE)</f>
        <v>0</v>
      </c>
      <c r="V535" t="b">
        <f>IF(OR(CleanedSalesData[[#This Row],[Order Status]]="Cancelled", CleanedSalesData[[#This Row],[Order Status]]="Returned"), TRUE, FALSE)</f>
        <v>0</v>
      </c>
      <c r="W535" t="str" cm="1">
        <f t="array" ref="W53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6" spans="1:23" x14ac:dyDescent="0.35">
      <c r="A536" t="s">
        <v>681</v>
      </c>
      <c r="B536" s="7">
        <v>32874</v>
      </c>
      <c r="C536" t="s">
        <v>948</v>
      </c>
      <c r="D536">
        <v>1</v>
      </c>
      <c r="E536" t="s">
        <v>39</v>
      </c>
      <c r="F536" t="s">
        <v>47</v>
      </c>
      <c r="G536" t="s">
        <v>48</v>
      </c>
      <c r="H536" t="s">
        <v>33</v>
      </c>
      <c r="I536" t="s">
        <v>34</v>
      </c>
      <c r="J536" t="s">
        <v>35</v>
      </c>
      <c r="K536" t="s">
        <v>36</v>
      </c>
      <c r="L536">
        <v>1</v>
      </c>
      <c r="M536" s="10">
        <v>0.1</v>
      </c>
      <c r="N536" s="11">
        <v>427500</v>
      </c>
      <c r="O536" s="11">
        <v>285000</v>
      </c>
      <c r="P536" s="11">
        <v>142500</v>
      </c>
      <c r="Q536" t="s">
        <v>74</v>
      </c>
      <c r="R536" t="b">
        <f>COUNTIF($A$6     : CleanedSalesData[[#This Row],[Order ID]], CleanedSalesData[[#This Row],[Order ID]])&gt;1</f>
        <v>0</v>
      </c>
      <c r="S536" t="b">
        <f>IF(ISBLANK(CleanedSalesData[[#This Row],[Quantity]]), TRUE, FALSE)</f>
        <v>0</v>
      </c>
      <c r="T536" t="b">
        <f>IF(ISBLANK(CleanedSalesData[[#This Row],[Order Date]]), TRUE, FALSE)</f>
        <v>0</v>
      </c>
      <c r="U536" t="b">
        <f>IF(ISBLANK(CleanedSalesData[[#This Row],[Revenue]]), TRUE, FALSE)</f>
        <v>0</v>
      </c>
      <c r="V536" t="b">
        <f>IF(OR(CleanedSalesData[[#This Row],[Order Status]]="Cancelled", CleanedSalesData[[#This Row],[Order Status]]="Returned"), TRUE, FALSE)</f>
        <v>0</v>
      </c>
      <c r="W536" t="str" cm="1">
        <f t="array" ref="W53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7" spans="1:23" x14ac:dyDescent="0.35">
      <c r="A537" t="s">
        <v>683</v>
      </c>
      <c r="B537" s="7">
        <v>46164</v>
      </c>
      <c r="C537" t="s">
        <v>946</v>
      </c>
      <c r="D537">
        <v>5</v>
      </c>
      <c r="E537" t="s">
        <v>54</v>
      </c>
      <c r="F537" t="s">
        <v>59</v>
      </c>
      <c r="G537" t="s">
        <v>32</v>
      </c>
      <c r="H537" t="s">
        <v>112</v>
      </c>
      <c r="I537" t="s">
        <v>42</v>
      </c>
      <c r="J537" t="s">
        <v>43</v>
      </c>
      <c r="K537" t="s">
        <v>44</v>
      </c>
      <c r="L537">
        <v>5</v>
      </c>
      <c r="M537" s="10">
        <v>0.1</v>
      </c>
      <c r="N537" s="11">
        <v>618750</v>
      </c>
      <c r="O537" s="11">
        <v>775000</v>
      </c>
      <c r="P537" s="11">
        <v>-156250</v>
      </c>
      <c r="Q537" t="s">
        <v>93</v>
      </c>
      <c r="R537" t="b">
        <f>COUNTIF($A$6     : CleanedSalesData[[#This Row],[Order ID]], CleanedSalesData[[#This Row],[Order ID]])&gt;1</f>
        <v>0</v>
      </c>
      <c r="S537" t="b">
        <f>IF(ISBLANK(CleanedSalesData[[#This Row],[Quantity]]), TRUE, FALSE)</f>
        <v>0</v>
      </c>
      <c r="T537" t="b">
        <f>IF(ISBLANK(CleanedSalesData[[#This Row],[Order Date]]), TRUE, FALSE)</f>
        <v>0</v>
      </c>
      <c r="U537" t="b">
        <f>IF(ISBLANK(CleanedSalesData[[#This Row],[Revenue]]), TRUE, FALSE)</f>
        <v>0</v>
      </c>
      <c r="V537" t="b">
        <f>IF(OR(CleanedSalesData[[#This Row],[Order Status]]="Cancelled", CleanedSalesData[[#This Row],[Order Status]]="Returned"), TRUE, FALSE)</f>
        <v>1</v>
      </c>
      <c r="W537" t="str" cm="1">
        <f t="array" ref="W53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38" spans="1:23" x14ac:dyDescent="0.35">
      <c r="A538" t="s">
        <v>684</v>
      </c>
      <c r="B538" s="7">
        <v>46080</v>
      </c>
      <c r="C538" t="s">
        <v>944</v>
      </c>
      <c r="D538">
        <v>2</v>
      </c>
      <c r="E538" t="s">
        <v>65</v>
      </c>
      <c r="F538" t="s">
        <v>47</v>
      </c>
      <c r="G538" t="s">
        <v>41</v>
      </c>
      <c r="H538" t="s">
        <v>33</v>
      </c>
      <c r="I538" t="s">
        <v>49</v>
      </c>
      <c r="J538" t="s">
        <v>50</v>
      </c>
      <c r="K538" t="s">
        <v>51</v>
      </c>
      <c r="L538">
        <v>5</v>
      </c>
      <c r="M538" s="10">
        <v>0.03</v>
      </c>
      <c r="N538" s="11">
        <v>1188250</v>
      </c>
      <c r="O538" s="11">
        <v>725000</v>
      </c>
      <c r="P538" s="11">
        <v>463250</v>
      </c>
      <c r="Q538" t="s">
        <v>63</v>
      </c>
      <c r="R538" t="b">
        <f>COUNTIF($A$6     : CleanedSalesData[[#This Row],[Order ID]], CleanedSalesData[[#This Row],[Order ID]])&gt;1</f>
        <v>0</v>
      </c>
      <c r="S538" t="b">
        <f>IF(ISBLANK(CleanedSalesData[[#This Row],[Quantity]]), TRUE, FALSE)</f>
        <v>0</v>
      </c>
      <c r="T538" t="b">
        <f>IF(ISBLANK(CleanedSalesData[[#This Row],[Order Date]]), TRUE, FALSE)</f>
        <v>0</v>
      </c>
      <c r="U538" t="b">
        <f>IF(ISBLANK(CleanedSalesData[[#This Row],[Revenue]]), TRUE, FALSE)</f>
        <v>0</v>
      </c>
      <c r="V538" t="b">
        <f>IF(OR(CleanedSalesData[[#This Row],[Order Status]]="Cancelled", CleanedSalesData[[#This Row],[Order Status]]="Returned"), TRUE, FALSE)</f>
        <v>0</v>
      </c>
      <c r="W538" t="str" cm="1">
        <f t="array" ref="W53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39" spans="1:23" x14ac:dyDescent="0.35">
      <c r="A539" t="s">
        <v>686</v>
      </c>
      <c r="B539" s="7">
        <v>46151</v>
      </c>
      <c r="C539" t="s">
        <v>946</v>
      </c>
      <c r="D539">
        <v>5</v>
      </c>
      <c r="E539" t="s">
        <v>30</v>
      </c>
      <c r="F539" t="s">
        <v>47</v>
      </c>
      <c r="G539" t="s">
        <v>32</v>
      </c>
      <c r="H539" t="s">
        <v>33</v>
      </c>
      <c r="I539" t="s">
        <v>55</v>
      </c>
      <c r="J539" t="s">
        <v>56</v>
      </c>
      <c r="K539" t="s">
        <v>36</v>
      </c>
      <c r="M539" s="10">
        <v>0.15</v>
      </c>
      <c r="N539" s="11">
        <v>1572500</v>
      </c>
      <c r="O539" s="11">
        <v>1320000</v>
      </c>
      <c r="P539" s="11">
        <v>252500</v>
      </c>
      <c r="Q539" t="s">
        <v>52</v>
      </c>
      <c r="R539" t="b">
        <f>COUNTIF($A$6     : CleanedSalesData[[#This Row],[Order ID]], CleanedSalesData[[#This Row],[Order ID]])&gt;1</f>
        <v>0</v>
      </c>
      <c r="S539" t="b">
        <f>IF(ISBLANK(CleanedSalesData[[#This Row],[Quantity]]), TRUE, FALSE)</f>
        <v>1</v>
      </c>
      <c r="T539" t="b">
        <f>IF(ISBLANK(CleanedSalesData[[#This Row],[Order Date]]), TRUE, FALSE)</f>
        <v>0</v>
      </c>
      <c r="U539" t="b">
        <f>IF(ISBLANK(CleanedSalesData[[#This Row],[Revenue]]), TRUE, FALSE)</f>
        <v>0</v>
      </c>
      <c r="V539" t="b">
        <f>IF(OR(CleanedSalesData[[#This Row],[Order Status]]="Cancelled", CleanedSalesData[[#This Row],[Order Status]]="Returned"), TRUE, FALSE)</f>
        <v>0</v>
      </c>
      <c r="W539" t="str" cm="1">
        <f t="array" ref="W53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Quantity</v>
      </c>
    </row>
    <row r="540" spans="1:23" x14ac:dyDescent="0.35">
      <c r="A540" t="s">
        <v>687</v>
      </c>
      <c r="B540" s="7">
        <v>46063</v>
      </c>
      <c r="C540" t="s">
        <v>944</v>
      </c>
      <c r="D540">
        <v>2</v>
      </c>
      <c r="E540" t="s">
        <v>54</v>
      </c>
      <c r="F540" t="s">
        <v>31</v>
      </c>
      <c r="G540" t="s">
        <v>48</v>
      </c>
      <c r="H540" t="s">
        <v>112</v>
      </c>
      <c r="I540" t="s">
        <v>60</v>
      </c>
      <c r="J540" t="s">
        <v>61</v>
      </c>
      <c r="K540" t="s">
        <v>62</v>
      </c>
      <c r="L540">
        <v>3</v>
      </c>
      <c r="M540" s="10">
        <v>0.1</v>
      </c>
      <c r="N540" s="11">
        <v>87750</v>
      </c>
      <c r="O540" s="11">
        <v>93000</v>
      </c>
      <c r="P540" s="11">
        <v>-5250</v>
      </c>
      <c r="Q540" t="s">
        <v>74</v>
      </c>
      <c r="R540" t="b">
        <f>COUNTIF($A$6     : CleanedSalesData[[#This Row],[Order ID]], CleanedSalesData[[#This Row],[Order ID]])&gt;1</f>
        <v>0</v>
      </c>
      <c r="S540" t="b">
        <f>IF(ISBLANK(CleanedSalesData[[#This Row],[Quantity]]), TRUE, FALSE)</f>
        <v>0</v>
      </c>
      <c r="T540" t="b">
        <f>IF(ISBLANK(CleanedSalesData[[#This Row],[Order Date]]), TRUE, FALSE)</f>
        <v>0</v>
      </c>
      <c r="U540" t="b">
        <f>IF(ISBLANK(CleanedSalesData[[#This Row],[Revenue]]), TRUE, FALSE)</f>
        <v>0</v>
      </c>
      <c r="V540" t="b">
        <f>IF(OR(CleanedSalesData[[#This Row],[Order Status]]="Cancelled", CleanedSalesData[[#This Row],[Order Status]]="Returned"), TRUE, FALSE)</f>
        <v>1</v>
      </c>
      <c r="W540" t="str" cm="1">
        <f t="array" ref="W54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41" spans="1:23" x14ac:dyDescent="0.35">
      <c r="A541" t="s">
        <v>688</v>
      </c>
      <c r="B541" s="7">
        <v>46079</v>
      </c>
      <c r="C541" t="s">
        <v>944</v>
      </c>
      <c r="D541">
        <v>2</v>
      </c>
      <c r="E541" t="s">
        <v>95</v>
      </c>
      <c r="F541" t="s">
        <v>70</v>
      </c>
      <c r="G541" t="s">
        <v>32</v>
      </c>
      <c r="H541" t="s">
        <v>33</v>
      </c>
      <c r="I541" t="s">
        <v>66</v>
      </c>
      <c r="J541" t="s">
        <v>67</v>
      </c>
      <c r="K541" t="s">
        <v>51</v>
      </c>
      <c r="L541">
        <v>8</v>
      </c>
      <c r="M541" s="10">
        <v>0.03</v>
      </c>
      <c r="O541" s="11">
        <v>1520000</v>
      </c>
      <c r="P541" s="11">
        <v>885600</v>
      </c>
      <c r="Q541" t="s">
        <v>45</v>
      </c>
      <c r="R541" t="b">
        <f>COUNTIF($A$6     : CleanedSalesData[[#This Row],[Order ID]], CleanedSalesData[[#This Row],[Order ID]])&gt;1</f>
        <v>0</v>
      </c>
      <c r="S541" t="b">
        <f>IF(ISBLANK(CleanedSalesData[[#This Row],[Quantity]]), TRUE, FALSE)</f>
        <v>0</v>
      </c>
      <c r="T541" t="b">
        <f>IF(ISBLANK(CleanedSalesData[[#This Row],[Order Date]]), TRUE, FALSE)</f>
        <v>0</v>
      </c>
      <c r="U541" t="b">
        <f>IF(ISBLANK(CleanedSalesData[[#This Row],[Revenue]]), TRUE, FALSE)</f>
        <v>1</v>
      </c>
      <c r="V541" t="b">
        <f>IF(OR(CleanedSalesData[[#This Row],[Order Status]]="Cancelled", CleanedSalesData[[#This Row],[Order Status]]="Returned"), TRUE, FALSE)</f>
        <v>0</v>
      </c>
      <c r="W541" t="str" cm="1">
        <f t="array" ref="W54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542" spans="1:23" x14ac:dyDescent="0.35">
      <c r="A542" t="s">
        <v>689</v>
      </c>
      <c r="B542" s="7">
        <v>46155</v>
      </c>
      <c r="C542" t="s">
        <v>946</v>
      </c>
      <c r="D542">
        <v>5</v>
      </c>
      <c r="E542" t="s">
        <v>95</v>
      </c>
      <c r="F542" t="s">
        <v>59</v>
      </c>
      <c r="G542" t="s">
        <v>41</v>
      </c>
      <c r="H542" t="s">
        <v>33</v>
      </c>
      <c r="I542" t="s">
        <v>71</v>
      </c>
      <c r="J542" t="s">
        <v>72</v>
      </c>
      <c r="K542" t="s">
        <v>73</v>
      </c>
      <c r="L542">
        <v>6</v>
      </c>
      <c r="M542" s="10">
        <v>0.08</v>
      </c>
      <c r="N542" s="11">
        <v>690000</v>
      </c>
      <c r="O542" s="11">
        <v>420000</v>
      </c>
      <c r="P542" s="11">
        <v>270000</v>
      </c>
      <c r="Q542" t="s">
        <v>63</v>
      </c>
      <c r="R542" t="b">
        <f>COUNTIF($A$6     : CleanedSalesData[[#This Row],[Order ID]], CleanedSalesData[[#This Row],[Order ID]])&gt;1</f>
        <v>0</v>
      </c>
      <c r="S542" t="b">
        <f>IF(ISBLANK(CleanedSalesData[[#This Row],[Quantity]]), TRUE, FALSE)</f>
        <v>0</v>
      </c>
      <c r="T542" t="b">
        <f>IF(ISBLANK(CleanedSalesData[[#This Row],[Order Date]]), TRUE, FALSE)</f>
        <v>0</v>
      </c>
      <c r="U542" t="b">
        <f>IF(ISBLANK(CleanedSalesData[[#This Row],[Revenue]]), TRUE, FALSE)</f>
        <v>0</v>
      </c>
      <c r="V542" t="b">
        <f>IF(OR(CleanedSalesData[[#This Row],[Order Status]]="Cancelled", CleanedSalesData[[#This Row],[Order Status]]="Returned"), TRUE, FALSE)</f>
        <v>0</v>
      </c>
      <c r="W542" t="str" cm="1">
        <f t="array" ref="W54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43" spans="1:23" x14ac:dyDescent="0.35">
      <c r="A543" t="s">
        <v>690</v>
      </c>
      <c r="B543" s="7">
        <v>46049</v>
      </c>
      <c r="C543" t="s">
        <v>948</v>
      </c>
      <c r="D543">
        <v>1</v>
      </c>
      <c r="E543" t="s">
        <v>65</v>
      </c>
      <c r="F543" t="s">
        <v>47</v>
      </c>
      <c r="G543" t="s">
        <v>32</v>
      </c>
      <c r="H543" t="s">
        <v>33</v>
      </c>
      <c r="I543" t="s">
        <v>78</v>
      </c>
      <c r="J543" t="s">
        <v>79</v>
      </c>
      <c r="K543" t="s">
        <v>62</v>
      </c>
      <c r="L543">
        <v>5</v>
      </c>
      <c r="M543" s="10">
        <v>0.15</v>
      </c>
      <c r="N543" s="11">
        <v>361250</v>
      </c>
      <c r="O543" s="11">
        <v>215000</v>
      </c>
      <c r="P543" s="11">
        <v>146250</v>
      </c>
      <c r="Q543" t="s">
        <v>93</v>
      </c>
      <c r="R543" t="b">
        <f>COUNTIF($A$6     : CleanedSalesData[[#This Row],[Order ID]], CleanedSalesData[[#This Row],[Order ID]])&gt;1</f>
        <v>0</v>
      </c>
      <c r="S543" t="b">
        <f>IF(ISBLANK(CleanedSalesData[[#This Row],[Quantity]]), TRUE, FALSE)</f>
        <v>0</v>
      </c>
      <c r="T543" t="b">
        <f>IF(ISBLANK(CleanedSalesData[[#This Row],[Order Date]]), TRUE, FALSE)</f>
        <v>0</v>
      </c>
      <c r="U543" t="b">
        <f>IF(ISBLANK(CleanedSalesData[[#This Row],[Revenue]]), TRUE, FALSE)</f>
        <v>0</v>
      </c>
      <c r="V543" t="b">
        <f>IF(OR(CleanedSalesData[[#This Row],[Order Status]]="Cancelled", CleanedSalesData[[#This Row],[Order Status]]="Returned"), TRUE, FALSE)</f>
        <v>0</v>
      </c>
      <c r="W543" t="str" cm="1">
        <f t="array" ref="W54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44" spans="1:23" x14ac:dyDescent="0.35">
      <c r="A544" t="s">
        <v>691</v>
      </c>
      <c r="B544" s="7">
        <v>46116</v>
      </c>
      <c r="C544" t="s">
        <v>949</v>
      </c>
      <c r="D544">
        <v>4</v>
      </c>
      <c r="E544" t="s">
        <v>54</v>
      </c>
      <c r="F544" t="s">
        <v>31</v>
      </c>
      <c r="G544" t="s">
        <v>48</v>
      </c>
      <c r="H544" t="s">
        <v>33</v>
      </c>
      <c r="I544" t="s">
        <v>82</v>
      </c>
      <c r="J544" t="s">
        <v>83</v>
      </c>
      <c r="K544" t="s">
        <v>44</v>
      </c>
      <c r="L544">
        <v>2</v>
      </c>
      <c r="M544" s="10">
        <v>0.1</v>
      </c>
      <c r="N544" s="11">
        <v>2610000</v>
      </c>
      <c r="O544" s="11">
        <v>1960000</v>
      </c>
      <c r="P544" s="11">
        <v>650000</v>
      </c>
      <c r="Q544" t="s">
        <v>63</v>
      </c>
      <c r="R544" t="b">
        <f>COUNTIF($A$6     : CleanedSalesData[[#This Row],[Order ID]], CleanedSalesData[[#This Row],[Order ID]])&gt;1</f>
        <v>0</v>
      </c>
      <c r="S544" t="b">
        <f>IF(ISBLANK(CleanedSalesData[[#This Row],[Quantity]]), TRUE, FALSE)</f>
        <v>0</v>
      </c>
      <c r="T544" t="b">
        <f>IF(ISBLANK(CleanedSalesData[[#This Row],[Order Date]]), TRUE, FALSE)</f>
        <v>0</v>
      </c>
      <c r="U544" t="b">
        <f>IF(ISBLANK(CleanedSalesData[[#This Row],[Revenue]]), TRUE, FALSE)</f>
        <v>0</v>
      </c>
      <c r="V544" t="b">
        <f>IF(OR(CleanedSalesData[[#This Row],[Order Status]]="Cancelled", CleanedSalesData[[#This Row],[Order Status]]="Returned"), TRUE, FALSE)</f>
        <v>0</v>
      </c>
      <c r="W544" t="str" cm="1">
        <f t="array" ref="W54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45" spans="1:23" x14ac:dyDescent="0.35">
      <c r="A545" t="s">
        <v>692</v>
      </c>
      <c r="B545" s="7">
        <v>46147</v>
      </c>
      <c r="C545" t="s">
        <v>946</v>
      </c>
      <c r="D545">
        <v>5</v>
      </c>
      <c r="E545" t="s">
        <v>30</v>
      </c>
      <c r="F545" t="s">
        <v>31</v>
      </c>
      <c r="G545" t="s">
        <v>48</v>
      </c>
      <c r="H545" t="s">
        <v>33</v>
      </c>
      <c r="I545" t="s">
        <v>86</v>
      </c>
      <c r="J545" t="s">
        <v>87</v>
      </c>
      <c r="K545" t="s">
        <v>36</v>
      </c>
      <c r="L545">
        <v>8</v>
      </c>
      <c r="M545" s="10">
        <v>0.1</v>
      </c>
      <c r="N545" s="11">
        <v>2520000</v>
      </c>
      <c r="O545" s="11">
        <v>1680000</v>
      </c>
      <c r="P545" s="11">
        <v>840000</v>
      </c>
      <c r="Q545" t="s">
        <v>45</v>
      </c>
      <c r="R545" t="b">
        <f>COUNTIF($A$6     : CleanedSalesData[[#This Row],[Order ID]], CleanedSalesData[[#This Row],[Order ID]])&gt;1</f>
        <v>0</v>
      </c>
      <c r="S545" t="b">
        <f>IF(ISBLANK(CleanedSalesData[[#This Row],[Quantity]]), TRUE, FALSE)</f>
        <v>0</v>
      </c>
      <c r="T545" t="b">
        <f>IF(ISBLANK(CleanedSalesData[[#This Row],[Order Date]]), TRUE, FALSE)</f>
        <v>0</v>
      </c>
      <c r="U545" t="b">
        <f>IF(ISBLANK(CleanedSalesData[[#This Row],[Revenue]]), TRUE, FALSE)</f>
        <v>0</v>
      </c>
      <c r="V545" t="b">
        <f>IF(OR(CleanedSalesData[[#This Row],[Order Status]]="Cancelled", CleanedSalesData[[#This Row],[Order Status]]="Returned"), TRUE, FALSE)</f>
        <v>0</v>
      </c>
      <c r="W545" t="str" cm="1">
        <f t="array" ref="W54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46" spans="1:23" x14ac:dyDescent="0.35">
      <c r="A546" t="s">
        <v>693</v>
      </c>
      <c r="B546" s="7">
        <v>46042</v>
      </c>
      <c r="C546" t="s">
        <v>948</v>
      </c>
      <c r="D546">
        <v>1</v>
      </c>
      <c r="E546" t="s">
        <v>69</v>
      </c>
      <c r="F546" t="s">
        <v>31</v>
      </c>
      <c r="G546" t="s">
        <v>81</v>
      </c>
      <c r="H546" t="s">
        <v>33</v>
      </c>
      <c r="I546" t="s">
        <v>34</v>
      </c>
      <c r="J546" t="s">
        <v>35</v>
      </c>
      <c r="K546" t="s">
        <v>36</v>
      </c>
      <c r="L546">
        <v>5</v>
      </c>
      <c r="M546" s="10">
        <v>0.03</v>
      </c>
      <c r="N546" s="11">
        <v>2303750</v>
      </c>
      <c r="O546" s="11">
        <v>1425000</v>
      </c>
      <c r="P546" s="11">
        <v>878750</v>
      </c>
      <c r="Q546" t="s">
        <v>45</v>
      </c>
      <c r="R546" t="b">
        <f>COUNTIF($A$6     : CleanedSalesData[[#This Row],[Order ID]], CleanedSalesData[[#This Row],[Order ID]])&gt;1</f>
        <v>0</v>
      </c>
      <c r="S546" t="b">
        <f>IF(ISBLANK(CleanedSalesData[[#This Row],[Quantity]]), TRUE, FALSE)</f>
        <v>0</v>
      </c>
      <c r="T546" t="b">
        <f>IF(ISBLANK(CleanedSalesData[[#This Row],[Order Date]]), TRUE, FALSE)</f>
        <v>0</v>
      </c>
      <c r="U546" t="b">
        <f>IF(ISBLANK(CleanedSalesData[[#This Row],[Revenue]]), TRUE, FALSE)</f>
        <v>0</v>
      </c>
      <c r="V546" t="b">
        <f>IF(OR(CleanedSalesData[[#This Row],[Order Status]]="Cancelled", CleanedSalesData[[#This Row],[Order Status]]="Returned"), TRUE, FALSE)</f>
        <v>0</v>
      </c>
      <c r="W546" t="str" cm="1">
        <f t="array" ref="W54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47" spans="1:23" x14ac:dyDescent="0.35">
      <c r="A547" t="s">
        <v>694</v>
      </c>
      <c r="B547" s="7">
        <v>46129</v>
      </c>
      <c r="C547" t="s">
        <v>949</v>
      </c>
      <c r="D547">
        <v>4</v>
      </c>
      <c r="E547" t="s">
        <v>39</v>
      </c>
      <c r="F547" t="s">
        <v>59</v>
      </c>
      <c r="G547" t="s">
        <v>48</v>
      </c>
      <c r="H547" t="s">
        <v>33</v>
      </c>
      <c r="I547" t="s">
        <v>42</v>
      </c>
      <c r="J547" t="s">
        <v>43</v>
      </c>
      <c r="K547" t="s">
        <v>44</v>
      </c>
      <c r="L547">
        <v>6</v>
      </c>
      <c r="M547" s="10">
        <v>0.15</v>
      </c>
      <c r="N547" s="11">
        <v>1402500</v>
      </c>
      <c r="O547" s="11">
        <v>930000</v>
      </c>
      <c r="P547" s="11">
        <v>472500</v>
      </c>
      <c r="Q547" t="s">
        <v>84</v>
      </c>
      <c r="R547" t="b">
        <f>COUNTIF($A$6     : CleanedSalesData[[#This Row],[Order ID]], CleanedSalesData[[#This Row],[Order ID]])&gt;1</f>
        <v>0</v>
      </c>
      <c r="S547" t="b">
        <f>IF(ISBLANK(CleanedSalesData[[#This Row],[Quantity]]), TRUE, FALSE)</f>
        <v>0</v>
      </c>
      <c r="T547" t="b">
        <f>IF(ISBLANK(CleanedSalesData[[#This Row],[Order Date]]), TRUE, FALSE)</f>
        <v>0</v>
      </c>
      <c r="U547" t="b">
        <f>IF(ISBLANK(CleanedSalesData[[#This Row],[Revenue]]), TRUE, FALSE)</f>
        <v>0</v>
      </c>
      <c r="V547" t="b">
        <f>IF(OR(CleanedSalesData[[#This Row],[Order Status]]="Cancelled", CleanedSalesData[[#This Row],[Order Status]]="Returned"), TRUE, FALSE)</f>
        <v>0</v>
      </c>
      <c r="W547" t="str" cm="1">
        <f t="array" ref="W54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48" spans="1:23" x14ac:dyDescent="0.35">
      <c r="A548" t="s">
        <v>695</v>
      </c>
      <c r="B548" s="7">
        <v>46188</v>
      </c>
      <c r="C548" t="s">
        <v>945</v>
      </c>
      <c r="D548">
        <v>6</v>
      </c>
      <c r="E548" t="s">
        <v>30</v>
      </c>
      <c r="F548" t="s">
        <v>31</v>
      </c>
      <c r="G548" t="s">
        <v>32</v>
      </c>
      <c r="H548" t="s">
        <v>33</v>
      </c>
      <c r="I548" t="s">
        <v>49</v>
      </c>
      <c r="J548" t="s">
        <v>50</v>
      </c>
      <c r="K548" t="s">
        <v>51</v>
      </c>
      <c r="L548">
        <v>7</v>
      </c>
      <c r="M548" s="10">
        <v>0</v>
      </c>
      <c r="N548" s="11">
        <v>1715000</v>
      </c>
      <c r="O548" s="11">
        <v>1015000</v>
      </c>
      <c r="P548" s="11">
        <v>700000</v>
      </c>
      <c r="Q548" t="s">
        <v>74</v>
      </c>
      <c r="R548" t="b">
        <f>COUNTIF($A$6     : CleanedSalesData[[#This Row],[Order ID]], CleanedSalesData[[#This Row],[Order ID]])&gt;1</f>
        <v>0</v>
      </c>
      <c r="S548" t="b">
        <f>IF(ISBLANK(CleanedSalesData[[#This Row],[Quantity]]), TRUE, FALSE)</f>
        <v>0</v>
      </c>
      <c r="T548" t="b">
        <f>IF(ISBLANK(CleanedSalesData[[#This Row],[Order Date]]), TRUE, FALSE)</f>
        <v>0</v>
      </c>
      <c r="U548" t="b">
        <f>IF(ISBLANK(CleanedSalesData[[#This Row],[Revenue]]), TRUE, FALSE)</f>
        <v>0</v>
      </c>
      <c r="V548" t="b">
        <f>IF(OR(CleanedSalesData[[#This Row],[Order Status]]="Cancelled", CleanedSalesData[[#This Row],[Order Status]]="Returned"), TRUE, FALSE)</f>
        <v>0</v>
      </c>
      <c r="W548" t="str" cm="1">
        <f t="array" ref="W54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49" spans="1:23" x14ac:dyDescent="0.35">
      <c r="A549" t="s">
        <v>696</v>
      </c>
      <c r="B549" s="7">
        <v>46169</v>
      </c>
      <c r="C549" t="s">
        <v>946</v>
      </c>
      <c r="D549">
        <v>5</v>
      </c>
      <c r="E549" t="s">
        <v>95</v>
      </c>
      <c r="F549" t="s">
        <v>31</v>
      </c>
      <c r="G549" t="s">
        <v>48</v>
      </c>
      <c r="H549" t="s">
        <v>33</v>
      </c>
      <c r="I549" t="s">
        <v>55</v>
      </c>
      <c r="J549" t="s">
        <v>56</v>
      </c>
      <c r="K549" t="s">
        <v>36</v>
      </c>
      <c r="L549">
        <v>3</v>
      </c>
      <c r="M549" s="10">
        <v>0</v>
      </c>
      <c r="N549" s="11">
        <v>5550000</v>
      </c>
      <c r="O549" s="11">
        <v>3960000</v>
      </c>
      <c r="P549" s="11">
        <v>1590000</v>
      </c>
      <c r="Q549" t="s">
        <v>57</v>
      </c>
      <c r="R549" t="b">
        <f>COUNTIF($A$6     : CleanedSalesData[[#This Row],[Order ID]], CleanedSalesData[[#This Row],[Order ID]])&gt;1</f>
        <v>0</v>
      </c>
      <c r="S549" t="b">
        <f>IF(ISBLANK(CleanedSalesData[[#This Row],[Quantity]]), TRUE, FALSE)</f>
        <v>0</v>
      </c>
      <c r="T549" t="b">
        <f>IF(ISBLANK(CleanedSalesData[[#This Row],[Order Date]]), TRUE, FALSE)</f>
        <v>0</v>
      </c>
      <c r="U549" t="b">
        <f>IF(ISBLANK(CleanedSalesData[[#This Row],[Revenue]]), TRUE, FALSE)</f>
        <v>0</v>
      </c>
      <c r="V549" t="b">
        <f>IF(OR(CleanedSalesData[[#This Row],[Order Status]]="Cancelled", CleanedSalesData[[#This Row],[Order Status]]="Returned"), TRUE, FALSE)</f>
        <v>0</v>
      </c>
      <c r="W549" t="str" cm="1">
        <f t="array" ref="W54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0" spans="1:23" x14ac:dyDescent="0.35">
      <c r="A550" t="s">
        <v>697</v>
      </c>
      <c r="B550" s="7">
        <v>46044</v>
      </c>
      <c r="C550" t="s">
        <v>948</v>
      </c>
      <c r="D550">
        <v>1</v>
      </c>
      <c r="E550" t="s">
        <v>30</v>
      </c>
      <c r="F550" t="s">
        <v>59</v>
      </c>
      <c r="G550" t="s">
        <v>48</v>
      </c>
      <c r="H550" t="s">
        <v>33</v>
      </c>
      <c r="I550" t="s">
        <v>60</v>
      </c>
      <c r="J550" t="s">
        <v>61</v>
      </c>
      <c r="K550" t="s">
        <v>62</v>
      </c>
      <c r="L550">
        <v>4</v>
      </c>
      <c r="M550" s="10">
        <v>0.08</v>
      </c>
      <c r="N550" s="11">
        <v>239200</v>
      </c>
      <c r="O550" s="11">
        <v>124000</v>
      </c>
      <c r="P550" s="11">
        <v>115200</v>
      </c>
      <c r="Q550" t="s">
        <v>45</v>
      </c>
      <c r="R550" t="b">
        <f>COUNTIF($A$6     : CleanedSalesData[[#This Row],[Order ID]], CleanedSalesData[[#This Row],[Order ID]])&gt;1</f>
        <v>0</v>
      </c>
      <c r="S550" t="b">
        <f>IF(ISBLANK(CleanedSalesData[[#This Row],[Quantity]]), TRUE, FALSE)</f>
        <v>0</v>
      </c>
      <c r="T550" t="b">
        <f>IF(ISBLANK(CleanedSalesData[[#This Row],[Order Date]]), TRUE, FALSE)</f>
        <v>0</v>
      </c>
      <c r="U550" t="b">
        <f>IF(ISBLANK(CleanedSalesData[[#This Row],[Revenue]]), TRUE, FALSE)</f>
        <v>0</v>
      </c>
      <c r="V550" t="b">
        <f>IF(OR(CleanedSalesData[[#This Row],[Order Status]]="Cancelled", CleanedSalesData[[#This Row],[Order Status]]="Returned"), TRUE, FALSE)</f>
        <v>0</v>
      </c>
      <c r="W550" t="str" cm="1">
        <f t="array" ref="W55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1" spans="1:23" x14ac:dyDescent="0.35">
      <c r="A551" t="s">
        <v>698</v>
      </c>
      <c r="B551" s="7">
        <v>46128</v>
      </c>
      <c r="C551" t="s">
        <v>949</v>
      </c>
      <c r="D551">
        <v>4</v>
      </c>
      <c r="E551" t="s">
        <v>30</v>
      </c>
      <c r="F551" t="s">
        <v>31</v>
      </c>
      <c r="G551" t="s">
        <v>81</v>
      </c>
      <c r="H551" t="s">
        <v>90</v>
      </c>
      <c r="I551" t="s">
        <v>66</v>
      </c>
      <c r="J551" t="s">
        <v>67</v>
      </c>
      <c r="K551" t="s">
        <v>51</v>
      </c>
      <c r="L551">
        <v>3</v>
      </c>
      <c r="M551" s="10">
        <v>0.1</v>
      </c>
      <c r="N551" s="11">
        <v>837000</v>
      </c>
      <c r="O551" s="11">
        <v>570000</v>
      </c>
      <c r="P551" s="11">
        <v>267000</v>
      </c>
      <c r="Q551" t="s">
        <v>63</v>
      </c>
      <c r="R551" t="b">
        <f>COUNTIF($A$6     : CleanedSalesData[[#This Row],[Order ID]], CleanedSalesData[[#This Row],[Order ID]])&gt;1</f>
        <v>0</v>
      </c>
      <c r="S551" t="b">
        <f>IF(ISBLANK(CleanedSalesData[[#This Row],[Quantity]]), TRUE, FALSE)</f>
        <v>0</v>
      </c>
      <c r="T551" t="b">
        <f>IF(ISBLANK(CleanedSalesData[[#This Row],[Order Date]]), TRUE, FALSE)</f>
        <v>0</v>
      </c>
      <c r="U551" t="b">
        <f>IF(ISBLANK(CleanedSalesData[[#This Row],[Revenue]]), TRUE, FALSE)</f>
        <v>0</v>
      </c>
      <c r="V551" t="b">
        <f>IF(OR(CleanedSalesData[[#This Row],[Order Status]]="Cancelled", CleanedSalesData[[#This Row],[Order Status]]="Returned"), TRUE, FALSE)</f>
        <v>0</v>
      </c>
      <c r="W551" t="str" cm="1">
        <f t="array" ref="W55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2" spans="1:23" x14ac:dyDescent="0.35">
      <c r="A552" t="s">
        <v>699</v>
      </c>
      <c r="B552" s="7">
        <v>46139</v>
      </c>
      <c r="C552" t="s">
        <v>949</v>
      </c>
      <c r="D552">
        <v>4</v>
      </c>
      <c r="E552" t="s">
        <v>95</v>
      </c>
      <c r="F552" t="s">
        <v>31</v>
      </c>
      <c r="G552" t="s">
        <v>41</v>
      </c>
      <c r="H552" t="s">
        <v>33</v>
      </c>
      <c r="I552" t="s">
        <v>71</v>
      </c>
      <c r="J552" t="s">
        <v>72</v>
      </c>
      <c r="K552" t="s">
        <v>73</v>
      </c>
      <c r="L552">
        <v>2</v>
      </c>
      <c r="M552" s="10">
        <v>0.03</v>
      </c>
      <c r="N552" s="11">
        <v>242500</v>
      </c>
      <c r="O552" s="11">
        <v>140000</v>
      </c>
      <c r="P552" s="11">
        <v>102500</v>
      </c>
      <c r="Q552" t="s">
        <v>45</v>
      </c>
      <c r="R552" t="b">
        <f>COUNTIF($A$6     : CleanedSalesData[[#This Row],[Order ID]], CleanedSalesData[[#This Row],[Order ID]])&gt;1</f>
        <v>0</v>
      </c>
      <c r="S552" t="b">
        <f>IF(ISBLANK(CleanedSalesData[[#This Row],[Quantity]]), TRUE, FALSE)</f>
        <v>0</v>
      </c>
      <c r="T552" t="b">
        <f>IF(ISBLANK(CleanedSalesData[[#This Row],[Order Date]]), TRUE, FALSE)</f>
        <v>0</v>
      </c>
      <c r="U552" t="b">
        <f>IF(ISBLANK(CleanedSalesData[[#This Row],[Revenue]]), TRUE, FALSE)</f>
        <v>0</v>
      </c>
      <c r="V552" t="b">
        <f>IF(OR(CleanedSalesData[[#This Row],[Order Status]]="Cancelled", CleanedSalesData[[#This Row],[Order Status]]="Returned"), TRUE, FALSE)</f>
        <v>0</v>
      </c>
      <c r="W552" t="str" cm="1">
        <f t="array" ref="W55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3" spans="1:23" x14ac:dyDescent="0.35">
      <c r="A553" t="s">
        <v>700</v>
      </c>
      <c r="B553" s="7">
        <v>46156</v>
      </c>
      <c r="C553" t="s">
        <v>946</v>
      </c>
      <c r="D553">
        <v>5</v>
      </c>
      <c r="E553" t="s">
        <v>95</v>
      </c>
      <c r="F553" t="s">
        <v>31</v>
      </c>
      <c r="G553" t="s">
        <v>48</v>
      </c>
      <c r="H553" t="s">
        <v>33</v>
      </c>
      <c r="I553" t="s">
        <v>78</v>
      </c>
      <c r="J553" t="s">
        <v>79</v>
      </c>
      <c r="K553" t="s">
        <v>62</v>
      </c>
      <c r="L553">
        <v>7</v>
      </c>
      <c r="M553" s="10">
        <v>0.03</v>
      </c>
      <c r="N553" s="11">
        <v>577150</v>
      </c>
      <c r="O553" s="11">
        <v>301000</v>
      </c>
      <c r="P553" s="11">
        <v>276150</v>
      </c>
      <c r="Q553" t="s">
        <v>37</v>
      </c>
      <c r="R553" t="b">
        <f>COUNTIF($A$6     : CleanedSalesData[[#This Row],[Order ID]], CleanedSalesData[[#This Row],[Order ID]])&gt;1</f>
        <v>0</v>
      </c>
      <c r="S553" t="b">
        <f>IF(ISBLANK(CleanedSalesData[[#This Row],[Quantity]]), TRUE, FALSE)</f>
        <v>0</v>
      </c>
      <c r="T553" t="b">
        <f>IF(ISBLANK(CleanedSalesData[[#This Row],[Order Date]]), TRUE, FALSE)</f>
        <v>0</v>
      </c>
      <c r="U553" t="b">
        <f>IF(ISBLANK(CleanedSalesData[[#This Row],[Revenue]]), TRUE, FALSE)</f>
        <v>0</v>
      </c>
      <c r="V553" t="b">
        <f>IF(OR(CleanedSalesData[[#This Row],[Order Status]]="Cancelled", CleanedSalesData[[#This Row],[Order Status]]="Returned"), TRUE, FALSE)</f>
        <v>0</v>
      </c>
      <c r="W553" t="str" cm="1">
        <f t="array" ref="W55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4" spans="1:23" x14ac:dyDescent="0.35">
      <c r="A554" t="s">
        <v>701</v>
      </c>
      <c r="B554" s="7">
        <v>46046</v>
      </c>
      <c r="C554" t="s">
        <v>948</v>
      </c>
      <c r="D554">
        <v>1</v>
      </c>
      <c r="E554" t="s">
        <v>65</v>
      </c>
      <c r="F554" t="s">
        <v>47</v>
      </c>
      <c r="G554" t="s">
        <v>41</v>
      </c>
      <c r="H554" t="s">
        <v>33</v>
      </c>
      <c r="I554" t="s">
        <v>82</v>
      </c>
      <c r="J554" t="s">
        <v>83</v>
      </c>
      <c r="K554" t="s">
        <v>44</v>
      </c>
      <c r="L554">
        <v>8</v>
      </c>
      <c r="M554" s="10">
        <v>0.15</v>
      </c>
      <c r="N554" s="11">
        <v>9860000</v>
      </c>
      <c r="O554" s="11">
        <v>7840000</v>
      </c>
      <c r="P554" s="11">
        <v>2020000</v>
      </c>
      <c r="Q554" t="s">
        <v>93</v>
      </c>
      <c r="R554" t="b">
        <f>COUNTIF($A$6     : CleanedSalesData[[#This Row],[Order ID]], CleanedSalesData[[#This Row],[Order ID]])&gt;1</f>
        <v>0</v>
      </c>
      <c r="S554" t="b">
        <f>IF(ISBLANK(CleanedSalesData[[#This Row],[Quantity]]), TRUE, FALSE)</f>
        <v>0</v>
      </c>
      <c r="T554" t="b">
        <f>IF(ISBLANK(CleanedSalesData[[#This Row],[Order Date]]), TRUE, FALSE)</f>
        <v>0</v>
      </c>
      <c r="U554" t="b">
        <f>IF(ISBLANK(CleanedSalesData[[#This Row],[Revenue]]), TRUE, FALSE)</f>
        <v>0</v>
      </c>
      <c r="V554" t="b">
        <f>IF(OR(CleanedSalesData[[#This Row],[Order Status]]="Cancelled", CleanedSalesData[[#This Row],[Order Status]]="Returned"), TRUE, FALSE)</f>
        <v>0</v>
      </c>
      <c r="W554" t="str" cm="1">
        <f t="array" ref="W55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5" spans="1:23" x14ac:dyDescent="0.35">
      <c r="A555" t="s">
        <v>702</v>
      </c>
      <c r="B555" s="7">
        <v>46117</v>
      </c>
      <c r="C555" t="s">
        <v>949</v>
      </c>
      <c r="D555">
        <v>4</v>
      </c>
      <c r="E555" t="s">
        <v>65</v>
      </c>
      <c r="F555" t="s">
        <v>31</v>
      </c>
      <c r="G555" t="s">
        <v>48</v>
      </c>
      <c r="H555" t="s">
        <v>33</v>
      </c>
      <c r="I555" t="s">
        <v>86</v>
      </c>
      <c r="J555" t="s">
        <v>87</v>
      </c>
      <c r="K555" t="s">
        <v>36</v>
      </c>
      <c r="L555">
        <v>1</v>
      </c>
      <c r="M555" s="10">
        <v>0.15</v>
      </c>
      <c r="N555" s="11">
        <v>297500</v>
      </c>
      <c r="O555" s="11">
        <v>210000</v>
      </c>
      <c r="P555" s="11">
        <v>87500</v>
      </c>
      <c r="Q555" t="s">
        <v>63</v>
      </c>
      <c r="R555" t="b">
        <f>COUNTIF($A$6     : CleanedSalesData[[#This Row],[Order ID]], CleanedSalesData[[#This Row],[Order ID]])&gt;1</f>
        <v>0</v>
      </c>
      <c r="S555" t="b">
        <f>IF(ISBLANK(CleanedSalesData[[#This Row],[Quantity]]), TRUE, FALSE)</f>
        <v>0</v>
      </c>
      <c r="T555" t="b">
        <f>IF(ISBLANK(CleanedSalesData[[#This Row],[Order Date]]), TRUE, FALSE)</f>
        <v>0</v>
      </c>
      <c r="U555" t="b">
        <f>IF(ISBLANK(CleanedSalesData[[#This Row],[Revenue]]), TRUE, FALSE)</f>
        <v>0</v>
      </c>
      <c r="V555" t="b">
        <f>IF(OR(CleanedSalesData[[#This Row],[Order Status]]="Cancelled", CleanedSalesData[[#This Row],[Order Status]]="Returned"), TRUE, FALSE)</f>
        <v>0</v>
      </c>
      <c r="W555" t="str" cm="1">
        <f t="array" ref="W55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6" spans="1:23" x14ac:dyDescent="0.35">
      <c r="A556" t="s">
        <v>703</v>
      </c>
      <c r="B556" s="7">
        <v>46173</v>
      </c>
      <c r="C556" t="s">
        <v>946</v>
      </c>
      <c r="D556">
        <v>5</v>
      </c>
      <c r="E556" t="s">
        <v>69</v>
      </c>
      <c r="F556" t="s">
        <v>59</v>
      </c>
      <c r="G556" t="s">
        <v>32</v>
      </c>
      <c r="H556" t="s">
        <v>33</v>
      </c>
      <c r="I556" t="s">
        <v>34</v>
      </c>
      <c r="J556" t="s">
        <v>35</v>
      </c>
      <c r="K556" t="s">
        <v>36</v>
      </c>
      <c r="L556">
        <v>2</v>
      </c>
      <c r="M556" s="10">
        <v>0.08</v>
      </c>
      <c r="N556" s="11">
        <v>874000</v>
      </c>
      <c r="O556" s="11">
        <v>570000</v>
      </c>
      <c r="P556" s="11">
        <v>304000</v>
      </c>
      <c r="Q556" t="s">
        <v>57</v>
      </c>
      <c r="R556" t="b">
        <f>COUNTIF($A$6     : CleanedSalesData[[#This Row],[Order ID]], CleanedSalesData[[#This Row],[Order ID]])&gt;1</f>
        <v>0</v>
      </c>
      <c r="S556" t="b">
        <f>IF(ISBLANK(CleanedSalesData[[#This Row],[Quantity]]), TRUE, FALSE)</f>
        <v>0</v>
      </c>
      <c r="T556" t="b">
        <f>IF(ISBLANK(CleanedSalesData[[#This Row],[Order Date]]), TRUE, FALSE)</f>
        <v>0</v>
      </c>
      <c r="U556" t="b">
        <f>IF(ISBLANK(CleanedSalesData[[#This Row],[Revenue]]), TRUE, FALSE)</f>
        <v>0</v>
      </c>
      <c r="V556" t="b">
        <f>IF(OR(CleanedSalesData[[#This Row],[Order Status]]="Cancelled", CleanedSalesData[[#This Row],[Order Status]]="Returned"), TRUE, FALSE)</f>
        <v>0</v>
      </c>
      <c r="W556" t="str" cm="1">
        <f t="array" ref="W55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7" spans="1:23" x14ac:dyDescent="0.35">
      <c r="A557" t="s">
        <v>704</v>
      </c>
      <c r="B557" s="7">
        <v>46176</v>
      </c>
      <c r="C557" t="s">
        <v>945</v>
      </c>
      <c r="D557">
        <v>6</v>
      </c>
      <c r="E557" t="s">
        <v>95</v>
      </c>
      <c r="F557" t="s">
        <v>40</v>
      </c>
      <c r="G557" t="s">
        <v>41</v>
      </c>
      <c r="H557" t="s">
        <v>33</v>
      </c>
      <c r="I557" t="s">
        <v>42</v>
      </c>
      <c r="J557" t="s">
        <v>43</v>
      </c>
      <c r="K557" t="s">
        <v>44</v>
      </c>
      <c r="L557">
        <v>7</v>
      </c>
      <c r="M557" s="10">
        <v>0.05</v>
      </c>
      <c r="N557" s="11">
        <v>1828750</v>
      </c>
      <c r="O557" s="11">
        <v>1085000</v>
      </c>
      <c r="P557" s="11">
        <v>743750</v>
      </c>
      <c r="Q557" t="s">
        <v>93</v>
      </c>
      <c r="R557" t="b">
        <f>COUNTIF($A$6     : CleanedSalesData[[#This Row],[Order ID]], CleanedSalesData[[#This Row],[Order ID]])&gt;1</f>
        <v>0</v>
      </c>
      <c r="S557" t="b">
        <f>IF(ISBLANK(CleanedSalesData[[#This Row],[Quantity]]), TRUE, FALSE)</f>
        <v>0</v>
      </c>
      <c r="T557" t="b">
        <f>IF(ISBLANK(CleanedSalesData[[#This Row],[Order Date]]), TRUE, FALSE)</f>
        <v>0</v>
      </c>
      <c r="U557" t="b">
        <f>IF(ISBLANK(CleanedSalesData[[#This Row],[Revenue]]), TRUE, FALSE)</f>
        <v>0</v>
      </c>
      <c r="V557" t="b">
        <f>IF(OR(CleanedSalesData[[#This Row],[Order Status]]="Cancelled", CleanedSalesData[[#This Row],[Order Status]]="Returned"), TRUE, FALSE)</f>
        <v>0</v>
      </c>
      <c r="W557" t="str" cm="1">
        <f t="array" ref="W55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8" spans="1:23" x14ac:dyDescent="0.35">
      <c r="A558" t="s">
        <v>705</v>
      </c>
      <c r="B558" s="7">
        <v>46190</v>
      </c>
      <c r="C558" t="s">
        <v>945</v>
      </c>
      <c r="D558">
        <v>6</v>
      </c>
      <c r="E558" t="s">
        <v>69</v>
      </c>
      <c r="F558" t="s">
        <v>59</v>
      </c>
      <c r="G558" t="s">
        <v>81</v>
      </c>
      <c r="H558" t="s">
        <v>90</v>
      </c>
      <c r="I558" t="s">
        <v>49</v>
      </c>
      <c r="J558" t="s">
        <v>50</v>
      </c>
      <c r="K558" t="s">
        <v>51</v>
      </c>
      <c r="L558">
        <v>4</v>
      </c>
      <c r="M558" s="10">
        <v>0.15</v>
      </c>
      <c r="N558" s="11">
        <v>833000</v>
      </c>
      <c r="O558" s="11">
        <v>580000</v>
      </c>
      <c r="P558" s="11">
        <v>253000</v>
      </c>
      <c r="Q558" t="s">
        <v>84</v>
      </c>
      <c r="R558" t="b">
        <f>COUNTIF($A$6     : CleanedSalesData[[#This Row],[Order ID]], CleanedSalesData[[#This Row],[Order ID]])&gt;1</f>
        <v>0</v>
      </c>
      <c r="S558" t="b">
        <f>IF(ISBLANK(CleanedSalesData[[#This Row],[Quantity]]), TRUE, FALSE)</f>
        <v>0</v>
      </c>
      <c r="T558" t="b">
        <f>IF(ISBLANK(CleanedSalesData[[#This Row],[Order Date]]), TRUE, FALSE)</f>
        <v>0</v>
      </c>
      <c r="U558" t="b">
        <f>IF(ISBLANK(CleanedSalesData[[#This Row],[Revenue]]), TRUE, FALSE)</f>
        <v>0</v>
      </c>
      <c r="V558" t="b">
        <f>IF(OR(CleanedSalesData[[#This Row],[Order Status]]="Cancelled", CleanedSalesData[[#This Row],[Order Status]]="Returned"), TRUE, FALSE)</f>
        <v>0</v>
      </c>
      <c r="W558" t="str" cm="1">
        <f t="array" ref="W55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59" spans="1:23" x14ac:dyDescent="0.35">
      <c r="A559" t="s">
        <v>706</v>
      </c>
      <c r="B559" s="7">
        <v>46132</v>
      </c>
      <c r="C559" t="s">
        <v>949</v>
      </c>
      <c r="D559">
        <v>4</v>
      </c>
      <c r="E559" t="s">
        <v>76</v>
      </c>
      <c r="F559" t="s">
        <v>59</v>
      </c>
      <c r="G559" t="s">
        <v>81</v>
      </c>
      <c r="H559" t="s">
        <v>90</v>
      </c>
      <c r="I559" t="s">
        <v>55</v>
      </c>
      <c r="J559" t="s">
        <v>56</v>
      </c>
      <c r="K559" t="s">
        <v>36</v>
      </c>
      <c r="L559">
        <v>5</v>
      </c>
      <c r="M559" s="10">
        <v>0.05</v>
      </c>
      <c r="N559" s="11">
        <v>8787500</v>
      </c>
      <c r="O559" s="11">
        <v>6600000</v>
      </c>
      <c r="P559" s="11">
        <v>2187500</v>
      </c>
      <c r="Q559" t="s">
        <v>93</v>
      </c>
      <c r="R559" t="b">
        <f>COUNTIF($A$6     : CleanedSalesData[[#This Row],[Order ID]], CleanedSalesData[[#This Row],[Order ID]])&gt;1</f>
        <v>0</v>
      </c>
      <c r="S559" t="b">
        <f>IF(ISBLANK(CleanedSalesData[[#This Row],[Quantity]]), TRUE, FALSE)</f>
        <v>0</v>
      </c>
      <c r="T559" t="b">
        <f>IF(ISBLANK(CleanedSalesData[[#This Row],[Order Date]]), TRUE, FALSE)</f>
        <v>0</v>
      </c>
      <c r="U559" t="b">
        <f>IF(ISBLANK(CleanedSalesData[[#This Row],[Revenue]]), TRUE, FALSE)</f>
        <v>0</v>
      </c>
      <c r="V559" t="b">
        <f>IF(OR(CleanedSalesData[[#This Row],[Order Status]]="Cancelled", CleanedSalesData[[#This Row],[Order Status]]="Returned"), TRUE, FALSE)</f>
        <v>0</v>
      </c>
      <c r="W559" t="str" cm="1">
        <f t="array" ref="W55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0" spans="1:23" x14ac:dyDescent="0.35">
      <c r="A560" t="s">
        <v>707</v>
      </c>
      <c r="B560" s="7">
        <v>46075</v>
      </c>
      <c r="C560" t="s">
        <v>944</v>
      </c>
      <c r="D560">
        <v>2</v>
      </c>
      <c r="E560" t="s">
        <v>54</v>
      </c>
      <c r="F560" t="s">
        <v>59</v>
      </c>
      <c r="G560" t="s">
        <v>32</v>
      </c>
      <c r="H560" t="s">
        <v>90</v>
      </c>
      <c r="I560" t="s">
        <v>60</v>
      </c>
      <c r="J560" t="s">
        <v>61</v>
      </c>
      <c r="K560" t="s">
        <v>62</v>
      </c>
      <c r="L560">
        <v>7</v>
      </c>
      <c r="M560" s="10">
        <v>0.1</v>
      </c>
      <c r="N560" s="11">
        <v>409500</v>
      </c>
      <c r="O560" s="11">
        <v>217000</v>
      </c>
      <c r="P560" s="11">
        <v>192500</v>
      </c>
      <c r="Q560" t="s">
        <v>52</v>
      </c>
      <c r="R560" t="b">
        <f>COUNTIF($A$6     : CleanedSalesData[[#This Row],[Order ID]], CleanedSalesData[[#This Row],[Order ID]])&gt;1</f>
        <v>0</v>
      </c>
      <c r="S560" t="b">
        <f>IF(ISBLANK(CleanedSalesData[[#This Row],[Quantity]]), TRUE, FALSE)</f>
        <v>0</v>
      </c>
      <c r="T560" t="b">
        <f>IF(ISBLANK(CleanedSalesData[[#This Row],[Order Date]]), TRUE, FALSE)</f>
        <v>0</v>
      </c>
      <c r="U560" t="b">
        <f>IF(ISBLANK(CleanedSalesData[[#This Row],[Revenue]]), TRUE, FALSE)</f>
        <v>0</v>
      </c>
      <c r="V560" t="b">
        <f>IF(OR(CleanedSalesData[[#This Row],[Order Status]]="Cancelled", CleanedSalesData[[#This Row],[Order Status]]="Returned"), TRUE, FALSE)</f>
        <v>0</v>
      </c>
      <c r="W560" t="str" cm="1">
        <f t="array" ref="W56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1" spans="1:23" x14ac:dyDescent="0.35">
      <c r="A561" t="s">
        <v>708</v>
      </c>
      <c r="B561" s="7">
        <v>46087</v>
      </c>
      <c r="C561" t="s">
        <v>947</v>
      </c>
      <c r="D561">
        <v>3</v>
      </c>
      <c r="E561" t="s">
        <v>69</v>
      </c>
      <c r="F561" t="s">
        <v>59</v>
      </c>
      <c r="G561" t="s">
        <v>32</v>
      </c>
      <c r="H561" t="s">
        <v>33</v>
      </c>
      <c r="I561" t="s">
        <v>66</v>
      </c>
      <c r="J561" t="s">
        <v>67</v>
      </c>
      <c r="K561" t="s">
        <v>51</v>
      </c>
      <c r="L561">
        <v>5</v>
      </c>
      <c r="M561" s="10">
        <v>0.1</v>
      </c>
      <c r="N561" s="11">
        <v>1395000</v>
      </c>
      <c r="O561" s="11">
        <v>950000</v>
      </c>
      <c r="P561" s="11">
        <v>445000</v>
      </c>
      <c r="Q561" t="s">
        <v>45</v>
      </c>
      <c r="R561" t="b">
        <f>COUNTIF($A$6     : CleanedSalesData[[#This Row],[Order ID]], CleanedSalesData[[#This Row],[Order ID]])&gt;1</f>
        <v>0</v>
      </c>
      <c r="S561" t="b">
        <f>IF(ISBLANK(CleanedSalesData[[#This Row],[Quantity]]), TRUE, FALSE)</f>
        <v>0</v>
      </c>
      <c r="T561" t="b">
        <f>IF(ISBLANK(CleanedSalesData[[#This Row],[Order Date]]), TRUE, FALSE)</f>
        <v>0</v>
      </c>
      <c r="U561" t="b">
        <f>IF(ISBLANK(CleanedSalesData[[#This Row],[Revenue]]), TRUE, FALSE)</f>
        <v>0</v>
      </c>
      <c r="V561" t="b">
        <f>IF(OR(CleanedSalesData[[#This Row],[Order Status]]="Cancelled", CleanedSalesData[[#This Row],[Order Status]]="Returned"), TRUE, FALSE)</f>
        <v>0</v>
      </c>
      <c r="W561" t="str" cm="1">
        <f t="array" ref="W56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2" spans="1:23" x14ac:dyDescent="0.35">
      <c r="A562" t="s">
        <v>709</v>
      </c>
      <c r="B562" s="7">
        <v>46137</v>
      </c>
      <c r="C562" t="s">
        <v>949</v>
      </c>
      <c r="D562">
        <v>4</v>
      </c>
      <c r="E562" t="s">
        <v>95</v>
      </c>
      <c r="F562" t="s">
        <v>59</v>
      </c>
      <c r="G562" t="s">
        <v>81</v>
      </c>
      <c r="H562" t="s">
        <v>33</v>
      </c>
      <c r="I562" t="s">
        <v>71</v>
      </c>
      <c r="J562" t="s">
        <v>72</v>
      </c>
      <c r="K562" t="s">
        <v>73</v>
      </c>
      <c r="L562">
        <v>3</v>
      </c>
      <c r="M562" s="10">
        <v>0</v>
      </c>
      <c r="N562" s="11">
        <v>375000</v>
      </c>
      <c r="O562" s="11">
        <v>210000</v>
      </c>
      <c r="P562" s="11">
        <v>165000</v>
      </c>
      <c r="Q562" t="s">
        <v>84</v>
      </c>
      <c r="R562" t="b">
        <f>COUNTIF($A$6     : CleanedSalesData[[#This Row],[Order ID]], CleanedSalesData[[#This Row],[Order ID]])&gt;1</f>
        <v>0</v>
      </c>
      <c r="S562" t="b">
        <f>IF(ISBLANK(CleanedSalesData[[#This Row],[Quantity]]), TRUE, FALSE)</f>
        <v>0</v>
      </c>
      <c r="T562" t="b">
        <f>IF(ISBLANK(CleanedSalesData[[#This Row],[Order Date]]), TRUE, FALSE)</f>
        <v>0</v>
      </c>
      <c r="U562" t="b">
        <f>IF(ISBLANK(CleanedSalesData[[#This Row],[Revenue]]), TRUE, FALSE)</f>
        <v>0</v>
      </c>
      <c r="V562" t="b">
        <f>IF(OR(CleanedSalesData[[#This Row],[Order Status]]="Cancelled", CleanedSalesData[[#This Row],[Order Status]]="Returned"), TRUE, FALSE)</f>
        <v>0</v>
      </c>
      <c r="W562" t="str" cm="1">
        <f t="array" ref="W56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3" spans="1:23" x14ac:dyDescent="0.35">
      <c r="A563" t="s">
        <v>710</v>
      </c>
      <c r="B563" s="7">
        <v>46122</v>
      </c>
      <c r="C563" t="s">
        <v>949</v>
      </c>
      <c r="D563">
        <v>4</v>
      </c>
      <c r="E563" t="s">
        <v>69</v>
      </c>
      <c r="F563" t="s">
        <v>59</v>
      </c>
      <c r="G563" t="s">
        <v>48</v>
      </c>
      <c r="H563" t="s">
        <v>90</v>
      </c>
      <c r="I563" t="s">
        <v>78</v>
      </c>
      <c r="J563" t="s">
        <v>79</v>
      </c>
      <c r="K563" t="s">
        <v>62</v>
      </c>
      <c r="L563">
        <v>1</v>
      </c>
      <c r="M563" s="10">
        <v>0</v>
      </c>
      <c r="N563" s="11">
        <v>85000</v>
      </c>
      <c r="O563" s="11">
        <v>43000</v>
      </c>
      <c r="P563" s="11">
        <v>42000</v>
      </c>
      <c r="Q563" t="s">
        <v>37</v>
      </c>
      <c r="R563" t="b">
        <f>COUNTIF($A$6     : CleanedSalesData[[#This Row],[Order ID]], CleanedSalesData[[#This Row],[Order ID]])&gt;1</f>
        <v>0</v>
      </c>
      <c r="S563" t="b">
        <f>IF(ISBLANK(CleanedSalesData[[#This Row],[Quantity]]), TRUE, FALSE)</f>
        <v>0</v>
      </c>
      <c r="T563" t="b">
        <f>IF(ISBLANK(CleanedSalesData[[#This Row],[Order Date]]), TRUE, FALSE)</f>
        <v>0</v>
      </c>
      <c r="U563" t="b">
        <f>IF(ISBLANK(CleanedSalesData[[#This Row],[Revenue]]), TRUE, FALSE)</f>
        <v>0</v>
      </c>
      <c r="V563" t="b">
        <f>IF(OR(CleanedSalesData[[#This Row],[Order Status]]="Cancelled", CleanedSalesData[[#This Row],[Order Status]]="Returned"), TRUE, FALSE)</f>
        <v>0</v>
      </c>
      <c r="W563" t="str" cm="1">
        <f t="array" ref="W56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4" spans="1:23" x14ac:dyDescent="0.35">
      <c r="A564" t="s">
        <v>711</v>
      </c>
      <c r="B564" s="7">
        <v>46090</v>
      </c>
      <c r="C564" t="s">
        <v>947</v>
      </c>
      <c r="D564">
        <v>3</v>
      </c>
      <c r="E564" t="s">
        <v>65</v>
      </c>
      <c r="F564" t="s">
        <v>40</v>
      </c>
      <c r="G564" t="s">
        <v>48</v>
      </c>
      <c r="H564" t="s">
        <v>33</v>
      </c>
      <c r="I564" t="s">
        <v>82</v>
      </c>
      <c r="J564" t="s">
        <v>83</v>
      </c>
      <c r="K564" t="s">
        <v>44</v>
      </c>
      <c r="L564">
        <v>4</v>
      </c>
      <c r="M564" s="10">
        <v>0.05</v>
      </c>
      <c r="N564" s="11">
        <v>5510000</v>
      </c>
      <c r="O564" s="11">
        <v>3920000</v>
      </c>
      <c r="P564" s="11">
        <v>1590000</v>
      </c>
      <c r="Q564" t="s">
        <v>57</v>
      </c>
      <c r="R564" t="b">
        <f>COUNTIF($A$6     : CleanedSalesData[[#This Row],[Order ID]], CleanedSalesData[[#This Row],[Order ID]])&gt;1</f>
        <v>0</v>
      </c>
      <c r="S564" t="b">
        <f>IF(ISBLANK(CleanedSalesData[[#This Row],[Quantity]]), TRUE, FALSE)</f>
        <v>0</v>
      </c>
      <c r="T564" t="b">
        <f>IF(ISBLANK(CleanedSalesData[[#This Row],[Order Date]]), TRUE, FALSE)</f>
        <v>0</v>
      </c>
      <c r="U564" t="b">
        <f>IF(ISBLANK(CleanedSalesData[[#This Row],[Revenue]]), TRUE, FALSE)</f>
        <v>0</v>
      </c>
      <c r="V564" t="b">
        <f>IF(OR(CleanedSalesData[[#This Row],[Order Status]]="Cancelled", CleanedSalesData[[#This Row],[Order Status]]="Returned"), TRUE, FALSE)</f>
        <v>0</v>
      </c>
      <c r="W564" t="str" cm="1">
        <f t="array" ref="W56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5" spans="1:23" x14ac:dyDescent="0.35">
      <c r="A565" t="s">
        <v>712</v>
      </c>
      <c r="B565" s="7">
        <v>46175</v>
      </c>
      <c r="C565" t="s">
        <v>945</v>
      </c>
      <c r="D565">
        <v>6</v>
      </c>
      <c r="E565" t="s">
        <v>39</v>
      </c>
      <c r="F565" t="s">
        <v>59</v>
      </c>
      <c r="G565" t="s">
        <v>41</v>
      </c>
      <c r="H565" t="s">
        <v>33</v>
      </c>
      <c r="I565" t="s">
        <v>86</v>
      </c>
      <c r="J565" t="s">
        <v>87</v>
      </c>
      <c r="K565" t="s">
        <v>36</v>
      </c>
      <c r="L565">
        <v>1</v>
      </c>
      <c r="M565" s="10">
        <v>0.03</v>
      </c>
      <c r="N565" s="11">
        <v>339500</v>
      </c>
      <c r="O565" s="11">
        <v>210000</v>
      </c>
      <c r="P565" s="11">
        <v>129500</v>
      </c>
      <c r="Q565" t="s">
        <v>57</v>
      </c>
      <c r="R565" t="b">
        <f>COUNTIF($A$6     : CleanedSalesData[[#This Row],[Order ID]], CleanedSalesData[[#This Row],[Order ID]])&gt;1</f>
        <v>0</v>
      </c>
      <c r="S565" t="b">
        <f>IF(ISBLANK(CleanedSalesData[[#This Row],[Quantity]]), TRUE, FALSE)</f>
        <v>0</v>
      </c>
      <c r="T565" t="b">
        <f>IF(ISBLANK(CleanedSalesData[[#This Row],[Order Date]]), TRUE, FALSE)</f>
        <v>0</v>
      </c>
      <c r="U565" t="b">
        <f>IF(ISBLANK(CleanedSalesData[[#This Row],[Revenue]]), TRUE, FALSE)</f>
        <v>0</v>
      </c>
      <c r="V565" t="b">
        <f>IF(OR(CleanedSalesData[[#This Row],[Order Status]]="Cancelled", CleanedSalesData[[#This Row],[Order Status]]="Returned"), TRUE, FALSE)</f>
        <v>0</v>
      </c>
      <c r="W565" t="str" cm="1">
        <f t="array" ref="W56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6" spans="1:23" x14ac:dyDescent="0.35">
      <c r="A566" t="s">
        <v>713</v>
      </c>
      <c r="B566" s="7">
        <v>46072</v>
      </c>
      <c r="C566" t="s">
        <v>944</v>
      </c>
      <c r="D566">
        <v>2</v>
      </c>
      <c r="E566" t="s">
        <v>95</v>
      </c>
      <c r="F566" t="s">
        <v>31</v>
      </c>
      <c r="G566" t="s">
        <v>32</v>
      </c>
      <c r="H566" t="s">
        <v>33</v>
      </c>
      <c r="I566" t="s">
        <v>34</v>
      </c>
      <c r="J566" t="s">
        <v>35</v>
      </c>
      <c r="K566" t="s">
        <v>36</v>
      </c>
      <c r="L566">
        <v>1</v>
      </c>
      <c r="M566" s="10">
        <v>0.1</v>
      </c>
      <c r="N566" s="11">
        <v>427500</v>
      </c>
      <c r="O566" s="11">
        <v>285000</v>
      </c>
      <c r="P566" s="11">
        <v>142500</v>
      </c>
      <c r="Q566" t="s">
        <v>63</v>
      </c>
      <c r="R566" t="b">
        <f>COUNTIF($A$6     : CleanedSalesData[[#This Row],[Order ID]], CleanedSalesData[[#This Row],[Order ID]])&gt;1</f>
        <v>0</v>
      </c>
      <c r="S566" t="b">
        <f>IF(ISBLANK(CleanedSalesData[[#This Row],[Quantity]]), TRUE, FALSE)</f>
        <v>0</v>
      </c>
      <c r="T566" t="b">
        <f>IF(ISBLANK(CleanedSalesData[[#This Row],[Order Date]]), TRUE, FALSE)</f>
        <v>0</v>
      </c>
      <c r="U566" t="b">
        <f>IF(ISBLANK(CleanedSalesData[[#This Row],[Revenue]]), TRUE, FALSE)</f>
        <v>0</v>
      </c>
      <c r="V566" t="b">
        <f>IF(OR(CleanedSalesData[[#This Row],[Order Status]]="Cancelled", CleanedSalesData[[#This Row],[Order Status]]="Returned"), TRUE, FALSE)</f>
        <v>0</v>
      </c>
      <c r="W566" t="str" cm="1">
        <f t="array" ref="W56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7" spans="1:23" x14ac:dyDescent="0.35">
      <c r="A567" t="s">
        <v>714</v>
      </c>
      <c r="B567" s="7">
        <v>46084</v>
      </c>
      <c r="C567" t="s">
        <v>947</v>
      </c>
      <c r="D567">
        <v>3</v>
      </c>
      <c r="E567" t="s">
        <v>54</v>
      </c>
      <c r="F567" t="s">
        <v>70</v>
      </c>
      <c r="G567" t="s">
        <v>48</v>
      </c>
      <c r="H567" t="s">
        <v>33</v>
      </c>
      <c r="I567" t="s">
        <v>42</v>
      </c>
      <c r="J567" t="s">
        <v>43</v>
      </c>
      <c r="K567" t="s">
        <v>44</v>
      </c>
      <c r="L567">
        <v>1</v>
      </c>
      <c r="M567" s="10">
        <v>0.03</v>
      </c>
      <c r="N567" s="11">
        <v>266750</v>
      </c>
      <c r="O567" s="11">
        <v>155000</v>
      </c>
      <c r="P567" s="11">
        <v>111750</v>
      </c>
      <c r="Q567" t="s">
        <v>93</v>
      </c>
      <c r="R567" t="b">
        <f>COUNTIF($A$6     : CleanedSalesData[[#This Row],[Order ID]], CleanedSalesData[[#This Row],[Order ID]])&gt;1</f>
        <v>0</v>
      </c>
      <c r="S567" t="b">
        <f>IF(ISBLANK(CleanedSalesData[[#This Row],[Quantity]]), TRUE, FALSE)</f>
        <v>0</v>
      </c>
      <c r="T567" t="b">
        <f>IF(ISBLANK(CleanedSalesData[[#This Row],[Order Date]]), TRUE, FALSE)</f>
        <v>0</v>
      </c>
      <c r="U567" t="b">
        <f>IF(ISBLANK(CleanedSalesData[[#This Row],[Revenue]]), TRUE, FALSE)</f>
        <v>0</v>
      </c>
      <c r="V567" t="b">
        <f>IF(OR(CleanedSalesData[[#This Row],[Order Status]]="Cancelled", CleanedSalesData[[#This Row],[Order Status]]="Returned"), TRUE, FALSE)</f>
        <v>0</v>
      </c>
      <c r="W567" t="str" cm="1">
        <f t="array" ref="W56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8" spans="1:23" x14ac:dyDescent="0.35">
      <c r="A568" t="s">
        <v>715</v>
      </c>
      <c r="B568" s="7">
        <v>46126</v>
      </c>
      <c r="C568" t="s">
        <v>949</v>
      </c>
      <c r="D568">
        <v>4</v>
      </c>
      <c r="E568" t="s">
        <v>76</v>
      </c>
      <c r="F568" t="s">
        <v>40</v>
      </c>
      <c r="G568" t="s">
        <v>41</v>
      </c>
      <c r="H568" t="s">
        <v>33</v>
      </c>
      <c r="I568" t="s">
        <v>49</v>
      </c>
      <c r="J568" t="s">
        <v>50</v>
      </c>
      <c r="K568" t="s">
        <v>51</v>
      </c>
      <c r="L568">
        <v>4</v>
      </c>
      <c r="M568" s="10">
        <v>0.1</v>
      </c>
      <c r="N568" s="11">
        <v>882000</v>
      </c>
      <c r="O568" s="11">
        <v>580000</v>
      </c>
      <c r="P568" s="11">
        <v>302000</v>
      </c>
      <c r="Q568" t="s">
        <v>63</v>
      </c>
      <c r="R568" t="b">
        <f>COUNTIF($A$6     : CleanedSalesData[[#This Row],[Order ID]], CleanedSalesData[[#This Row],[Order ID]])&gt;1</f>
        <v>0</v>
      </c>
      <c r="S568" t="b">
        <f>IF(ISBLANK(CleanedSalesData[[#This Row],[Quantity]]), TRUE, FALSE)</f>
        <v>0</v>
      </c>
      <c r="T568" t="b">
        <f>IF(ISBLANK(CleanedSalesData[[#This Row],[Order Date]]), TRUE, FALSE)</f>
        <v>0</v>
      </c>
      <c r="U568" t="b">
        <f>IF(ISBLANK(CleanedSalesData[[#This Row],[Revenue]]), TRUE, FALSE)</f>
        <v>0</v>
      </c>
      <c r="V568" t="b">
        <f>IF(OR(CleanedSalesData[[#This Row],[Order Status]]="Cancelled", CleanedSalesData[[#This Row],[Order Status]]="Returned"), TRUE, FALSE)</f>
        <v>0</v>
      </c>
      <c r="W568" t="str" cm="1">
        <f t="array" ref="W56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69" spans="1:23" x14ac:dyDescent="0.35">
      <c r="A569" t="s">
        <v>716</v>
      </c>
      <c r="B569" s="7">
        <v>46111</v>
      </c>
      <c r="C569" t="s">
        <v>947</v>
      </c>
      <c r="D569">
        <v>3</v>
      </c>
      <c r="E569" t="s">
        <v>65</v>
      </c>
      <c r="F569" t="s">
        <v>31</v>
      </c>
      <c r="G569" t="s">
        <v>48</v>
      </c>
      <c r="H569" t="s">
        <v>33</v>
      </c>
      <c r="I569" t="s">
        <v>55</v>
      </c>
      <c r="J569" t="s">
        <v>56</v>
      </c>
      <c r="K569" t="s">
        <v>36</v>
      </c>
      <c r="L569">
        <v>5</v>
      </c>
      <c r="M569" s="10">
        <v>0.03</v>
      </c>
      <c r="N569" s="11">
        <v>8972500</v>
      </c>
      <c r="O569" s="11">
        <v>6600000</v>
      </c>
      <c r="P569" s="11">
        <v>2372500</v>
      </c>
      <c r="Q569" t="s">
        <v>74</v>
      </c>
      <c r="R569" t="b">
        <f>COUNTIF($A$6     : CleanedSalesData[[#This Row],[Order ID]], CleanedSalesData[[#This Row],[Order ID]])&gt;1</f>
        <v>0</v>
      </c>
      <c r="S569" t="b">
        <f>IF(ISBLANK(CleanedSalesData[[#This Row],[Quantity]]), TRUE, FALSE)</f>
        <v>0</v>
      </c>
      <c r="T569" t="b">
        <f>IF(ISBLANK(CleanedSalesData[[#This Row],[Order Date]]), TRUE, FALSE)</f>
        <v>0</v>
      </c>
      <c r="U569" t="b">
        <f>IF(ISBLANK(CleanedSalesData[[#This Row],[Revenue]]), TRUE, FALSE)</f>
        <v>0</v>
      </c>
      <c r="V569" t="b">
        <f>IF(OR(CleanedSalesData[[#This Row],[Order Status]]="Cancelled", CleanedSalesData[[#This Row],[Order Status]]="Returned"), TRUE, FALSE)</f>
        <v>0</v>
      </c>
      <c r="W569" t="str" cm="1">
        <f t="array" ref="W56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70" spans="1:23" x14ac:dyDescent="0.35">
      <c r="A570" t="s">
        <v>718</v>
      </c>
      <c r="B570" s="7">
        <v>46089</v>
      </c>
      <c r="C570" t="s">
        <v>947</v>
      </c>
      <c r="D570">
        <v>3</v>
      </c>
      <c r="E570" t="s">
        <v>76</v>
      </c>
      <c r="F570" t="s">
        <v>47</v>
      </c>
      <c r="G570" t="s">
        <v>41</v>
      </c>
      <c r="H570" t="s">
        <v>33</v>
      </c>
      <c r="I570" t="s">
        <v>60</v>
      </c>
      <c r="J570" t="s">
        <v>61</v>
      </c>
      <c r="K570" t="s">
        <v>62</v>
      </c>
      <c r="L570">
        <v>3</v>
      </c>
      <c r="M570" s="10">
        <v>0.08</v>
      </c>
      <c r="N570" s="11">
        <v>179400</v>
      </c>
      <c r="O570" s="11">
        <v>93000</v>
      </c>
      <c r="P570" s="11">
        <v>86400</v>
      </c>
      <c r="Q570" t="s">
        <v>63</v>
      </c>
      <c r="R570" t="b">
        <f>COUNTIF($A$6     : CleanedSalesData[[#This Row],[Order ID]], CleanedSalesData[[#This Row],[Order ID]])&gt;1</f>
        <v>0</v>
      </c>
      <c r="S570" t="b">
        <f>IF(ISBLANK(CleanedSalesData[[#This Row],[Quantity]]), TRUE, FALSE)</f>
        <v>0</v>
      </c>
      <c r="T570" t="b">
        <f>IF(ISBLANK(CleanedSalesData[[#This Row],[Order Date]]), TRUE, FALSE)</f>
        <v>0</v>
      </c>
      <c r="U570" t="b">
        <f>IF(ISBLANK(CleanedSalesData[[#This Row],[Revenue]]), TRUE, FALSE)</f>
        <v>0</v>
      </c>
      <c r="V570" t="b">
        <f>IF(OR(CleanedSalesData[[#This Row],[Order Status]]="Cancelled", CleanedSalesData[[#This Row],[Order Status]]="Returned"), TRUE, FALSE)</f>
        <v>0</v>
      </c>
      <c r="W570" t="str" cm="1">
        <f t="array" ref="W57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71" spans="1:23" x14ac:dyDescent="0.35">
      <c r="A571" t="s">
        <v>719</v>
      </c>
      <c r="B571" s="7">
        <v>46052</v>
      </c>
      <c r="C571" t="s">
        <v>948</v>
      </c>
      <c r="D571">
        <v>1</v>
      </c>
      <c r="E571" t="s">
        <v>111</v>
      </c>
      <c r="F571" t="s">
        <v>47</v>
      </c>
      <c r="G571" t="s">
        <v>81</v>
      </c>
      <c r="H571" t="s">
        <v>90</v>
      </c>
      <c r="I571" t="s">
        <v>66</v>
      </c>
      <c r="J571" t="s">
        <v>67</v>
      </c>
      <c r="K571" t="s">
        <v>51</v>
      </c>
      <c r="L571">
        <v>5</v>
      </c>
      <c r="M571" s="10">
        <v>0.1</v>
      </c>
      <c r="N571" s="11">
        <v>1395000</v>
      </c>
      <c r="O571" s="11">
        <v>950000</v>
      </c>
      <c r="P571" s="11">
        <v>445000</v>
      </c>
      <c r="Q571" t="s">
        <v>93</v>
      </c>
      <c r="R571" t="b">
        <f>COUNTIF($A$6     : CleanedSalesData[[#This Row],[Order ID]], CleanedSalesData[[#This Row],[Order ID]])&gt;1</f>
        <v>0</v>
      </c>
      <c r="S571" t="b">
        <f>IF(ISBLANK(CleanedSalesData[[#This Row],[Quantity]]), TRUE, FALSE)</f>
        <v>0</v>
      </c>
      <c r="T571" t="b">
        <f>IF(ISBLANK(CleanedSalesData[[#This Row],[Order Date]]), TRUE, FALSE)</f>
        <v>0</v>
      </c>
      <c r="U571" t="b">
        <f>IF(ISBLANK(CleanedSalesData[[#This Row],[Revenue]]), TRUE, FALSE)</f>
        <v>0</v>
      </c>
      <c r="V571" t="b">
        <f>IF(OR(CleanedSalesData[[#This Row],[Order Status]]="Cancelled", CleanedSalesData[[#This Row],[Order Status]]="Returned"), TRUE, FALSE)</f>
        <v>0</v>
      </c>
      <c r="W571" t="str" cm="1">
        <f t="array" ref="W57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72" spans="1:23" x14ac:dyDescent="0.35">
      <c r="A572" t="s">
        <v>720</v>
      </c>
      <c r="B572" s="7">
        <v>46167</v>
      </c>
      <c r="C572" t="s">
        <v>946</v>
      </c>
      <c r="D572">
        <v>5</v>
      </c>
      <c r="E572" t="s">
        <v>95</v>
      </c>
      <c r="F572" t="s">
        <v>59</v>
      </c>
      <c r="G572" t="s">
        <v>48</v>
      </c>
      <c r="H572" t="s">
        <v>33</v>
      </c>
      <c r="I572" t="s">
        <v>71</v>
      </c>
      <c r="J572" t="s">
        <v>72</v>
      </c>
      <c r="K572" t="s">
        <v>73</v>
      </c>
      <c r="L572">
        <v>8</v>
      </c>
      <c r="M572" s="10">
        <v>0.03</v>
      </c>
      <c r="N572" s="11">
        <v>970000</v>
      </c>
      <c r="O572" s="11">
        <v>560000</v>
      </c>
      <c r="P572" s="11">
        <v>410000</v>
      </c>
      <c r="Q572" t="s">
        <v>52</v>
      </c>
      <c r="R572" t="b">
        <f>COUNTIF($A$6     : CleanedSalesData[[#This Row],[Order ID]], CleanedSalesData[[#This Row],[Order ID]])&gt;1</f>
        <v>0</v>
      </c>
      <c r="S572" t="b">
        <f>IF(ISBLANK(CleanedSalesData[[#This Row],[Quantity]]), TRUE, FALSE)</f>
        <v>0</v>
      </c>
      <c r="T572" t="b">
        <f>IF(ISBLANK(CleanedSalesData[[#This Row],[Order Date]]), TRUE, FALSE)</f>
        <v>0</v>
      </c>
      <c r="U572" t="b">
        <f>IF(ISBLANK(CleanedSalesData[[#This Row],[Revenue]]), TRUE, FALSE)</f>
        <v>0</v>
      </c>
      <c r="V572" t="b">
        <f>IF(OR(CleanedSalesData[[#This Row],[Order Status]]="Cancelled", CleanedSalesData[[#This Row],[Order Status]]="Returned"), TRUE, FALSE)</f>
        <v>0</v>
      </c>
      <c r="W572" t="str" cm="1">
        <f t="array" ref="W57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73" spans="1:23" x14ac:dyDescent="0.35">
      <c r="A573" t="s">
        <v>721</v>
      </c>
      <c r="B573" s="7">
        <v>46052</v>
      </c>
      <c r="C573" t="s">
        <v>948</v>
      </c>
      <c r="D573">
        <v>1</v>
      </c>
      <c r="E573" t="s">
        <v>54</v>
      </c>
      <c r="F573" t="s">
        <v>31</v>
      </c>
      <c r="G573" t="s">
        <v>32</v>
      </c>
      <c r="H573" t="s">
        <v>33</v>
      </c>
      <c r="I573" t="s">
        <v>722</v>
      </c>
      <c r="J573" t="s">
        <v>79</v>
      </c>
      <c r="K573" t="s">
        <v>62</v>
      </c>
      <c r="L573">
        <v>5</v>
      </c>
      <c r="M573" s="10">
        <v>0</v>
      </c>
      <c r="N573" s="11">
        <v>425000</v>
      </c>
      <c r="O573" s="11">
        <v>215000</v>
      </c>
      <c r="P573" s="11">
        <v>210000</v>
      </c>
      <c r="Q573" t="s">
        <v>93</v>
      </c>
      <c r="R573" t="b">
        <f>COUNTIF($A$6     : CleanedSalesData[[#This Row],[Order ID]], CleanedSalesData[[#This Row],[Order ID]])&gt;1</f>
        <v>0</v>
      </c>
      <c r="S573" t="b">
        <f>IF(ISBLANK(CleanedSalesData[[#This Row],[Quantity]]), TRUE, FALSE)</f>
        <v>0</v>
      </c>
      <c r="T573" t="b">
        <f>IF(ISBLANK(CleanedSalesData[[#This Row],[Order Date]]), TRUE, FALSE)</f>
        <v>0</v>
      </c>
      <c r="U573" t="b">
        <f>IF(ISBLANK(CleanedSalesData[[#This Row],[Revenue]]), TRUE, FALSE)</f>
        <v>0</v>
      </c>
      <c r="V573" t="b">
        <f>IF(OR(CleanedSalesData[[#This Row],[Order Status]]="Cancelled", CleanedSalesData[[#This Row],[Order Status]]="Returned"), TRUE, FALSE)</f>
        <v>0</v>
      </c>
      <c r="W573" t="str" cm="1">
        <f t="array" ref="W57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74" spans="1:23" x14ac:dyDescent="0.35">
      <c r="A574" t="s">
        <v>723</v>
      </c>
      <c r="B574" s="7">
        <v>46113</v>
      </c>
      <c r="C574" t="s">
        <v>949</v>
      </c>
      <c r="D574">
        <v>4</v>
      </c>
      <c r="E574" t="s">
        <v>69</v>
      </c>
      <c r="F574" t="s">
        <v>31</v>
      </c>
      <c r="G574" t="s">
        <v>81</v>
      </c>
      <c r="H574" t="s">
        <v>90</v>
      </c>
      <c r="I574" t="s">
        <v>82</v>
      </c>
      <c r="J574" t="s">
        <v>83</v>
      </c>
      <c r="K574" t="s">
        <v>44</v>
      </c>
      <c r="L574">
        <v>1</v>
      </c>
      <c r="M574" s="10">
        <v>0.15</v>
      </c>
      <c r="N574" s="11">
        <v>1232500</v>
      </c>
      <c r="O574" s="11">
        <v>980000</v>
      </c>
      <c r="P574" s="11">
        <v>252500</v>
      </c>
      <c r="Q574" t="s">
        <v>93</v>
      </c>
      <c r="R574" t="b">
        <f>COUNTIF($A$6     : CleanedSalesData[[#This Row],[Order ID]], CleanedSalesData[[#This Row],[Order ID]])&gt;1</f>
        <v>0</v>
      </c>
      <c r="S574" t="b">
        <f>IF(ISBLANK(CleanedSalesData[[#This Row],[Quantity]]), TRUE, FALSE)</f>
        <v>0</v>
      </c>
      <c r="T574" t="b">
        <f>IF(ISBLANK(CleanedSalesData[[#This Row],[Order Date]]), TRUE, FALSE)</f>
        <v>0</v>
      </c>
      <c r="U574" t="b">
        <f>IF(ISBLANK(CleanedSalesData[[#This Row],[Revenue]]), TRUE, FALSE)</f>
        <v>0</v>
      </c>
      <c r="V574" t="b">
        <f>IF(OR(CleanedSalesData[[#This Row],[Order Status]]="Cancelled", CleanedSalesData[[#This Row],[Order Status]]="Returned"), TRUE, FALSE)</f>
        <v>0</v>
      </c>
      <c r="W574" t="str" cm="1">
        <f t="array" ref="W57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75" spans="1:23" x14ac:dyDescent="0.35">
      <c r="A575" t="s">
        <v>724</v>
      </c>
      <c r="B575" s="7">
        <v>46195</v>
      </c>
      <c r="C575" t="s">
        <v>945</v>
      </c>
      <c r="D575">
        <v>6</v>
      </c>
      <c r="E575" t="s">
        <v>54</v>
      </c>
      <c r="F575" t="s">
        <v>31</v>
      </c>
      <c r="G575" t="s">
        <v>48</v>
      </c>
      <c r="H575" t="s">
        <v>33</v>
      </c>
      <c r="I575" t="s">
        <v>86</v>
      </c>
      <c r="J575" t="s">
        <v>87</v>
      </c>
      <c r="K575" t="s">
        <v>36</v>
      </c>
      <c r="L575">
        <v>6</v>
      </c>
      <c r="M575" s="10">
        <v>0</v>
      </c>
      <c r="N575" s="11">
        <v>2100000</v>
      </c>
      <c r="O575" s="11">
        <v>1260000</v>
      </c>
      <c r="P575" s="11">
        <v>840000</v>
      </c>
      <c r="Q575" t="s">
        <v>63</v>
      </c>
      <c r="R575" t="b">
        <f>COUNTIF($A$6     : CleanedSalesData[[#This Row],[Order ID]], CleanedSalesData[[#This Row],[Order ID]])&gt;1</f>
        <v>0</v>
      </c>
      <c r="S575" t="b">
        <f>IF(ISBLANK(CleanedSalesData[[#This Row],[Quantity]]), TRUE, FALSE)</f>
        <v>0</v>
      </c>
      <c r="T575" t="b">
        <f>IF(ISBLANK(CleanedSalesData[[#This Row],[Order Date]]), TRUE, FALSE)</f>
        <v>0</v>
      </c>
      <c r="U575" t="b">
        <f>IF(ISBLANK(CleanedSalesData[[#This Row],[Revenue]]), TRUE, FALSE)</f>
        <v>0</v>
      </c>
      <c r="V575" t="b">
        <f>IF(OR(CleanedSalesData[[#This Row],[Order Status]]="Cancelled", CleanedSalesData[[#This Row],[Order Status]]="Returned"), TRUE, FALSE)</f>
        <v>0</v>
      </c>
      <c r="W575" t="str" cm="1">
        <f t="array" ref="W57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76" spans="1:23" x14ac:dyDescent="0.35">
      <c r="A576" t="s">
        <v>725</v>
      </c>
      <c r="B576" s="7">
        <v>46078</v>
      </c>
      <c r="C576" t="s">
        <v>944</v>
      </c>
      <c r="D576">
        <v>2</v>
      </c>
      <c r="E576" t="s">
        <v>39</v>
      </c>
      <c r="F576" t="s">
        <v>31</v>
      </c>
      <c r="G576" t="s">
        <v>48</v>
      </c>
      <c r="H576" t="s">
        <v>112</v>
      </c>
      <c r="I576" t="s">
        <v>34</v>
      </c>
      <c r="J576" t="s">
        <v>35</v>
      </c>
      <c r="K576" t="s">
        <v>36</v>
      </c>
      <c r="L576">
        <v>5</v>
      </c>
      <c r="M576" s="10">
        <v>0.03</v>
      </c>
      <c r="N576" s="11">
        <v>1151875</v>
      </c>
      <c r="O576" s="11">
        <v>1425000</v>
      </c>
      <c r="P576" s="11">
        <v>-273125</v>
      </c>
      <c r="Q576" t="s">
        <v>45</v>
      </c>
      <c r="R576" t="b">
        <f>COUNTIF($A$6     : CleanedSalesData[[#This Row],[Order ID]], CleanedSalesData[[#This Row],[Order ID]])&gt;1</f>
        <v>0</v>
      </c>
      <c r="S576" t="b">
        <f>IF(ISBLANK(CleanedSalesData[[#This Row],[Quantity]]), TRUE, FALSE)</f>
        <v>0</v>
      </c>
      <c r="T576" t="b">
        <f>IF(ISBLANK(CleanedSalesData[[#This Row],[Order Date]]), TRUE, FALSE)</f>
        <v>0</v>
      </c>
      <c r="U576" t="b">
        <f>IF(ISBLANK(CleanedSalesData[[#This Row],[Revenue]]), TRUE, FALSE)</f>
        <v>0</v>
      </c>
      <c r="V576" t="b">
        <f>IF(OR(CleanedSalesData[[#This Row],[Order Status]]="Cancelled", CleanedSalesData[[#This Row],[Order Status]]="Returned"), TRUE, FALSE)</f>
        <v>1</v>
      </c>
      <c r="W576" t="str" cm="1">
        <f t="array" ref="W57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77" spans="1:23" x14ac:dyDescent="0.35">
      <c r="A577" t="s">
        <v>726</v>
      </c>
      <c r="B577" s="7">
        <v>46084</v>
      </c>
      <c r="C577" t="s">
        <v>947</v>
      </c>
      <c r="D577">
        <v>3</v>
      </c>
      <c r="E577" t="s">
        <v>30</v>
      </c>
      <c r="F577" t="s">
        <v>31</v>
      </c>
      <c r="G577" t="s">
        <v>81</v>
      </c>
      <c r="H577" t="s">
        <v>33</v>
      </c>
      <c r="I577" t="s">
        <v>42</v>
      </c>
      <c r="J577" t="s">
        <v>43</v>
      </c>
      <c r="K577" t="s">
        <v>44</v>
      </c>
      <c r="L577">
        <v>5</v>
      </c>
      <c r="M577" s="10">
        <v>0.03</v>
      </c>
      <c r="N577" s="11">
        <v>1333750</v>
      </c>
      <c r="O577" s="11">
        <v>775000</v>
      </c>
      <c r="P577" s="11">
        <v>558750</v>
      </c>
      <c r="Q577" t="s">
        <v>37</v>
      </c>
      <c r="R577" t="b">
        <f>COUNTIF($A$6     : CleanedSalesData[[#This Row],[Order ID]], CleanedSalesData[[#This Row],[Order ID]])&gt;1</f>
        <v>0</v>
      </c>
      <c r="S577" t="b">
        <f>IF(ISBLANK(CleanedSalesData[[#This Row],[Quantity]]), TRUE, FALSE)</f>
        <v>0</v>
      </c>
      <c r="T577" t="b">
        <f>IF(ISBLANK(CleanedSalesData[[#This Row],[Order Date]]), TRUE, FALSE)</f>
        <v>0</v>
      </c>
      <c r="U577" t="b">
        <f>IF(ISBLANK(CleanedSalesData[[#This Row],[Revenue]]), TRUE, FALSE)</f>
        <v>0</v>
      </c>
      <c r="V577" t="b">
        <f>IF(OR(CleanedSalesData[[#This Row],[Order Status]]="Cancelled", CleanedSalesData[[#This Row],[Order Status]]="Returned"), TRUE, FALSE)</f>
        <v>0</v>
      </c>
      <c r="W577" t="str" cm="1">
        <f t="array" ref="W57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78" spans="1:23" x14ac:dyDescent="0.35">
      <c r="A578" t="s">
        <v>727</v>
      </c>
      <c r="B578" s="7">
        <v>46053</v>
      </c>
      <c r="C578" t="s">
        <v>948</v>
      </c>
      <c r="D578">
        <v>1</v>
      </c>
      <c r="E578" t="s">
        <v>95</v>
      </c>
      <c r="F578" t="s">
        <v>47</v>
      </c>
      <c r="G578" t="s">
        <v>41</v>
      </c>
      <c r="H578" t="s">
        <v>112</v>
      </c>
      <c r="I578" t="s">
        <v>49</v>
      </c>
      <c r="J578" t="s">
        <v>50</v>
      </c>
      <c r="K578" t="s">
        <v>51</v>
      </c>
      <c r="L578">
        <v>2</v>
      </c>
      <c r="M578" s="10">
        <v>0.15</v>
      </c>
      <c r="N578" s="11">
        <v>104125</v>
      </c>
      <c r="O578" s="11">
        <v>290000</v>
      </c>
      <c r="P578" s="11">
        <v>-185875</v>
      </c>
      <c r="Q578" t="s">
        <v>52</v>
      </c>
      <c r="R578" t="b">
        <f>COUNTIF($A$6     : CleanedSalesData[[#This Row],[Order ID]], CleanedSalesData[[#This Row],[Order ID]])&gt;1</f>
        <v>0</v>
      </c>
      <c r="S578" t="b">
        <f>IF(ISBLANK(CleanedSalesData[[#This Row],[Quantity]]), TRUE, FALSE)</f>
        <v>0</v>
      </c>
      <c r="T578" t="b">
        <f>IF(ISBLANK(CleanedSalesData[[#This Row],[Order Date]]), TRUE, FALSE)</f>
        <v>0</v>
      </c>
      <c r="U578" t="b">
        <f>IF(ISBLANK(CleanedSalesData[[#This Row],[Revenue]]), TRUE, FALSE)</f>
        <v>0</v>
      </c>
      <c r="V578" t="b">
        <f>IF(OR(CleanedSalesData[[#This Row],[Order Status]]="Cancelled", CleanedSalesData[[#This Row],[Order Status]]="Returned"), TRUE, FALSE)</f>
        <v>1</v>
      </c>
      <c r="W578" t="str" cm="1">
        <f t="array" ref="W57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79" spans="1:23" x14ac:dyDescent="0.35">
      <c r="A579" t="s">
        <v>728</v>
      </c>
      <c r="B579" s="7">
        <v>46118</v>
      </c>
      <c r="C579" t="s">
        <v>949</v>
      </c>
      <c r="D579">
        <v>4</v>
      </c>
      <c r="E579" t="s">
        <v>30</v>
      </c>
      <c r="F579" t="s">
        <v>70</v>
      </c>
      <c r="G579" t="s">
        <v>48</v>
      </c>
      <c r="H579" t="s">
        <v>112</v>
      </c>
      <c r="I579" t="s">
        <v>55</v>
      </c>
      <c r="J579" t="s">
        <v>56</v>
      </c>
      <c r="K579" t="s">
        <v>36</v>
      </c>
      <c r="L579">
        <v>6</v>
      </c>
      <c r="M579" s="10">
        <v>0.08</v>
      </c>
      <c r="N579" s="11">
        <v>5106000</v>
      </c>
      <c r="O579" s="11">
        <v>7920000</v>
      </c>
      <c r="P579" s="11">
        <v>-2814000</v>
      </c>
      <c r="Q579" t="s">
        <v>57</v>
      </c>
      <c r="R579" t="b">
        <f>COUNTIF($A$6     : CleanedSalesData[[#This Row],[Order ID]], CleanedSalesData[[#This Row],[Order ID]])&gt;1</f>
        <v>0</v>
      </c>
      <c r="S579" t="b">
        <f>IF(ISBLANK(CleanedSalesData[[#This Row],[Quantity]]), TRUE, FALSE)</f>
        <v>0</v>
      </c>
      <c r="T579" t="b">
        <f>IF(ISBLANK(CleanedSalesData[[#This Row],[Order Date]]), TRUE, FALSE)</f>
        <v>0</v>
      </c>
      <c r="U579" t="b">
        <f>IF(ISBLANK(CleanedSalesData[[#This Row],[Revenue]]), TRUE, FALSE)</f>
        <v>0</v>
      </c>
      <c r="V579" t="b">
        <f>IF(OR(CleanedSalesData[[#This Row],[Order Status]]="Cancelled", CleanedSalesData[[#This Row],[Order Status]]="Returned"), TRUE, FALSE)</f>
        <v>1</v>
      </c>
      <c r="W579" t="str" cm="1">
        <f t="array" ref="W57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80" spans="1:23" x14ac:dyDescent="0.35">
      <c r="A580" t="s">
        <v>730</v>
      </c>
      <c r="B580" s="7">
        <v>46124</v>
      </c>
      <c r="C580" t="s">
        <v>949</v>
      </c>
      <c r="D580">
        <v>4</v>
      </c>
      <c r="E580" t="s">
        <v>111</v>
      </c>
      <c r="F580" t="s">
        <v>47</v>
      </c>
      <c r="G580" t="s">
        <v>48</v>
      </c>
      <c r="H580" t="s">
        <v>33</v>
      </c>
      <c r="I580" t="s">
        <v>60</v>
      </c>
      <c r="J580" t="s">
        <v>61</v>
      </c>
      <c r="K580" t="s">
        <v>62</v>
      </c>
      <c r="L580">
        <v>4</v>
      </c>
      <c r="M580" s="10">
        <v>0.1</v>
      </c>
      <c r="N580" s="11">
        <v>234000</v>
      </c>
      <c r="O580" s="11">
        <v>124000</v>
      </c>
      <c r="P580" s="11">
        <v>110000</v>
      </c>
      <c r="Q580" t="s">
        <v>74</v>
      </c>
      <c r="R580" t="b">
        <f>COUNTIF($A$6     : CleanedSalesData[[#This Row],[Order ID]], CleanedSalesData[[#This Row],[Order ID]])&gt;1</f>
        <v>0</v>
      </c>
      <c r="S580" t="b">
        <f>IF(ISBLANK(CleanedSalesData[[#This Row],[Quantity]]), TRUE, FALSE)</f>
        <v>0</v>
      </c>
      <c r="T580" t="b">
        <f>IF(ISBLANK(CleanedSalesData[[#This Row],[Order Date]]), TRUE, FALSE)</f>
        <v>0</v>
      </c>
      <c r="U580" t="b">
        <f>IF(ISBLANK(CleanedSalesData[[#This Row],[Revenue]]), TRUE, FALSE)</f>
        <v>0</v>
      </c>
      <c r="V580" t="b">
        <f>IF(OR(CleanedSalesData[[#This Row],[Order Status]]="Cancelled", CleanedSalesData[[#This Row],[Order Status]]="Returned"), TRUE, FALSE)</f>
        <v>0</v>
      </c>
      <c r="W580" t="str" cm="1">
        <f t="array" ref="W58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81" spans="1:23" x14ac:dyDescent="0.35">
      <c r="A581" t="s">
        <v>731</v>
      </c>
      <c r="B581" s="7">
        <v>46151</v>
      </c>
      <c r="C581" t="s">
        <v>946</v>
      </c>
      <c r="D581">
        <v>5</v>
      </c>
      <c r="E581" t="s">
        <v>69</v>
      </c>
      <c r="F581" t="s">
        <v>31</v>
      </c>
      <c r="G581" t="s">
        <v>48</v>
      </c>
      <c r="H581" t="s">
        <v>90</v>
      </c>
      <c r="I581" t="s">
        <v>66</v>
      </c>
      <c r="J581" t="s">
        <v>67</v>
      </c>
      <c r="K581" t="s">
        <v>51</v>
      </c>
      <c r="L581">
        <v>6</v>
      </c>
      <c r="M581" s="10">
        <v>0.08</v>
      </c>
      <c r="N581" s="11">
        <v>1711200</v>
      </c>
      <c r="O581" s="11">
        <v>1140000</v>
      </c>
      <c r="P581" s="11">
        <v>571200</v>
      </c>
      <c r="Q581" t="s">
        <v>52</v>
      </c>
      <c r="R581" t="b">
        <f>COUNTIF($A$6     : CleanedSalesData[[#This Row],[Order ID]], CleanedSalesData[[#This Row],[Order ID]])&gt;1</f>
        <v>0</v>
      </c>
      <c r="S581" t="b">
        <f>IF(ISBLANK(CleanedSalesData[[#This Row],[Quantity]]), TRUE, FALSE)</f>
        <v>0</v>
      </c>
      <c r="T581" t="b">
        <f>IF(ISBLANK(CleanedSalesData[[#This Row],[Order Date]]), TRUE, FALSE)</f>
        <v>0</v>
      </c>
      <c r="U581" t="b">
        <f>IF(ISBLANK(CleanedSalesData[[#This Row],[Revenue]]), TRUE, FALSE)</f>
        <v>0</v>
      </c>
      <c r="V581" t="b">
        <f>IF(OR(CleanedSalesData[[#This Row],[Order Status]]="Cancelled", CleanedSalesData[[#This Row],[Order Status]]="Returned"), TRUE, FALSE)</f>
        <v>0</v>
      </c>
      <c r="W581" t="str" cm="1">
        <f t="array" ref="W58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82" spans="1:23" x14ac:dyDescent="0.35">
      <c r="A582" t="s">
        <v>732</v>
      </c>
      <c r="B582" s="7">
        <v>46103</v>
      </c>
      <c r="C582" t="s">
        <v>947</v>
      </c>
      <c r="D582">
        <v>3</v>
      </c>
      <c r="E582" t="s">
        <v>54</v>
      </c>
      <c r="F582" t="s">
        <v>59</v>
      </c>
      <c r="G582" t="s">
        <v>41</v>
      </c>
      <c r="H582" t="s">
        <v>33</v>
      </c>
      <c r="I582" t="s">
        <v>71</v>
      </c>
      <c r="J582" t="s">
        <v>72</v>
      </c>
      <c r="K582" t="s">
        <v>73</v>
      </c>
      <c r="L582">
        <v>1</v>
      </c>
      <c r="M582" s="10">
        <v>0</v>
      </c>
      <c r="N582" s="11">
        <v>125000</v>
      </c>
      <c r="O582" s="11">
        <v>70000</v>
      </c>
      <c r="P582" s="11">
        <v>55000</v>
      </c>
      <c r="Q582" t="s">
        <v>63</v>
      </c>
      <c r="R582" t="b">
        <f>COUNTIF($A$6     : CleanedSalesData[[#This Row],[Order ID]], CleanedSalesData[[#This Row],[Order ID]])&gt;1</f>
        <v>0</v>
      </c>
      <c r="S582" t="b">
        <f>IF(ISBLANK(CleanedSalesData[[#This Row],[Quantity]]), TRUE, FALSE)</f>
        <v>0</v>
      </c>
      <c r="T582" t="b">
        <f>IF(ISBLANK(CleanedSalesData[[#This Row],[Order Date]]), TRUE, FALSE)</f>
        <v>0</v>
      </c>
      <c r="U582" t="b">
        <f>IF(ISBLANK(CleanedSalesData[[#This Row],[Revenue]]), TRUE, FALSE)</f>
        <v>0</v>
      </c>
      <c r="V582" t="b">
        <f>IF(OR(CleanedSalesData[[#This Row],[Order Status]]="Cancelled", CleanedSalesData[[#This Row],[Order Status]]="Returned"), TRUE, FALSE)</f>
        <v>0</v>
      </c>
      <c r="W582" t="str" cm="1">
        <f t="array" ref="W58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83" spans="1:23" x14ac:dyDescent="0.35">
      <c r="A583" t="s">
        <v>733</v>
      </c>
      <c r="B583" s="7">
        <v>46179</v>
      </c>
      <c r="C583" t="s">
        <v>945</v>
      </c>
      <c r="D583">
        <v>6</v>
      </c>
      <c r="E583" t="s">
        <v>111</v>
      </c>
      <c r="F583" t="s">
        <v>31</v>
      </c>
      <c r="G583" t="s">
        <v>81</v>
      </c>
      <c r="H583" t="s">
        <v>33</v>
      </c>
      <c r="I583" t="s">
        <v>78</v>
      </c>
      <c r="J583" t="s">
        <v>79</v>
      </c>
      <c r="K583" t="s">
        <v>62</v>
      </c>
      <c r="L583">
        <v>5</v>
      </c>
      <c r="M583" s="10">
        <v>0.03</v>
      </c>
      <c r="N583" s="11">
        <v>412250</v>
      </c>
      <c r="O583" s="11">
        <v>215000</v>
      </c>
      <c r="P583" s="11">
        <v>197250</v>
      </c>
      <c r="Q583" t="s">
        <v>63</v>
      </c>
      <c r="R583" t="b">
        <f>COUNTIF($A$6     : CleanedSalesData[[#This Row],[Order ID]], CleanedSalesData[[#This Row],[Order ID]])&gt;1</f>
        <v>0</v>
      </c>
      <c r="S583" t="b">
        <f>IF(ISBLANK(CleanedSalesData[[#This Row],[Quantity]]), TRUE, FALSE)</f>
        <v>0</v>
      </c>
      <c r="T583" t="b">
        <f>IF(ISBLANK(CleanedSalesData[[#This Row],[Order Date]]), TRUE, FALSE)</f>
        <v>0</v>
      </c>
      <c r="U583" t="b">
        <f>IF(ISBLANK(CleanedSalesData[[#This Row],[Revenue]]), TRUE, FALSE)</f>
        <v>0</v>
      </c>
      <c r="V583" t="b">
        <f>IF(OR(CleanedSalesData[[#This Row],[Order Status]]="Cancelled", CleanedSalesData[[#This Row],[Order Status]]="Returned"), TRUE, FALSE)</f>
        <v>0</v>
      </c>
      <c r="W583" t="str" cm="1">
        <f t="array" ref="W58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84" spans="1:23" x14ac:dyDescent="0.35">
      <c r="A584" t="s">
        <v>734</v>
      </c>
      <c r="B584" s="7">
        <v>46116</v>
      </c>
      <c r="C584" t="s">
        <v>949</v>
      </c>
      <c r="D584">
        <v>4</v>
      </c>
      <c r="E584" t="s">
        <v>54</v>
      </c>
      <c r="F584" t="s">
        <v>59</v>
      </c>
      <c r="G584" t="s">
        <v>81</v>
      </c>
      <c r="H584" t="s">
        <v>33</v>
      </c>
      <c r="I584" t="s">
        <v>82</v>
      </c>
      <c r="J584" t="s">
        <v>83</v>
      </c>
      <c r="K584" t="s">
        <v>44</v>
      </c>
      <c r="L584">
        <v>3</v>
      </c>
      <c r="M584" s="10">
        <v>0.08</v>
      </c>
      <c r="N584" s="11">
        <v>4002000</v>
      </c>
      <c r="O584" s="11">
        <v>2940000</v>
      </c>
      <c r="P584" s="11">
        <v>1062000</v>
      </c>
      <c r="Q584" t="s">
        <v>93</v>
      </c>
      <c r="R584" t="b">
        <f>COUNTIF($A$6     : CleanedSalesData[[#This Row],[Order ID]], CleanedSalesData[[#This Row],[Order ID]])&gt;1</f>
        <v>0</v>
      </c>
      <c r="S584" t="b">
        <f>IF(ISBLANK(CleanedSalesData[[#This Row],[Quantity]]), TRUE, FALSE)</f>
        <v>0</v>
      </c>
      <c r="T584" t="b">
        <f>IF(ISBLANK(CleanedSalesData[[#This Row],[Order Date]]), TRUE, FALSE)</f>
        <v>0</v>
      </c>
      <c r="U584" t="b">
        <f>IF(ISBLANK(CleanedSalesData[[#This Row],[Revenue]]), TRUE, FALSE)</f>
        <v>0</v>
      </c>
      <c r="V584" t="b">
        <f>IF(OR(CleanedSalesData[[#This Row],[Order Status]]="Cancelled", CleanedSalesData[[#This Row],[Order Status]]="Returned"), TRUE, FALSE)</f>
        <v>0</v>
      </c>
      <c r="W584" t="str" cm="1">
        <f t="array" ref="W58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85" spans="1:23" x14ac:dyDescent="0.35">
      <c r="A585" t="s">
        <v>735</v>
      </c>
      <c r="B585" s="7">
        <v>46094</v>
      </c>
      <c r="C585" t="s">
        <v>947</v>
      </c>
      <c r="D585">
        <v>3</v>
      </c>
      <c r="E585" t="s">
        <v>69</v>
      </c>
      <c r="F585" t="s">
        <v>47</v>
      </c>
      <c r="G585" t="s">
        <v>32</v>
      </c>
      <c r="H585" t="s">
        <v>33</v>
      </c>
      <c r="I585" t="s">
        <v>86</v>
      </c>
      <c r="J585" t="s">
        <v>87</v>
      </c>
      <c r="K585" t="s">
        <v>36</v>
      </c>
      <c r="L585">
        <v>8</v>
      </c>
      <c r="M585" s="10">
        <v>0.03</v>
      </c>
      <c r="N585" s="11">
        <v>2716000</v>
      </c>
      <c r="O585" s="11">
        <v>1680000</v>
      </c>
      <c r="P585" s="11">
        <v>1036000</v>
      </c>
      <c r="Q585" t="s">
        <v>57</v>
      </c>
      <c r="R585" t="b">
        <f>COUNTIF($A$6     : CleanedSalesData[[#This Row],[Order ID]], CleanedSalesData[[#This Row],[Order ID]])&gt;1</f>
        <v>0</v>
      </c>
      <c r="S585" t="b">
        <f>IF(ISBLANK(CleanedSalesData[[#This Row],[Quantity]]), TRUE, FALSE)</f>
        <v>0</v>
      </c>
      <c r="T585" t="b">
        <f>IF(ISBLANK(CleanedSalesData[[#This Row],[Order Date]]), TRUE, FALSE)</f>
        <v>0</v>
      </c>
      <c r="U585" t="b">
        <f>IF(ISBLANK(CleanedSalesData[[#This Row],[Revenue]]), TRUE, FALSE)</f>
        <v>0</v>
      </c>
      <c r="V585" t="b">
        <f>IF(OR(CleanedSalesData[[#This Row],[Order Status]]="Cancelled", CleanedSalesData[[#This Row],[Order Status]]="Returned"), TRUE, FALSE)</f>
        <v>0</v>
      </c>
      <c r="W585" t="str" cm="1">
        <f t="array" ref="W58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86" spans="1:23" x14ac:dyDescent="0.35">
      <c r="A586" t="s">
        <v>736</v>
      </c>
      <c r="E586" t="s">
        <v>95</v>
      </c>
      <c r="F586" t="s">
        <v>31</v>
      </c>
      <c r="G586" t="s">
        <v>48</v>
      </c>
      <c r="H586" t="s">
        <v>33</v>
      </c>
      <c r="I586" t="s">
        <v>34</v>
      </c>
      <c r="J586" t="s">
        <v>35</v>
      </c>
      <c r="K586" t="s">
        <v>36</v>
      </c>
      <c r="L586">
        <v>7</v>
      </c>
      <c r="M586" s="10">
        <v>0.08</v>
      </c>
      <c r="N586" s="11">
        <v>3059000</v>
      </c>
      <c r="O586" s="11">
        <v>1995000</v>
      </c>
      <c r="P586" s="11">
        <v>1064000</v>
      </c>
      <c r="Q586" t="s">
        <v>84</v>
      </c>
      <c r="R586" t="b">
        <f>COUNTIF($A$6     : CleanedSalesData[[#This Row],[Order ID]], CleanedSalesData[[#This Row],[Order ID]])&gt;1</f>
        <v>0</v>
      </c>
      <c r="S586" t="b">
        <f>IF(ISBLANK(CleanedSalesData[[#This Row],[Quantity]]), TRUE, FALSE)</f>
        <v>0</v>
      </c>
      <c r="T586" t="b">
        <f>IF(ISBLANK(CleanedSalesData[[#This Row],[Order Date]]), TRUE, FALSE)</f>
        <v>1</v>
      </c>
      <c r="U586" t="b">
        <f>IF(ISBLANK(CleanedSalesData[[#This Row],[Revenue]]), TRUE, FALSE)</f>
        <v>0</v>
      </c>
      <c r="V586" t="b">
        <f>IF(OR(CleanedSalesData[[#This Row],[Order Status]]="Cancelled", CleanedSalesData[[#This Row],[Order Status]]="Returned"), TRUE, FALSE)</f>
        <v>0</v>
      </c>
      <c r="W586" t="str" cm="1">
        <f t="array" ref="W58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Date</v>
      </c>
    </row>
    <row r="587" spans="1:23" x14ac:dyDescent="0.35">
      <c r="A587" t="s">
        <v>737</v>
      </c>
      <c r="B587" s="7">
        <v>46130</v>
      </c>
      <c r="C587" t="s">
        <v>949</v>
      </c>
      <c r="D587">
        <v>4</v>
      </c>
      <c r="E587" t="s">
        <v>111</v>
      </c>
      <c r="F587" t="s">
        <v>47</v>
      </c>
      <c r="G587" t="s">
        <v>81</v>
      </c>
      <c r="H587" t="s">
        <v>77</v>
      </c>
      <c r="I587" t="s">
        <v>42</v>
      </c>
      <c r="J587" t="s">
        <v>43</v>
      </c>
      <c r="K587" t="s">
        <v>44</v>
      </c>
      <c r="L587">
        <v>8</v>
      </c>
      <c r="M587" s="10">
        <v>0.03</v>
      </c>
      <c r="N587" s="11">
        <v>1067000</v>
      </c>
      <c r="O587" s="11">
        <v>1240000</v>
      </c>
      <c r="P587" s="11">
        <v>-173000</v>
      </c>
      <c r="Q587" t="s">
        <v>57</v>
      </c>
      <c r="R587" t="b">
        <f>COUNTIF($A$6     : CleanedSalesData[[#This Row],[Order ID]], CleanedSalesData[[#This Row],[Order ID]])&gt;1</f>
        <v>0</v>
      </c>
      <c r="S587" t="b">
        <f>IF(ISBLANK(CleanedSalesData[[#This Row],[Quantity]]), TRUE, FALSE)</f>
        <v>0</v>
      </c>
      <c r="T587" t="b">
        <f>IF(ISBLANK(CleanedSalesData[[#This Row],[Order Date]]), TRUE, FALSE)</f>
        <v>0</v>
      </c>
      <c r="U587" t="b">
        <f>IF(ISBLANK(CleanedSalesData[[#This Row],[Revenue]]), TRUE, FALSE)</f>
        <v>0</v>
      </c>
      <c r="V587" t="b">
        <f>IF(OR(CleanedSalesData[[#This Row],[Order Status]]="Cancelled", CleanedSalesData[[#This Row],[Order Status]]="Returned"), TRUE, FALSE)</f>
        <v>1</v>
      </c>
      <c r="W587" t="str" cm="1">
        <f t="array" ref="W58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588" spans="1:23" x14ac:dyDescent="0.35">
      <c r="A588" t="s">
        <v>738</v>
      </c>
      <c r="B588" s="7">
        <v>46087</v>
      </c>
      <c r="C588" t="s">
        <v>947</v>
      </c>
      <c r="D588">
        <v>3</v>
      </c>
      <c r="E588" t="s">
        <v>39</v>
      </c>
      <c r="F588" t="s">
        <v>31</v>
      </c>
      <c r="G588" t="s">
        <v>41</v>
      </c>
      <c r="H588" t="s">
        <v>33</v>
      </c>
      <c r="I588" t="s">
        <v>49</v>
      </c>
      <c r="J588" t="s">
        <v>50</v>
      </c>
      <c r="K588" t="s">
        <v>51</v>
      </c>
      <c r="L588">
        <v>1</v>
      </c>
      <c r="M588" s="10">
        <v>0.08</v>
      </c>
      <c r="N588" s="11">
        <v>225400</v>
      </c>
      <c r="O588" s="11">
        <v>145000</v>
      </c>
      <c r="P588" s="11">
        <v>80400</v>
      </c>
      <c r="Q588" t="s">
        <v>57</v>
      </c>
      <c r="R588" t="b">
        <f>COUNTIF($A$6     : CleanedSalesData[[#This Row],[Order ID]], CleanedSalesData[[#This Row],[Order ID]])&gt;1</f>
        <v>0</v>
      </c>
      <c r="S588" t="b">
        <f>IF(ISBLANK(CleanedSalesData[[#This Row],[Quantity]]), TRUE, FALSE)</f>
        <v>0</v>
      </c>
      <c r="T588" t="b">
        <f>IF(ISBLANK(CleanedSalesData[[#This Row],[Order Date]]), TRUE, FALSE)</f>
        <v>0</v>
      </c>
      <c r="U588" t="b">
        <f>IF(ISBLANK(CleanedSalesData[[#This Row],[Revenue]]), TRUE, FALSE)</f>
        <v>0</v>
      </c>
      <c r="V588" t="b">
        <f>IF(OR(CleanedSalesData[[#This Row],[Order Status]]="Cancelled", CleanedSalesData[[#This Row],[Order Status]]="Returned"), TRUE, FALSE)</f>
        <v>0</v>
      </c>
      <c r="W588" t="str" cm="1">
        <f t="array" ref="W58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89" spans="1:23" x14ac:dyDescent="0.35">
      <c r="A589" t="s">
        <v>739</v>
      </c>
      <c r="B589" s="7">
        <v>46144</v>
      </c>
      <c r="C589" t="s">
        <v>946</v>
      </c>
      <c r="D589">
        <v>5</v>
      </c>
      <c r="E589" t="s">
        <v>54</v>
      </c>
      <c r="F589" t="s">
        <v>70</v>
      </c>
      <c r="G589" t="s">
        <v>81</v>
      </c>
      <c r="H589" t="s">
        <v>33</v>
      </c>
      <c r="I589" t="s">
        <v>55</v>
      </c>
      <c r="J589" t="s">
        <v>56</v>
      </c>
      <c r="K589" t="s">
        <v>36</v>
      </c>
      <c r="L589">
        <v>2</v>
      </c>
      <c r="M589" s="10">
        <v>0.08</v>
      </c>
      <c r="N589" s="11">
        <v>3404000</v>
      </c>
      <c r="O589" s="11">
        <v>2640000</v>
      </c>
      <c r="P589" s="11">
        <v>764000</v>
      </c>
      <c r="Q589" t="s">
        <v>57</v>
      </c>
      <c r="R589" t="b">
        <f>COUNTIF($A$6     : CleanedSalesData[[#This Row],[Order ID]], CleanedSalesData[[#This Row],[Order ID]])&gt;1</f>
        <v>0</v>
      </c>
      <c r="S589" t="b">
        <f>IF(ISBLANK(CleanedSalesData[[#This Row],[Quantity]]), TRUE, FALSE)</f>
        <v>0</v>
      </c>
      <c r="T589" t="b">
        <f>IF(ISBLANK(CleanedSalesData[[#This Row],[Order Date]]), TRUE, FALSE)</f>
        <v>0</v>
      </c>
      <c r="U589" t="b">
        <f>IF(ISBLANK(CleanedSalesData[[#This Row],[Revenue]]), TRUE, FALSE)</f>
        <v>0</v>
      </c>
      <c r="V589" t="b">
        <f>IF(OR(CleanedSalesData[[#This Row],[Order Status]]="Cancelled", CleanedSalesData[[#This Row],[Order Status]]="Returned"), TRUE, FALSE)</f>
        <v>0</v>
      </c>
      <c r="W589" t="str" cm="1">
        <f t="array" ref="W58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0" spans="1:23" x14ac:dyDescent="0.35">
      <c r="A590" t="s">
        <v>740</v>
      </c>
      <c r="B590" s="7">
        <v>46111</v>
      </c>
      <c r="C590" t="s">
        <v>947</v>
      </c>
      <c r="D590">
        <v>3</v>
      </c>
      <c r="E590" t="s">
        <v>30</v>
      </c>
      <c r="F590" t="s">
        <v>47</v>
      </c>
      <c r="G590" t="s">
        <v>32</v>
      </c>
      <c r="H590" t="s">
        <v>33</v>
      </c>
      <c r="I590" t="s">
        <v>60</v>
      </c>
      <c r="J590" t="s">
        <v>61</v>
      </c>
      <c r="K590" t="s">
        <v>62</v>
      </c>
      <c r="L590">
        <v>1</v>
      </c>
      <c r="M590" s="10">
        <v>0.08</v>
      </c>
      <c r="N590" s="11">
        <v>59800</v>
      </c>
      <c r="O590" s="11">
        <v>31000</v>
      </c>
      <c r="P590" s="11">
        <v>28800</v>
      </c>
      <c r="Q590" t="s">
        <v>57</v>
      </c>
      <c r="R590" t="b">
        <f>COUNTIF($A$6     : CleanedSalesData[[#This Row],[Order ID]], CleanedSalesData[[#This Row],[Order ID]])&gt;1</f>
        <v>0</v>
      </c>
      <c r="S590" t="b">
        <f>IF(ISBLANK(CleanedSalesData[[#This Row],[Quantity]]), TRUE, FALSE)</f>
        <v>0</v>
      </c>
      <c r="T590" t="b">
        <f>IF(ISBLANK(CleanedSalesData[[#This Row],[Order Date]]), TRUE, FALSE)</f>
        <v>0</v>
      </c>
      <c r="U590" t="b">
        <f>IF(ISBLANK(CleanedSalesData[[#This Row],[Revenue]]), TRUE, FALSE)</f>
        <v>0</v>
      </c>
      <c r="V590" t="b">
        <f>IF(OR(CleanedSalesData[[#This Row],[Order Status]]="Cancelled", CleanedSalesData[[#This Row],[Order Status]]="Returned"), TRUE, FALSE)</f>
        <v>0</v>
      </c>
      <c r="W590" t="str" cm="1">
        <f t="array" ref="W59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1" spans="1:23" x14ac:dyDescent="0.35">
      <c r="A591" t="s">
        <v>741</v>
      </c>
      <c r="B591" s="7">
        <v>46113</v>
      </c>
      <c r="C591" t="s">
        <v>949</v>
      </c>
      <c r="D591">
        <v>4</v>
      </c>
      <c r="E591" t="s">
        <v>65</v>
      </c>
      <c r="F591" t="s">
        <v>59</v>
      </c>
      <c r="G591" t="s">
        <v>41</v>
      </c>
      <c r="H591" t="s">
        <v>33</v>
      </c>
      <c r="I591" t="s">
        <v>66</v>
      </c>
      <c r="J591" t="s">
        <v>67</v>
      </c>
      <c r="K591" t="s">
        <v>51</v>
      </c>
      <c r="L591">
        <v>6</v>
      </c>
      <c r="M591" s="10">
        <v>0.15</v>
      </c>
      <c r="N591" s="11">
        <v>1581000</v>
      </c>
      <c r="O591" s="11">
        <v>1140000</v>
      </c>
      <c r="P591" s="11">
        <v>441000</v>
      </c>
      <c r="Q591" t="s">
        <v>57</v>
      </c>
      <c r="R591" t="b">
        <f>COUNTIF($A$6     : CleanedSalesData[[#This Row],[Order ID]], CleanedSalesData[[#This Row],[Order ID]])&gt;1</f>
        <v>0</v>
      </c>
      <c r="S591" t="b">
        <f>IF(ISBLANK(CleanedSalesData[[#This Row],[Quantity]]), TRUE, FALSE)</f>
        <v>0</v>
      </c>
      <c r="T591" t="b">
        <f>IF(ISBLANK(CleanedSalesData[[#This Row],[Order Date]]), TRUE, FALSE)</f>
        <v>0</v>
      </c>
      <c r="U591" t="b">
        <f>IF(ISBLANK(CleanedSalesData[[#This Row],[Revenue]]), TRUE, FALSE)</f>
        <v>0</v>
      </c>
      <c r="V591" t="b">
        <f>IF(OR(CleanedSalesData[[#This Row],[Order Status]]="Cancelled", CleanedSalesData[[#This Row],[Order Status]]="Returned"), TRUE, FALSE)</f>
        <v>0</v>
      </c>
      <c r="W591" t="str" cm="1">
        <f t="array" ref="W59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2" spans="1:23" x14ac:dyDescent="0.35">
      <c r="A592" t="s">
        <v>742</v>
      </c>
      <c r="B592" s="7">
        <v>46141</v>
      </c>
      <c r="C592" t="s">
        <v>949</v>
      </c>
      <c r="D592">
        <v>4</v>
      </c>
      <c r="E592" t="s">
        <v>65</v>
      </c>
      <c r="F592" t="s">
        <v>70</v>
      </c>
      <c r="G592" t="s">
        <v>48</v>
      </c>
      <c r="H592" t="s">
        <v>33</v>
      </c>
      <c r="I592" t="s">
        <v>71</v>
      </c>
      <c r="J592" t="s">
        <v>72</v>
      </c>
      <c r="K592" t="s">
        <v>73</v>
      </c>
      <c r="L592">
        <v>3</v>
      </c>
      <c r="M592" s="10">
        <v>0.03</v>
      </c>
      <c r="N592" s="11">
        <v>363750</v>
      </c>
      <c r="O592" s="11">
        <v>210000</v>
      </c>
      <c r="P592" s="11">
        <v>153750</v>
      </c>
      <c r="Q592" t="s">
        <v>37</v>
      </c>
      <c r="R592" t="b">
        <f>COUNTIF($A$6     : CleanedSalesData[[#This Row],[Order ID]], CleanedSalesData[[#This Row],[Order ID]])&gt;1</f>
        <v>0</v>
      </c>
      <c r="S592" t="b">
        <f>IF(ISBLANK(CleanedSalesData[[#This Row],[Quantity]]), TRUE, FALSE)</f>
        <v>0</v>
      </c>
      <c r="T592" t="b">
        <f>IF(ISBLANK(CleanedSalesData[[#This Row],[Order Date]]), TRUE, FALSE)</f>
        <v>0</v>
      </c>
      <c r="U592" t="b">
        <f>IF(ISBLANK(CleanedSalesData[[#This Row],[Revenue]]), TRUE, FALSE)</f>
        <v>0</v>
      </c>
      <c r="V592" t="b">
        <f>IF(OR(CleanedSalesData[[#This Row],[Order Status]]="Cancelled", CleanedSalesData[[#This Row],[Order Status]]="Returned"), TRUE, FALSE)</f>
        <v>0</v>
      </c>
      <c r="W592" t="str" cm="1">
        <f t="array" ref="W59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3" spans="1:23" x14ac:dyDescent="0.35">
      <c r="A593" t="s">
        <v>743</v>
      </c>
      <c r="B593" s="7">
        <v>46043</v>
      </c>
      <c r="C593" t="s">
        <v>948</v>
      </c>
      <c r="D593">
        <v>1</v>
      </c>
      <c r="E593" t="s">
        <v>76</v>
      </c>
      <c r="F593" t="s">
        <v>70</v>
      </c>
      <c r="G593" t="s">
        <v>81</v>
      </c>
      <c r="H593" t="s">
        <v>33</v>
      </c>
      <c r="I593" t="s">
        <v>78</v>
      </c>
      <c r="J593" t="s">
        <v>79</v>
      </c>
      <c r="K593" t="s">
        <v>62</v>
      </c>
      <c r="L593">
        <v>3</v>
      </c>
      <c r="M593" s="10">
        <v>0.05</v>
      </c>
      <c r="N593" s="11">
        <v>242250</v>
      </c>
      <c r="O593" s="11">
        <v>129000</v>
      </c>
      <c r="P593" s="11">
        <v>113250</v>
      </c>
      <c r="Q593" t="s">
        <v>93</v>
      </c>
      <c r="R593" t="b">
        <f>COUNTIF($A$6     : CleanedSalesData[[#This Row],[Order ID]], CleanedSalesData[[#This Row],[Order ID]])&gt;1</f>
        <v>0</v>
      </c>
      <c r="S593" t="b">
        <f>IF(ISBLANK(CleanedSalesData[[#This Row],[Quantity]]), TRUE, FALSE)</f>
        <v>0</v>
      </c>
      <c r="T593" t="b">
        <f>IF(ISBLANK(CleanedSalesData[[#This Row],[Order Date]]), TRUE, FALSE)</f>
        <v>0</v>
      </c>
      <c r="U593" t="b">
        <f>IF(ISBLANK(CleanedSalesData[[#This Row],[Revenue]]), TRUE, FALSE)</f>
        <v>0</v>
      </c>
      <c r="V593" t="b">
        <f>IF(OR(CleanedSalesData[[#This Row],[Order Status]]="Cancelled", CleanedSalesData[[#This Row],[Order Status]]="Returned"), TRUE, FALSE)</f>
        <v>0</v>
      </c>
      <c r="W593" t="str" cm="1">
        <f t="array" ref="W59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4" spans="1:23" x14ac:dyDescent="0.35">
      <c r="A594" t="s">
        <v>744</v>
      </c>
      <c r="B594" s="7">
        <v>46092</v>
      </c>
      <c r="C594" t="s">
        <v>947</v>
      </c>
      <c r="D594">
        <v>3</v>
      </c>
      <c r="E594" t="s">
        <v>65</v>
      </c>
      <c r="F594" t="s">
        <v>47</v>
      </c>
      <c r="G594" t="s">
        <v>48</v>
      </c>
      <c r="H594" t="s">
        <v>33</v>
      </c>
      <c r="I594" t="s">
        <v>82</v>
      </c>
      <c r="J594" t="s">
        <v>83</v>
      </c>
      <c r="K594" t="s">
        <v>44</v>
      </c>
      <c r="L594">
        <v>8</v>
      </c>
      <c r="M594" s="10">
        <v>0.05</v>
      </c>
      <c r="N594" s="11">
        <v>11020000</v>
      </c>
      <c r="O594" s="11">
        <v>7840000</v>
      </c>
      <c r="P594" s="11">
        <v>3180000</v>
      </c>
      <c r="Q594" t="s">
        <v>84</v>
      </c>
      <c r="R594" t="b">
        <f>COUNTIF($A$6     : CleanedSalesData[[#This Row],[Order ID]], CleanedSalesData[[#This Row],[Order ID]])&gt;1</f>
        <v>0</v>
      </c>
      <c r="S594" t="b">
        <f>IF(ISBLANK(CleanedSalesData[[#This Row],[Quantity]]), TRUE, FALSE)</f>
        <v>0</v>
      </c>
      <c r="T594" t="b">
        <f>IF(ISBLANK(CleanedSalesData[[#This Row],[Order Date]]), TRUE, FALSE)</f>
        <v>0</v>
      </c>
      <c r="U594" t="b">
        <f>IF(ISBLANK(CleanedSalesData[[#This Row],[Revenue]]), TRUE, FALSE)</f>
        <v>0</v>
      </c>
      <c r="V594" t="b">
        <f>IF(OR(CleanedSalesData[[#This Row],[Order Status]]="Cancelled", CleanedSalesData[[#This Row],[Order Status]]="Returned"), TRUE, FALSE)</f>
        <v>0</v>
      </c>
      <c r="W594" t="str" cm="1">
        <f t="array" ref="W59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5" spans="1:23" x14ac:dyDescent="0.35">
      <c r="A595" t="s">
        <v>745</v>
      </c>
      <c r="B595" s="7">
        <v>32874</v>
      </c>
      <c r="C595" t="s">
        <v>948</v>
      </c>
      <c r="D595">
        <v>1</v>
      </c>
      <c r="E595" t="s">
        <v>39</v>
      </c>
      <c r="F595" t="s">
        <v>70</v>
      </c>
      <c r="G595" t="s">
        <v>41</v>
      </c>
      <c r="H595" t="s">
        <v>33</v>
      </c>
      <c r="I595" t="s">
        <v>86</v>
      </c>
      <c r="J595" t="s">
        <v>87</v>
      </c>
      <c r="K595" t="s">
        <v>36</v>
      </c>
      <c r="L595">
        <v>1</v>
      </c>
      <c r="M595" s="10">
        <v>0.03</v>
      </c>
      <c r="N595" s="11">
        <v>339500</v>
      </c>
      <c r="O595" s="11">
        <v>210000</v>
      </c>
      <c r="P595" s="11">
        <v>129500</v>
      </c>
      <c r="Q595" t="s">
        <v>84</v>
      </c>
      <c r="R595" t="b">
        <f>COUNTIF($A$6     : CleanedSalesData[[#This Row],[Order ID]], CleanedSalesData[[#This Row],[Order ID]])&gt;1</f>
        <v>0</v>
      </c>
      <c r="S595" t="b">
        <f>IF(ISBLANK(CleanedSalesData[[#This Row],[Quantity]]), TRUE, FALSE)</f>
        <v>0</v>
      </c>
      <c r="T595" t="b">
        <f>IF(ISBLANK(CleanedSalesData[[#This Row],[Order Date]]), TRUE, FALSE)</f>
        <v>0</v>
      </c>
      <c r="U595" t="b">
        <f>IF(ISBLANK(CleanedSalesData[[#This Row],[Revenue]]), TRUE, FALSE)</f>
        <v>0</v>
      </c>
      <c r="V595" t="b">
        <f>IF(OR(CleanedSalesData[[#This Row],[Order Status]]="Cancelled", CleanedSalesData[[#This Row],[Order Status]]="Returned"), TRUE, FALSE)</f>
        <v>0</v>
      </c>
      <c r="W595" t="str" cm="1">
        <f t="array" ref="W59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6" spans="1:23" x14ac:dyDescent="0.35">
      <c r="A596" t="s">
        <v>747</v>
      </c>
      <c r="B596" s="7">
        <v>46124</v>
      </c>
      <c r="C596" t="s">
        <v>949</v>
      </c>
      <c r="D596">
        <v>4</v>
      </c>
      <c r="E596" t="s">
        <v>95</v>
      </c>
      <c r="F596" t="s">
        <v>59</v>
      </c>
      <c r="G596" t="s">
        <v>41</v>
      </c>
      <c r="H596" t="s">
        <v>33</v>
      </c>
      <c r="I596" t="s">
        <v>34</v>
      </c>
      <c r="J596" t="s">
        <v>35</v>
      </c>
      <c r="K596" t="s">
        <v>36</v>
      </c>
      <c r="L596">
        <v>2</v>
      </c>
      <c r="M596" s="10">
        <v>0</v>
      </c>
      <c r="N596" s="11">
        <v>950000</v>
      </c>
      <c r="O596" s="11">
        <v>570000</v>
      </c>
      <c r="P596" s="11">
        <v>380000</v>
      </c>
      <c r="Q596" t="s">
        <v>93</v>
      </c>
      <c r="R596" t="b">
        <f>COUNTIF($A$6     : CleanedSalesData[[#This Row],[Order ID]], CleanedSalesData[[#This Row],[Order ID]])&gt;1</f>
        <v>0</v>
      </c>
      <c r="S596" t="b">
        <f>IF(ISBLANK(CleanedSalesData[[#This Row],[Quantity]]), TRUE, FALSE)</f>
        <v>0</v>
      </c>
      <c r="T596" t="b">
        <f>IF(ISBLANK(CleanedSalesData[[#This Row],[Order Date]]), TRUE, FALSE)</f>
        <v>0</v>
      </c>
      <c r="U596" t="b">
        <f>IF(ISBLANK(CleanedSalesData[[#This Row],[Revenue]]), TRUE, FALSE)</f>
        <v>0</v>
      </c>
      <c r="V596" t="b">
        <f>IF(OR(CleanedSalesData[[#This Row],[Order Status]]="Cancelled", CleanedSalesData[[#This Row],[Order Status]]="Returned"), TRUE, FALSE)</f>
        <v>0</v>
      </c>
      <c r="W596" t="str" cm="1">
        <f t="array" ref="W59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7" spans="1:23" x14ac:dyDescent="0.35">
      <c r="A597" t="s">
        <v>748</v>
      </c>
      <c r="B597" s="7">
        <v>46157</v>
      </c>
      <c r="C597" t="s">
        <v>946</v>
      </c>
      <c r="D597">
        <v>5</v>
      </c>
      <c r="E597" t="s">
        <v>65</v>
      </c>
      <c r="F597" t="s">
        <v>31</v>
      </c>
      <c r="G597" t="s">
        <v>41</v>
      </c>
      <c r="H597" t="s">
        <v>33</v>
      </c>
      <c r="I597" t="s">
        <v>42</v>
      </c>
      <c r="J597" t="s">
        <v>43</v>
      </c>
      <c r="K597" t="s">
        <v>44</v>
      </c>
      <c r="L597">
        <v>2</v>
      </c>
      <c r="M597" s="10">
        <v>0</v>
      </c>
      <c r="N597" s="11">
        <v>550000</v>
      </c>
      <c r="O597" s="11">
        <v>310000</v>
      </c>
      <c r="P597" s="11">
        <v>240000</v>
      </c>
      <c r="Q597" t="s">
        <v>57</v>
      </c>
      <c r="R597" t="b">
        <f>COUNTIF($A$6     : CleanedSalesData[[#This Row],[Order ID]], CleanedSalesData[[#This Row],[Order ID]])&gt;1</f>
        <v>0</v>
      </c>
      <c r="S597" t="b">
        <f>IF(ISBLANK(CleanedSalesData[[#This Row],[Quantity]]), TRUE, FALSE)</f>
        <v>0</v>
      </c>
      <c r="T597" t="b">
        <f>IF(ISBLANK(CleanedSalesData[[#This Row],[Order Date]]), TRUE, FALSE)</f>
        <v>0</v>
      </c>
      <c r="U597" t="b">
        <f>IF(ISBLANK(CleanedSalesData[[#This Row],[Revenue]]), TRUE, FALSE)</f>
        <v>0</v>
      </c>
      <c r="V597" t="b">
        <f>IF(OR(CleanedSalesData[[#This Row],[Order Status]]="Cancelled", CleanedSalesData[[#This Row],[Order Status]]="Returned"), TRUE, FALSE)</f>
        <v>0</v>
      </c>
      <c r="W597" t="str" cm="1">
        <f t="array" ref="W59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8" spans="1:23" x14ac:dyDescent="0.35">
      <c r="A598" t="s">
        <v>749</v>
      </c>
      <c r="B598" s="7">
        <v>46081</v>
      </c>
      <c r="C598" t="s">
        <v>944</v>
      </c>
      <c r="D598">
        <v>2</v>
      </c>
      <c r="E598" t="s">
        <v>30</v>
      </c>
      <c r="F598" t="s">
        <v>31</v>
      </c>
      <c r="G598" t="s">
        <v>32</v>
      </c>
      <c r="H598" t="s">
        <v>33</v>
      </c>
      <c r="I598" t="s">
        <v>49</v>
      </c>
      <c r="J598" t="s">
        <v>50</v>
      </c>
      <c r="K598" t="s">
        <v>51</v>
      </c>
      <c r="L598">
        <v>4</v>
      </c>
      <c r="M598" s="10">
        <v>0.15</v>
      </c>
      <c r="N598" s="11">
        <v>833000</v>
      </c>
      <c r="O598" s="11">
        <v>580000</v>
      </c>
      <c r="P598" s="11">
        <v>253000</v>
      </c>
      <c r="Q598" t="s">
        <v>74</v>
      </c>
      <c r="R598" t="b">
        <f>COUNTIF($A$6     : CleanedSalesData[[#This Row],[Order ID]], CleanedSalesData[[#This Row],[Order ID]])&gt;1</f>
        <v>0</v>
      </c>
      <c r="S598" t="b">
        <f>IF(ISBLANK(CleanedSalesData[[#This Row],[Quantity]]), TRUE, FALSE)</f>
        <v>0</v>
      </c>
      <c r="T598" t="b">
        <f>IF(ISBLANK(CleanedSalesData[[#This Row],[Order Date]]), TRUE, FALSE)</f>
        <v>0</v>
      </c>
      <c r="U598" t="b">
        <f>IF(ISBLANK(CleanedSalesData[[#This Row],[Revenue]]), TRUE, FALSE)</f>
        <v>0</v>
      </c>
      <c r="V598" t="b">
        <f>IF(OR(CleanedSalesData[[#This Row],[Order Status]]="Cancelled", CleanedSalesData[[#This Row],[Order Status]]="Returned"), TRUE, FALSE)</f>
        <v>0</v>
      </c>
      <c r="W598" t="str" cm="1">
        <f t="array" ref="W59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599" spans="1:23" x14ac:dyDescent="0.35">
      <c r="A599" t="s">
        <v>750</v>
      </c>
      <c r="B599" s="7">
        <v>46031</v>
      </c>
      <c r="C599" t="s">
        <v>948</v>
      </c>
      <c r="D599">
        <v>1</v>
      </c>
      <c r="E599" t="s">
        <v>111</v>
      </c>
      <c r="F599" t="s">
        <v>59</v>
      </c>
      <c r="G599" t="s">
        <v>81</v>
      </c>
      <c r="H599" t="s">
        <v>90</v>
      </c>
      <c r="I599" t="s">
        <v>55</v>
      </c>
      <c r="J599" t="s">
        <v>56</v>
      </c>
      <c r="K599" t="s">
        <v>36</v>
      </c>
      <c r="L599">
        <v>6</v>
      </c>
      <c r="M599" s="10">
        <v>0.05</v>
      </c>
      <c r="N599" s="11">
        <v>10545000</v>
      </c>
      <c r="O599" s="11">
        <v>7920000</v>
      </c>
      <c r="P599" s="11">
        <v>2625000</v>
      </c>
      <c r="Q599" t="s">
        <v>84</v>
      </c>
      <c r="R599" t="b">
        <f>COUNTIF($A$6     : CleanedSalesData[[#This Row],[Order ID]], CleanedSalesData[[#This Row],[Order ID]])&gt;1</f>
        <v>0</v>
      </c>
      <c r="S599" t="b">
        <f>IF(ISBLANK(CleanedSalesData[[#This Row],[Quantity]]), TRUE, FALSE)</f>
        <v>0</v>
      </c>
      <c r="T599" t="b">
        <f>IF(ISBLANK(CleanedSalesData[[#This Row],[Order Date]]), TRUE, FALSE)</f>
        <v>0</v>
      </c>
      <c r="U599" t="b">
        <f>IF(ISBLANK(CleanedSalesData[[#This Row],[Revenue]]), TRUE, FALSE)</f>
        <v>0</v>
      </c>
      <c r="V599" t="b">
        <f>IF(OR(CleanedSalesData[[#This Row],[Order Status]]="Cancelled", CleanedSalesData[[#This Row],[Order Status]]="Returned"), TRUE, FALSE)</f>
        <v>0</v>
      </c>
      <c r="W599" t="str" cm="1">
        <f t="array" ref="W59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0" spans="1:23" x14ac:dyDescent="0.35">
      <c r="A600" t="s">
        <v>751</v>
      </c>
      <c r="B600" s="7">
        <v>46201</v>
      </c>
      <c r="C600" t="s">
        <v>945</v>
      </c>
      <c r="D600">
        <v>6</v>
      </c>
      <c r="E600" t="s">
        <v>76</v>
      </c>
      <c r="F600" t="s">
        <v>47</v>
      </c>
      <c r="G600" t="s">
        <v>48</v>
      </c>
      <c r="H600" t="s">
        <v>33</v>
      </c>
      <c r="I600" t="s">
        <v>60</v>
      </c>
      <c r="J600" t="s">
        <v>61</v>
      </c>
      <c r="K600" t="s">
        <v>62</v>
      </c>
      <c r="L600">
        <v>3</v>
      </c>
      <c r="M600" s="10">
        <v>0.1</v>
      </c>
      <c r="N600" s="11">
        <v>175500</v>
      </c>
      <c r="O600" s="11">
        <v>93000</v>
      </c>
      <c r="P600" s="11">
        <v>82500</v>
      </c>
      <c r="Q600" t="s">
        <v>63</v>
      </c>
      <c r="R600" t="b">
        <f>COUNTIF($A$6     : CleanedSalesData[[#This Row],[Order ID]], CleanedSalesData[[#This Row],[Order ID]])&gt;1</f>
        <v>0</v>
      </c>
      <c r="S600" t="b">
        <f>IF(ISBLANK(CleanedSalesData[[#This Row],[Quantity]]), TRUE, FALSE)</f>
        <v>0</v>
      </c>
      <c r="T600" t="b">
        <f>IF(ISBLANK(CleanedSalesData[[#This Row],[Order Date]]), TRUE, FALSE)</f>
        <v>0</v>
      </c>
      <c r="U600" t="b">
        <f>IF(ISBLANK(CleanedSalesData[[#This Row],[Revenue]]), TRUE, FALSE)</f>
        <v>0</v>
      </c>
      <c r="V600" t="b">
        <f>IF(OR(CleanedSalesData[[#This Row],[Order Status]]="Cancelled", CleanedSalesData[[#This Row],[Order Status]]="Returned"), TRUE, FALSE)</f>
        <v>0</v>
      </c>
      <c r="W600" t="str" cm="1">
        <f t="array" ref="W60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1" spans="1:23" x14ac:dyDescent="0.35">
      <c r="A601" t="s">
        <v>752</v>
      </c>
      <c r="B601" s="7">
        <v>46146</v>
      </c>
      <c r="C601" t="s">
        <v>946</v>
      </c>
      <c r="D601">
        <v>5</v>
      </c>
      <c r="E601" t="s">
        <v>76</v>
      </c>
      <c r="F601" t="s">
        <v>70</v>
      </c>
      <c r="G601" t="s">
        <v>48</v>
      </c>
      <c r="H601" t="s">
        <v>33</v>
      </c>
      <c r="I601" t="s">
        <v>66</v>
      </c>
      <c r="J601" t="s">
        <v>67</v>
      </c>
      <c r="K601" t="s">
        <v>51</v>
      </c>
      <c r="L601">
        <v>4</v>
      </c>
      <c r="M601" s="10">
        <v>0</v>
      </c>
      <c r="N601" s="11">
        <v>1240000</v>
      </c>
      <c r="O601" s="11">
        <v>760000</v>
      </c>
      <c r="P601" s="11">
        <v>480000</v>
      </c>
      <c r="Q601" t="s">
        <v>84</v>
      </c>
      <c r="R601" t="b">
        <f>COUNTIF($A$6     : CleanedSalesData[[#This Row],[Order ID]], CleanedSalesData[[#This Row],[Order ID]])&gt;1</f>
        <v>0</v>
      </c>
      <c r="S601" t="b">
        <f>IF(ISBLANK(CleanedSalesData[[#This Row],[Quantity]]), TRUE, FALSE)</f>
        <v>0</v>
      </c>
      <c r="T601" t="b">
        <f>IF(ISBLANK(CleanedSalesData[[#This Row],[Order Date]]), TRUE, FALSE)</f>
        <v>0</v>
      </c>
      <c r="U601" t="b">
        <f>IF(ISBLANK(CleanedSalesData[[#This Row],[Revenue]]), TRUE, FALSE)</f>
        <v>0</v>
      </c>
      <c r="V601" t="b">
        <f>IF(OR(CleanedSalesData[[#This Row],[Order Status]]="Cancelled", CleanedSalesData[[#This Row],[Order Status]]="Returned"), TRUE, FALSE)</f>
        <v>0</v>
      </c>
      <c r="W601" t="str" cm="1">
        <f t="array" ref="W60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2" spans="1:23" x14ac:dyDescent="0.35">
      <c r="A602" t="s">
        <v>753</v>
      </c>
      <c r="B602" s="7">
        <v>46100</v>
      </c>
      <c r="C602" t="s">
        <v>947</v>
      </c>
      <c r="D602">
        <v>3</v>
      </c>
      <c r="E602" t="s">
        <v>76</v>
      </c>
      <c r="F602" t="s">
        <v>31</v>
      </c>
      <c r="G602" t="s">
        <v>81</v>
      </c>
      <c r="H602" t="s">
        <v>33</v>
      </c>
      <c r="I602" t="s">
        <v>71</v>
      </c>
      <c r="J602" t="s">
        <v>72</v>
      </c>
      <c r="K602" t="s">
        <v>73</v>
      </c>
      <c r="L602">
        <v>1</v>
      </c>
      <c r="M602" s="10">
        <v>0</v>
      </c>
      <c r="N602" s="11">
        <v>125000</v>
      </c>
      <c r="O602" s="11">
        <v>70000</v>
      </c>
      <c r="P602" s="11">
        <v>55000</v>
      </c>
      <c r="Q602" t="s">
        <v>52</v>
      </c>
      <c r="R602" t="b">
        <f>COUNTIF($A$6     : CleanedSalesData[[#This Row],[Order ID]], CleanedSalesData[[#This Row],[Order ID]])&gt;1</f>
        <v>0</v>
      </c>
      <c r="S602" t="b">
        <f>IF(ISBLANK(CleanedSalesData[[#This Row],[Quantity]]), TRUE, FALSE)</f>
        <v>0</v>
      </c>
      <c r="T602" t="b">
        <f>IF(ISBLANK(CleanedSalesData[[#This Row],[Order Date]]), TRUE, FALSE)</f>
        <v>0</v>
      </c>
      <c r="U602" t="b">
        <f>IF(ISBLANK(CleanedSalesData[[#This Row],[Revenue]]), TRUE, FALSE)</f>
        <v>0</v>
      </c>
      <c r="V602" t="b">
        <f>IF(OR(CleanedSalesData[[#This Row],[Order Status]]="Cancelled", CleanedSalesData[[#This Row],[Order Status]]="Returned"), TRUE, FALSE)</f>
        <v>0</v>
      </c>
      <c r="W602" t="str" cm="1">
        <f t="array" ref="W60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3" spans="1:23" x14ac:dyDescent="0.35">
      <c r="A603" t="s">
        <v>754</v>
      </c>
      <c r="B603" s="7">
        <v>46159</v>
      </c>
      <c r="C603" t="s">
        <v>946</v>
      </c>
      <c r="D603">
        <v>5</v>
      </c>
      <c r="E603" t="s">
        <v>65</v>
      </c>
      <c r="F603" t="s">
        <v>70</v>
      </c>
      <c r="G603" t="s">
        <v>41</v>
      </c>
      <c r="H603" t="s">
        <v>112</v>
      </c>
      <c r="I603" t="s">
        <v>78</v>
      </c>
      <c r="J603" t="s">
        <v>79</v>
      </c>
      <c r="K603" t="s">
        <v>62</v>
      </c>
      <c r="L603">
        <v>1</v>
      </c>
      <c r="M603" s="10">
        <v>0.15</v>
      </c>
      <c r="N603" s="11">
        <v>18062</v>
      </c>
      <c r="O603" s="11">
        <v>43000</v>
      </c>
      <c r="P603" s="11">
        <v>-24938</v>
      </c>
      <c r="Q603" t="s">
        <v>57</v>
      </c>
      <c r="R603" t="b">
        <f>COUNTIF($A$6     : CleanedSalesData[[#This Row],[Order ID]], CleanedSalesData[[#This Row],[Order ID]])&gt;1</f>
        <v>0</v>
      </c>
      <c r="S603" t="b">
        <f>IF(ISBLANK(CleanedSalesData[[#This Row],[Quantity]]), TRUE, FALSE)</f>
        <v>0</v>
      </c>
      <c r="T603" t="b">
        <f>IF(ISBLANK(CleanedSalesData[[#This Row],[Order Date]]), TRUE, FALSE)</f>
        <v>0</v>
      </c>
      <c r="U603" t="b">
        <f>IF(ISBLANK(CleanedSalesData[[#This Row],[Revenue]]), TRUE, FALSE)</f>
        <v>0</v>
      </c>
      <c r="V603" t="b">
        <f>IF(OR(CleanedSalesData[[#This Row],[Order Status]]="Cancelled", CleanedSalesData[[#This Row],[Order Status]]="Returned"), TRUE, FALSE)</f>
        <v>1</v>
      </c>
      <c r="W603" t="str" cm="1">
        <f t="array" ref="W60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04" spans="1:23" x14ac:dyDescent="0.35">
      <c r="A604" t="s">
        <v>755</v>
      </c>
      <c r="B604" s="7">
        <v>46175</v>
      </c>
      <c r="C604" t="s">
        <v>945</v>
      </c>
      <c r="D604">
        <v>6</v>
      </c>
      <c r="E604" t="s">
        <v>65</v>
      </c>
      <c r="F604" t="s">
        <v>31</v>
      </c>
      <c r="G604" t="s">
        <v>48</v>
      </c>
      <c r="H604" t="s">
        <v>33</v>
      </c>
      <c r="I604" t="s">
        <v>82</v>
      </c>
      <c r="J604" t="s">
        <v>83</v>
      </c>
      <c r="K604" t="s">
        <v>44</v>
      </c>
      <c r="L604">
        <v>4</v>
      </c>
      <c r="M604" s="10">
        <v>0</v>
      </c>
      <c r="N604" s="11">
        <v>5800000</v>
      </c>
      <c r="O604" s="11">
        <v>3920000</v>
      </c>
      <c r="P604" s="11">
        <v>1880000</v>
      </c>
      <c r="Q604" t="s">
        <v>93</v>
      </c>
      <c r="R604" t="b">
        <f>COUNTIF($A$6     : CleanedSalesData[[#This Row],[Order ID]], CleanedSalesData[[#This Row],[Order ID]])&gt;1</f>
        <v>0</v>
      </c>
      <c r="S604" t="b">
        <f>IF(ISBLANK(CleanedSalesData[[#This Row],[Quantity]]), TRUE, FALSE)</f>
        <v>0</v>
      </c>
      <c r="T604" t="b">
        <f>IF(ISBLANK(CleanedSalesData[[#This Row],[Order Date]]), TRUE, FALSE)</f>
        <v>0</v>
      </c>
      <c r="U604" t="b">
        <f>IF(ISBLANK(CleanedSalesData[[#This Row],[Revenue]]), TRUE, FALSE)</f>
        <v>0</v>
      </c>
      <c r="V604" t="b">
        <f>IF(OR(CleanedSalesData[[#This Row],[Order Status]]="Cancelled", CleanedSalesData[[#This Row],[Order Status]]="Returned"), TRUE, FALSE)</f>
        <v>0</v>
      </c>
      <c r="W604" t="str" cm="1">
        <f t="array" ref="W60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5" spans="1:23" x14ac:dyDescent="0.35">
      <c r="A605" t="s">
        <v>756</v>
      </c>
      <c r="B605" s="7">
        <v>46086</v>
      </c>
      <c r="C605" t="s">
        <v>947</v>
      </c>
      <c r="D605">
        <v>3</v>
      </c>
      <c r="E605" t="s">
        <v>39</v>
      </c>
      <c r="F605" t="s">
        <v>59</v>
      </c>
      <c r="G605" t="s">
        <v>48</v>
      </c>
      <c r="H605" t="s">
        <v>33</v>
      </c>
      <c r="I605" t="s">
        <v>86</v>
      </c>
      <c r="J605" t="s">
        <v>87</v>
      </c>
      <c r="K605" t="s">
        <v>36</v>
      </c>
      <c r="L605">
        <v>3</v>
      </c>
      <c r="M605" s="10">
        <v>0.15</v>
      </c>
      <c r="N605" s="11">
        <v>892500</v>
      </c>
      <c r="O605" s="11">
        <v>630000</v>
      </c>
      <c r="P605" s="11">
        <v>262500</v>
      </c>
      <c r="Q605" t="s">
        <v>57</v>
      </c>
      <c r="R605" t="b">
        <f>COUNTIF($A$6     : CleanedSalesData[[#This Row],[Order ID]], CleanedSalesData[[#This Row],[Order ID]])&gt;1</f>
        <v>0</v>
      </c>
      <c r="S605" t="b">
        <f>IF(ISBLANK(CleanedSalesData[[#This Row],[Quantity]]), TRUE, FALSE)</f>
        <v>0</v>
      </c>
      <c r="T605" t="b">
        <f>IF(ISBLANK(CleanedSalesData[[#This Row],[Order Date]]), TRUE, FALSE)</f>
        <v>0</v>
      </c>
      <c r="U605" t="b">
        <f>IF(ISBLANK(CleanedSalesData[[#This Row],[Revenue]]), TRUE, FALSE)</f>
        <v>0</v>
      </c>
      <c r="V605" t="b">
        <f>IF(OR(CleanedSalesData[[#This Row],[Order Status]]="Cancelled", CleanedSalesData[[#This Row],[Order Status]]="Returned"), TRUE, FALSE)</f>
        <v>0</v>
      </c>
      <c r="W605" t="str" cm="1">
        <f t="array" ref="W60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6" spans="1:23" x14ac:dyDescent="0.35">
      <c r="A606" t="s">
        <v>757</v>
      </c>
      <c r="B606" s="7">
        <v>46043</v>
      </c>
      <c r="C606" t="s">
        <v>948</v>
      </c>
      <c r="D606">
        <v>1</v>
      </c>
      <c r="E606" t="s">
        <v>76</v>
      </c>
      <c r="F606" t="s">
        <v>47</v>
      </c>
      <c r="G606" t="s">
        <v>81</v>
      </c>
      <c r="H606" t="s">
        <v>33</v>
      </c>
      <c r="I606" t="s">
        <v>34</v>
      </c>
      <c r="J606" t="s">
        <v>35</v>
      </c>
      <c r="K606" t="s">
        <v>36</v>
      </c>
      <c r="L606">
        <v>7</v>
      </c>
      <c r="M606" s="10">
        <v>0.15</v>
      </c>
      <c r="N606" s="11">
        <v>2826250</v>
      </c>
      <c r="O606" s="11">
        <v>1995000</v>
      </c>
      <c r="P606" s="11">
        <v>831250</v>
      </c>
      <c r="Q606" t="s">
        <v>57</v>
      </c>
      <c r="R606" t="b">
        <f>COUNTIF($A$6     : CleanedSalesData[[#This Row],[Order ID]], CleanedSalesData[[#This Row],[Order ID]])&gt;1</f>
        <v>0</v>
      </c>
      <c r="S606" t="b">
        <f>IF(ISBLANK(CleanedSalesData[[#This Row],[Quantity]]), TRUE, FALSE)</f>
        <v>0</v>
      </c>
      <c r="T606" t="b">
        <f>IF(ISBLANK(CleanedSalesData[[#This Row],[Order Date]]), TRUE, FALSE)</f>
        <v>0</v>
      </c>
      <c r="U606" t="b">
        <f>IF(ISBLANK(CleanedSalesData[[#This Row],[Revenue]]), TRUE, FALSE)</f>
        <v>0</v>
      </c>
      <c r="V606" t="b">
        <f>IF(OR(CleanedSalesData[[#This Row],[Order Status]]="Cancelled", CleanedSalesData[[#This Row],[Order Status]]="Returned"), TRUE, FALSE)</f>
        <v>0</v>
      </c>
      <c r="W606" t="str" cm="1">
        <f t="array" ref="W60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7" spans="1:23" x14ac:dyDescent="0.35">
      <c r="A607" t="s">
        <v>758</v>
      </c>
      <c r="B607" s="7">
        <v>46128</v>
      </c>
      <c r="C607" t="s">
        <v>949</v>
      </c>
      <c r="D607">
        <v>4</v>
      </c>
      <c r="E607" t="s">
        <v>111</v>
      </c>
      <c r="F607" t="s">
        <v>70</v>
      </c>
      <c r="G607" t="s">
        <v>41</v>
      </c>
      <c r="H607" t="s">
        <v>33</v>
      </c>
      <c r="I607" t="s">
        <v>42</v>
      </c>
      <c r="J607" t="s">
        <v>43</v>
      </c>
      <c r="K607" t="s">
        <v>44</v>
      </c>
      <c r="L607">
        <v>4</v>
      </c>
      <c r="M607" s="10">
        <v>0</v>
      </c>
      <c r="N607" s="11">
        <v>1100000</v>
      </c>
      <c r="O607" s="11">
        <v>620000</v>
      </c>
      <c r="P607" s="11">
        <v>480000</v>
      </c>
      <c r="Q607" t="s">
        <v>52</v>
      </c>
      <c r="R607" t="b">
        <f>COUNTIF($A$6     : CleanedSalesData[[#This Row],[Order ID]], CleanedSalesData[[#This Row],[Order ID]])&gt;1</f>
        <v>0</v>
      </c>
      <c r="S607" t="b">
        <f>IF(ISBLANK(CleanedSalesData[[#This Row],[Quantity]]), TRUE, FALSE)</f>
        <v>0</v>
      </c>
      <c r="T607" t="b">
        <f>IF(ISBLANK(CleanedSalesData[[#This Row],[Order Date]]), TRUE, FALSE)</f>
        <v>0</v>
      </c>
      <c r="U607" t="b">
        <f>IF(ISBLANK(CleanedSalesData[[#This Row],[Revenue]]), TRUE, FALSE)</f>
        <v>0</v>
      </c>
      <c r="V607" t="b">
        <f>IF(OR(CleanedSalesData[[#This Row],[Order Status]]="Cancelled", CleanedSalesData[[#This Row],[Order Status]]="Returned"), TRUE, FALSE)</f>
        <v>0</v>
      </c>
      <c r="W607" t="str" cm="1">
        <f t="array" ref="W60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08" spans="1:23" x14ac:dyDescent="0.35">
      <c r="A608" t="s">
        <v>759</v>
      </c>
      <c r="B608" s="7">
        <v>46092</v>
      </c>
      <c r="C608" t="s">
        <v>947</v>
      </c>
      <c r="D608">
        <v>3</v>
      </c>
      <c r="E608" t="s">
        <v>95</v>
      </c>
      <c r="F608" t="s">
        <v>31</v>
      </c>
      <c r="G608" t="s">
        <v>41</v>
      </c>
      <c r="H608" t="s">
        <v>33</v>
      </c>
      <c r="I608" t="s">
        <v>49</v>
      </c>
      <c r="J608" t="s">
        <v>50</v>
      </c>
      <c r="K608" t="s">
        <v>51</v>
      </c>
      <c r="L608">
        <v>8</v>
      </c>
      <c r="M608" s="10">
        <v>0.03</v>
      </c>
      <c r="O608" s="11">
        <v>1160000</v>
      </c>
      <c r="P608" s="11">
        <v>741200</v>
      </c>
      <c r="Q608" t="s">
        <v>84</v>
      </c>
      <c r="R608" t="b">
        <f>COUNTIF($A$6     : CleanedSalesData[[#This Row],[Order ID]], CleanedSalesData[[#This Row],[Order ID]])&gt;1</f>
        <v>0</v>
      </c>
      <c r="S608" t="b">
        <f>IF(ISBLANK(CleanedSalesData[[#This Row],[Quantity]]), TRUE, FALSE)</f>
        <v>0</v>
      </c>
      <c r="T608" t="b">
        <f>IF(ISBLANK(CleanedSalesData[[#This Row],[Order Date]]), TRUE, FALSE)</f>
        <v>0</v>
      </c>
      <c r="U608" t="b">
        <f>IF(ISBLANK(CleanedSalesData[[#This Row],[Revenue]]), TRUE, FALSE)</f>
        <v>1</v>
      </c>
      <c r="V608" t="b">
        <f>IF(OR(CleanedSalesData[[#This Row],[Order Status]]="Cancelled", CleanedSalesData[[#This Row],[Order Status]]="Returned"), TRUE, FALSE)</f>
        <v>0</v>
      </c>
      <c r="W608" t="str" cm="1">
        <f t="array" ref="W60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609" spans="1:23" x14ac:dyDescent="0.35">
      <c r="A609" t="s">
        <v>760</v>
      </c>
      <c r="B609" s="7">
        <v>46049</v>
      </c>
      <c r="C609" t="s">
        <v>948</v>
      </c>
      <c r="D609">
        <v>1</v>
      </c>
      <c r="E609" t="s">
        <v>39</v>
      </c>
      <c r="F609" t="s">
        <v>59</v>
      </c>
      <c r="G609" t="s">
        <v>41</v>
      </c>
      <c r="H609" t="s">
        <v>33</v>
      </c>
      <c r="I609" t="s">
        <v>55</v>
      </c>
      <c r="J609" t="s">
        <v>56</v>
      </c>
      <c r="K609" t="s">
        <v>36</v>
      </c>
      <c r="L609">
        <v>5</v>
      </c>
      <c r="M609" s="10">
        <v>0.05</v>
      </c>
      <c r="N609" s="11">
        <v>8787500</v>
      </c>
      <c r="O609" s="11">
        <v>6600000</v>
      </c>
      <c r="P609" s="11">
        <v>2187500</v>
      </c>
      <c r="Q609" t="s">
        <v>37</v>
      </c>
      <c r="R609" t="b">
        <f>COUNTIF($A$6     : CleanedSalesData[[#This Row],[Order ID]], CleanedSalesData[[#This Row],[Order ID]])&gt;1</f>
        <v>0</v>
      </c>
      <c r="S609" t="b">
        <f>IF(ISBLANK(CleanedSalesData[[#This Row],[Quantity]]), TRUE, FALSE)</f>
        <v>0</v>
      </c>
      <c r="T609" t="b">
        <f>IF(ISBLANK(CleanedSalesData[[#This Row],[Order Date]]), TRUE, FALSE)</f>
        <v>0</v>
      </c>
      <c r="U609" t="b">
        <f>IF(ISBLANK(CleanedSalesData[[#This Row],[Revenue]]), TRUE, FALSE)</f>
        <v>0</v>
      </c>
      <c r="V609" t="b">
        <f>IF(OR(CleanedSalesData[[#This Row],[Order Status]]="Cancelled", CleanedSalesData[[#This Row],[Order Status]]="Returned"), TRUE, FALSE)</f>
        <v>0</v>
      </c>
      <c r="W609" t="str" cm="1">
        <f t="array" ref="W60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0" spans="1:23" x14ac:dyDescent="0.35">
      <c r="A610" t="s">
        <v>761</v>
      </c>
      <c r="B610" s="7">
        <v>46061</v>
      </c>
      <c r="C610" t="s">
        <v>944</v>
      </c>
      <c r="D610">
        <v>2</v>
      </c>
      <c r="E610" t="s">
        <v>111</v>
      </c>
      <c r="F610" t="s">
        <v>59</v>
      </c>
      <c r="G610" t="s">
        <v>81</v>
      </c>
      <c r="H610" t="s">
        <v>33</v>
      </c>
      <c r="I610" t="s">
        <v>60</v>
      </c>
      <c r="J610" t="s">
        <v>61</v>
      </c>
      <c r="K610" t="s">
        <v>62</v>
      </c>
      <c r="L610">
        <v>1</v>
      </c>
      <c r="M610" s="10">
        <v>0.08</v>
      </c>
      <c r="N610" s="11">
        <v>59800</v>
      </c>
      <c r="O610" s="11">
        <v>31000</v>
      </c>
      <c r="P610" s="11">
        <v>28800</v>
      </c>
      <c r="Q610" t="s">
        <v>63</v>
      </c>
      <c r="R610" t="b">
        <f>COUNTIF($A$6     : CleanedSalesData[[#This Row],[Order ID]], CleanedSalesData[[#This Row],[Order ID]])&gt;1</f>
        <v>0</v>
      </c>
      <c r="S610" t="b">
        <f>IF(ISBLANK(CleanedSalesData[[#This Row],[Quantity]]), TRUE, FALSE)</f>
        <v>0</v>
      </c>
      <c r="T610" t="b">
        <f>IF(ISBLANK(CleanedSalesData[[#This Row],[Order Date]]), TRUE, FALSE)</f>
        <v>0</v>
      </c>
      <c r="U610" t="b">
        <f>IF(ISBLANK(CleanedSalesData[[#This Row],[Revenue]]), TRUE, FALSE)</f>
        <v>0</v>
      </c>
      <c r="V610" t="b">
        <f>IF(OR(CleanedSalesData[[#This Row],[Order Status]]="Cancelled", CleanedSalesData[[#This Row],[Order Status]]="Returned"), TRUE, FALSE)</f>
        <v>0</v>
      </c>
      <c r="W610" t="str" cm="1">
        <f t="array" ref="W61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1" spans="1:23" x14ac:dyDescent="0.35">
      <c r="A611" t="s">
        <v>762</v>
      </c>
      <c r="B611" s="7">
        <v>46141</v>
      </c>
      <c r="C611" t="s">
        <v>949</v>
      </c>
      <c r="D611">
        <v>4</v>
      </c>
      <c r="E611" t="s">
        <v>76</v>
      </c>
      <c r="F611" t="s">
        <v>31</v>
      </c>
      <c r="G611" t="s">
        <v>41</v>
      </c>
      <c r="H611" t="s">
        <v>33</v>
      </c>
      <c r="I611" t="s">
        <v>66</v>
      </c>
      <c r="J611" t="s">
        <v>67</v>
      </c>
      <c r="K611" t="s">
        <v>51</v>
      </c>
      <c r="L611">
        <v>1</v>
      </c>
      <c r="M611" s="10">
        <v>0.05</v>
      </c>
      <c r="N611" s="11">
        <v>294500</v>
      </c>
      <c r="O611" s="11">
        <v>190000</v>
      </c>
      <c r="P611" s="11">
        <v>104500</v>
      </c>
      <c r="Q611" t="s">
        <v>93</v>
      </c>
      <c r="R611" t="b">
        <f>COUNTIF($A$6     : CleanedSalesData[[#This Row],[Order ID]], CleanedSalesData[[#This Row],[Order ID]])&gt;1</f>
        <v>0</v>
      </c>
      <c r="S611" t="b">
        <f>IF(ISBLANK(CleanedSalesData[[#This Row],[Quantity]]), TRUE, FALSE)</f>
        <v>0</v>
      </c>
      <c r="T611" t="b">
        <f>IF(ISBLANK(CleanedSalesData[[#This Row],[Order Date]]), TRUE, FALSE)</f>
        <v>0</v>
      </c>
      <c r="U611" t="b">
        <f>IF(ISBLANK(CleanedSalesData[[#This Row],[Revenue]]), TRUE, FALSE)</f>
        <v>0</v>
      </c>
      <c r="V611" t="b">
        <f>IF(OR(CleanedSalesData[[#This Row],[Order Status]]="Cancelled", CleanedSalesData[[#This Row],[Order Status]]="Returned"), TRUE, FALSE)</f>
        <v>0</v>
      </c>
      <c r="W611" t="str" cm="1">
        <f t="array" ref="W61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2" spans="1:23" x14ac:dyDescent="0.35">
      <c r="A612" t="s">
        <v>763</v>
      </c>
      <c r="B612" s="7">
        <v>46041</v>
      </c>
      <c r="C612" t="s">
        <v>948</v>
      </c>
      <c r="D612">
        <v>1</v>
      </c>
      <c r="E612" t="s">
        <v>95</v>
      </c>
      <c r="F612" t="s">
        <v>70</v>
      </c>
      <c r="G612" t="s">
        <v>48</v>
      </c>
      <c r="H612" t="s">
        <v>33</v>
      </c>
      <c r="I612" t="s">
        <v>71</v>
      </c>
      <c r="J612" t="s">
        <v>72</v>
      </c>
      <c r="K612" t="s">
        <v>73</v>
      </c>
      <c r="L612">
        <v>8</v>
      </c>
      <c r="M612" s="10">
        <v>0.03</v>
      </c>
      <c r="N612" s="11">
        <v>970000</v>
      </c>
      <c r="O612" s="11">
        <v>560000</v>
      </c>
      <c r="P612" s="11">
        <v>410000</v>
      </c>
      <c r="Q612" t="s">
        <v>37</v>
      </c>
      <c r="R612" t="b">
        <f>COUNTIF($A$6     : CleanedSalesData[[#This Row],[Order ID]], CleanedSalesData[[#This Row],[Order ID]])&gt;1</f>
        <v>0</v>
      </c>
      <c r="S612" t="b">
        <f>IF(ISBLANK(CleanedSalesData[[#This Row],[Quantity]]), TRUE, FALSE)</f>
        <v>0</v>
      </c>
      <c r="T612" t="b">
        <f>IF(ISBLANK(CleanedSalesData[[#This Row],[Order Date]]), TRUE, FALSE)</f>
        <v>0</v>
      </c>
      <c r="U612" t="b">
        <f>IF(ISBLANK(CleanedSalesData[[#This Row],[Revenue]]), TRUE, FALSE)</f>
        <v>0</v>
      </c>
      <c r="V612" t="b">
        <f>IF(OR(CleanedSalesData[[#This Row],[Order Status]]="Cancelled", CleanedSalesData[[#This Row],[Order Status]]="Returned"), TRUE, FALSE)</f>
        <v>0</v>
      </c>
      <c r="W612" t="str" cm="1">
        <f t="array" ref="W61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3" spans="1:23" x14ac:dyDescent="0.35">
      <c r="A613" t="s">
        <v>765</v>
      </c>
      <c r="B613" s="7">
        <v>46086</v>
      </c>
      <c r="C613" t="s">
        <v>947</v>
      </c>
      <c r="D613">
        <v>3</v>
      </c>
      <c r="E613" t="s">
        <v>111</v>
      </c>
      <c r="F613" t="s">
        <v>40</v>
      </c>
      <c r="G613" t="s">
        <v>32</v>
      </c>
      <c r="H613" t="s">
        <v>33</v>
      </c>
      <c r="I613" t="s">
        <v>78</v>
      </c>
      <c r="J613" t="s">
        <v>79</v>
      </c>
      <c r="K613" t="s">
        <v>62</v>
      </c>
      <c r="L613">
        <v>7</v>
      </c>
      <c r="M613" s="10">
        <v>0.08</v>
      </c>
      <c r="N613" s="11">
        <v>547400</v>
      </c>
      <c r="O613" s="11">
        <v>301000</v>
      </c>
      <c r="P613" s="11">
        <v>246400</v>
      </c>
      <c r="Q613" t="s">
        <v>37</v>
      </c>
      <c r="R613" t="b">
        <f>COUNTIF($A$6     : CleanedSalesData[[#This Row],[Order ID]], CleanedSalesData[[#This Row],[Order ID]])&gt;1</f>
        <v>0</v>
      </c>
      <c r="S613" t="b">
        <f>IF(ISBLANK(CleanedSalesData[[#This Row],[Quantity]]), TRUE, FALSE)</f>
        <v>0</v>
      </c>
      <c r="T613" t="b">
        <f>IF(ISBLANK(CleanedSalesData[[#This Row],[Order Date]]), TRUE, FALSE)</f>
        <v>0</v>
      </c>
      <c r="U613" t="b">
        <f>IF(ISBLANK(CleanedSalesData[[#This Row],[Revenue]]), TRUE, FALSE)</f>
        <v>0</v>
      </c>
      <c r="V613" t="b">
        <f>IF(OR(CleanedSalesData[[#This Row],[Order Status]]="Cancelled", CleanedSalesData[[#This Row],[Order Status]]="Returned"), TRUE, FALSE)</f>
        <v>0</v>
      </c>
      <c r="W613" t="str" cm="1">
        <f t="array" ref="W61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4" spans="1:23" x14ac:dyDescent="0.35">
      <c r="A614" t="s">
        <v>766</v>
      </c>
      <c r="B614" s="7">
        <v>46156</v>
      </c>
      <c r="C614" t="s">
        <v>946</v>
      </c>
      <c r="D614">
        <v>5</v>
      </c>
      <c r="E614" t="s">
        <v>30</v>
      </c>
      <c r="F614" t="s">
        <v>70</v>
      </c>
      <c r="G614" t="s">
        <v>81</v>
      </c>
      <c r="H614" t="s">
        <v>33</v>
      </c>
      <c r="I614" t="s">
        <v>82</v>
      </c>
      <c r="J614" t="s">
        <v>83</v>
      </c>
      <c r="K614" t="s">
        <v>44</v>
      </c>
      <c r="L614">
        <v>4</v>
      </c>
      <c r="M614" s="10">
        <v>0.08</v>
      </c>
      <c r="N614" s="11">
        <v>5336000</v>
      </c>
      <c r="O614" s="11">
        <v>3920000</v>
      </c>
      <c r="P614" s="11">
        <v>1416000</v>
      </c>
      <c r="Q614" t="s">
        <v>74</v>
      </c>
      <c r="R614" t="b">
        <f>COUNTIF($A$6     : CleanedSalesData[[#This Row],[Order ID]], CleanedSalesData[[#This Row],[Order ID]])&gt;1</f>
        <v>0</v>
      </c>
      <c r="S614" t="b">
        <f>IF(ISBLANK(CleanedSalesData[[#This Row],[Quantity]]), TRUE, FALSE)</f>
        <v>0</v>
      </c>
      <c r="T614" t="b">
        <f>IF(ISBLANK(CleanedSalesData[[#This Row],[Order Date]]), TRUE, FALSE)</f>
        <v>0</v>
      </c>
      <c r="U614" t="b">
        <f>IF(ISBLANK(CleanedSalesData[[#This Row],[Revenue]]), TRUE, FALSE)</f>
        <v>0</v>
      </c>
      <c r="V614" t="b">
        <f>IF(OR(CleanedSalesData[[#This Row],[Order Status]]="Cancelled", CleanedSalesData[[#This Row],[Order Status]]="Returned"), TRUE, FALSE)</f>
        <v>0</v>
      </c>
      <c r="W614" t="str" cm="1">
        <f t="array" ref="W61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5" spans="1:23" x14ac:dyDescent="0.35">
      <c r="A615" t="s">
        <v>767</v>
      </c>
      <c r="B615" s="7">
        <v>46163</v>
      </c>
      <c r="C615" t="s">
        <v>946</v>
      </c>
      <c r="D615">
        <v>5</v>
      </c>
      <c r="E615" t="s">
        <v>54</v>
      </c>
      <c r="F615" t="s">
        <v>70</v>
      </c>
      <c r="G615" t="s">
        <v>32</v>
      </c>
      <c r="H615" t="s">
        <v>33</v>
      </c>
      <c r="I615" t="s">
        <v>86</v>
      </c>
      <c r="J615" t="s">
        <v>87</v>
      </c>
      <c r="K615" t="s">
        <v>36</v>
      </c>
      <c r="L615">
        <v>2</v>
      </c>
      <c r="M615" s="10">
        <v>0.05</v>
      </c>
      <c r="N615" s="11">
        <v>665000</v>
      </c>
      <c r="O615" s="11">
        <v>420000</v>
      </c>
      <c r="P615" s="11">
        <v>245000</v>
      </c>
      <c r="Q615" t="s">
        <v>74</v>
      </c>
      <c r="R615" t="b">
        <f>COUNTIF($A$6     : CleanedSalesData[[#This Row],[Order ID]], CleanedSalesData[[#This Row],[Order ID]])&gt;1</f>
        <v>0</v>
      </c>
      <c r="S615" t="b">
        <f>IF(ISBLANK(CleanedSalesData[[#This Row],[Quantity]]), TRUE, FALSE)</f>
        <v>0</v>
      </c>
      <c r="T615" t="b">
        <f>IF(ISBLANK(CleanedSalesData[[#This Row],[Order Date]]), TRUE, FALSE)</f>
        <v>0</v>
      </c>
      <c r="U615" t="b">
        <f>IF(ISBLANK(CleanedSalesData[[#This Row],[Revenue]]), TRUE, FALSE)</f>
        <v>0</v>
      </c>
      <c r="V615" t="b">
        <f>IF(OR(CleanedSalesData[[#This Row],[Order Status]]="Cancelled", CleanedSalesData[[#This Row],[Order Status]]="Returned"), TRUE, FALSE)</f>
        <v>0</v>
      </c>
      <c r="W615" t="str" cm="1">
        <f t="array" ref="W61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6" spans="1:23" x14ac:dyDescent="0.35">
      <c r="A616" t="s">
        <v>768</v>
      </c>
      <c r="B616" s="7">
        <v>46193</v>
      </c>
      <c r="C616" t="s">
        <v>945</v>
      </c>
      <c r="D616">
        <v>6</v>
      </c>
      <c r="E616" t="s">
        <v>95</v>
      </c>
      <c r="F616" t="s">
        <v>59</v>
      </c>
      <c r="G616" t="s">
        <v>81</v>
      </c>
      <c r="H616" t="s">
        <v>33</v>
      </c>
      <c r="I616" t="s">
        <v>34</v>
      </c>
      <c r="J616" t="s">
        <v>35</v>
      </c>
      <c r="K616" t="s">
        <v>36</v>
      </c>
      <c r="L616">
        <v>4</v>
      </c>
      <c r="M616" s="10">
        <v>0</v>
      </c>
      <c r="N616" s="11">
        <v>1900000</v>
      </c>
      <c r="O616" s="11">
        <v>1140000</v>
      </c>
      <c r="P616" s="11">
        <v>760000</v>
      </c>
      <c r="Q616" t="s">
        <v>84</v>
      </c>
      <c r="R616" t="b">
        <f>COUNTIF($A$6     : CleanedSalesData[[#This Row],[Order ID]], CleanedSalesData[[#This Row],[Order ID]])&gt;1</f>
        <v>0</v>
      </c>
      <c r="S616" t="b">
        <f>IF(ISBLANK(CleanedSalesData[[#This Row],[Quantity]]), TRUE, FALSE)</f>
        <v>0</v>
      </c>
      <c r="T616" t="b">
        <f>IF(ISBLANK(CleanedSalesData[[#This Row],[Order Date]]), TRUE, FALSE)</f>
        <v>0</v>
      </c>
      <c r="U616" t="b">
        <f>IF(ISBLANK(CleanedSalesData[[#This Row],[Revenue]]), TRUE, FALSE)</f>
        <v>0</v>
      </c>
      <c r="V616" t="b">
        <f>IF(OR(CleanedSalesData[[#This Row],[Order Status]]="Cancelled", CleanedSalesData[[#This Row],[Order Status]]="Returned"), TRUE, FALSE)</f>
        <v>0</v>
      </c>
      <c r="W616" t="str" cm="1">
        <f t="array" ref="W61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7" spans="1:23" x14ac:dyDescent="0.35">
      <c r="A617" t="s">
        <v>770</v>
      </c>
      <c r="B617" s="7">
        <v>46093</v>
      </c>
      <c r="C617" t="s">
        <v>947</v>
      </c>
      <c r="D617">
        <v>3</v>
      </c>
      <c r="E617" t="s">
        <v>111</v>
      </c>
      <c r="F617" t="s">
        <v>40</v>
      </c>
      <c r="G617" t="s">
        <v>41</v>
      </c>
      <c r="H617" t="s">
        <v>90</v>
      </c>
      <c r="I617" t="s">
        <v>42</v>
      </c>
      <c r="J617" t="s">
        <v>43</v>
      </c>
      <c r="K617" t="s">
        <v>44</v>
      </c>
      <c r="L617">
        <v>2</v>
      </c>
      <c r="M617" s="10">
        <v>0.08</v>
      </c>
      <c r="N617" s="11">
        <v>506000</v>
      </c>
      <c r="O617" s="11">
        <v>310000</v>
      </c>
      <c r="P617" s="11">
        <v>196000</v>
      </c>
      <c r="Q617" t="s">
        <v>84</v>
      </c>
      <c r="R617" t="b">
        <f>COUNTIF($A$6     : CleanedSalesData[[#This Row],[Order ID]], CleanedSalesData[[#This Row],[Order ID]])&gt;1</f>
        <v>0</v>
      </c>
      <c r="S617" t="b">
        <f>IF(ISBLANK(CleanedSalesData[[#This Row],[Quantity]]), TRUE, FALSE)</f>
        <v>0</v>
      </c>
      <c r="T617" t="b">
        <f>IF(ISBLANK(CleanedSalesData[[#This Row],[Order Date]]), TRUE, FALSE)</f>
        <v>0</v>
      </c>
      <c r="U617" t="b">
        <f>IF(ISBLANK(CleanedSalesData[[#This Row],[Revenue]]), TRUE, FALSE)</f>
        <v>0</v>
      </c>
      <c r="V617" t="b">
        <f>IF(OR(CleanedSalesData[[#This Row],[Order Status]]="Cancelled", CleanedSalesData[[#This Row],[Order Status]]="Returned"), TRUE, FALSE)</f>
        <v>0</v>
      </c>
      <c r="W617" t="str" cm="1">
        <f t="array" ref="W61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8" spans="1:23" x14ac:dyDescent="0.35">
      <c r="A618" t="s">
        <v>771</v>
      </c>
      <c r="B618" s="7">
        <v>46118</v>
      </c>
      <c r="C618" t="s">
        <v>949</v>
      </c>
      <c r="D618">
        <v>4</v>
      </c>
      <c r="E618" t="s">
        <v>95</v>
      </c>
      <c r="F618" t="s">
        <v>40</v>
      </c>
      <c r="G618" t="s">
        <v>81</v>
      </c>
      <c r="H618" t="s">
        <v>33</v>
      </c>
      <c r="I618" t="s">
        <v>49</v>
      </c>
      <c r="J618" t="s">
        <v>50</v>
      </c>
      <c r="K618" t="s">
        <v>51</v>
      </c>
      <c r="L618">
        <v>2</v>
      </c>
      <c r="M618" s="10">
        <v>0.03</v>
      </c>
      <c r="N618" s="11">
        <v>475300</v>
      </c>
      <c r="O618" s="11">
        <v>290000</v>
      </c>
      <c r="P618" s="11">
        <v>185300</v>
      </c>
      <c r="Q618" t="s">
        <v>74</v>
      </c>
      <c r="R618" t="b">
        <f>COUNTIF($A$6     : CleanedSalesData[[#This Row],[Order ID]], CleanedSalesData[[#This Row],[Order ID]])&gt;1</f>
        <v>0</v>
      </c>
      <c r="S618" t="b">
        <f>IF(ISBLANK(CleanedSalesData[[#This Row],[Quantity]]), TRUE, FALSE)</f>
        <v>0</v>
      </c>
      <c r="T618" t="b">
        <f>IF(ISBLANK(CleanedSalesData[[#This Row],[Order Date]]), TRUE, FALSE)</f>
        <v>0</v>
      </c>
      <c r="U618" t="b">
        <f>IF(ISBLANK(CleanedSalesData[[#This Row],[Revenue]]), TRUE, FALSE)</f>
        <v>0</v>
      </c>
      <c r="V618" t="b">
        <f>IF(OR(CleanedSalesData[[#This Row],[Order Status]]="Cancelled", CleanedSalesData[[#This Row],[Order Status]]="Returned"), TRUE, FALSE)</f>
        <v>0</v>
      </c>
      <c r="W618" t="str" cm="1">
        <f t="array" ref="W61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19" spans="1:23" x14ac:dyDescent="0.35">
      <c r="A619" t="s">
        <v>772</v>
      </c>
      <c r="B619" s="7">
        <v>46114</v>
      </c>
      <c r="C619" t="s">
        <v>949</v>
      </c>
      <c r="D619">
        <v>4</v>
      </c>
      <c r="E619" t="s">
        <v>111</v>
      </c>
      <c r="F619" t="s">
        <v>40</v>
      </c>
      <c r="G619" t="s">
        <v>32</v>
      </c>
      <c r="H619" t="s">
        <v>33</v>
      </c>
      <c r="I619" t="s">
        <v>55</v>
      </c>
      <c r="J619" t="s">
        <v>56</v>
      </c>
      <c r="K619" t="s">
        <v>36</v>
      </c>
      <c r="L619">
        <v>3</v>
      </c>
      <c r="M619" s="10">
        <v>0.15</v>
      </c>
      <c r="N619" s="11">
        <v>4717500</v>
      </c>
      <c r="O619" s="11">
        <v>3960000</v>
      </c>
      <c r="P619" s="11">
        <v>757500</v>
      </c>
      <c r="Q619" t="s">
        <v>45</v>
      </c>
      <c r="R619" t="b">
        <f>COUNTIF($A$6     : CleanedSalesData[[#This Row],[Order ID]], CleanedSalesData[[#This Row],[Order ID]])&gt;1</f>
        <v>0</v>
      </c>
      <c r="S619" t="b">
        <f>IF(ISBLANK(CleanedSalesData[[#This Row],[Quantity]]), TRUE, FALSE)</f>
        <v>0</v>
      </c>
      <c r="T619" t="b">
        <f>IF(ISBLANK(CleanedSalesData[[#This Row],[Order Date]]), TRUE, FALSE)</f>
        <v>0</v>
      </c>
      <c r="U619" t="b">
        <f>IF(ISBLANK(CleanedSalesData[[#This Row],[Revenue]]), TRUE, FALSE)</f>
        <v>0</v>
      </c>
      <c r="V619" t="b">
        <f>IF(OR(CleanedSalesData[[#This Row],[Order Status]]="Cancelled", CleanedSalesData[[#This Row],[Order Status]]="Returned"), TRUE, FALSE)</f>
        <v>0</v>
      </c>
      <c r="W619" t="str" cm="1">
        <f t="array" ref="W61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0" spans="1:23" x14ac:dyDescent="0.35">
      <c r="A620" t="s">
        <v>773</v>
      </c>
      <c r="B620" s="7">
        <v>46104</v>
      </c>
      <c r="C620" t="s">
        <v>947</v>
      </c>
      <c r="D620">
        <v>3</v>
      </c>
      <c r="E620" t="s">
        <v>54</v>
      </c>
      <c r="F620" t="s">
        <v>40</v>
      </c>
      <c r="G620" t="s">
        <v>48</v>
      </c>
      <c r="H620" t="s">
        <v>33</v>
      </c>
      <c r="I620" t="s">
        <v>60</v>
      </c>
      <c r="J620" t="s">
        <v>61</v>
      </c>
      <c r="K620" t="s">
        <v>62</v>
      </c>
      <c r="L620">
        <v>6</v>
      </c>
      <c r="M620" s="10">
        <v>0.08</v>
      </c>
      <c r="N620" s="11">
        <v>358800</v>
      </c>
      <c r="O620" s="11">
        <v>186000</v>
      </c>
      <c r="P620" s="11">
        <v>172800</v>
      </c>
      <c r="Q620" t="s">
        <v>84</v>
      </c>
      <c r="R620" t="b">
        <f>COUNTIF($A$6     : CleanedSalesData[[#This Row],[Order ID]], CleanedSalesData[[#This Row],[Order ID]])&gt;1</f>
        <v>0</v>
      </c>
      <c r="S620" t="b">
        <f>IF(ISBLANK(CleanedSalesData[[#This Row],[Quantity]]), TRUE, FALSE)</f>
        <v>0</v>
      </c>
      <c r="T620" t="b">
        <f>IF(ISBLANK(CleanedSalesData[[#This Row],[Order Date]]), TRUE, FALSE)</f>
        <v>0</v>
      </c>
      <c r="U620" t="b">
        <f>IF(ISBLANK(CleanedSalesData[[#This Row],[Revenue]]), TRUE, FALSE)</f>
        <v>0</v>
      </c>
      <c r="V620" t="b">
        <f>IF(OR(CleanedSalesData[[#This Row],[Order Status]]="Cancelled", CleanedSalesData[[#This Row],[Order Status]]="Returned"), TRUE, FALSE)</f>
        <v>0</v>
      </c>
      <c r="W620" t="str" cm="1">
        <f t="array" ref="W62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1" spans="1:23" x14ac:dyDescent="0.35">
      <c r="A621" t="s">
        <v>775</v>
      </c>
      <c r="B621" s="7">
        <v>46087</v>
      </c>
      <c r="C621" t="s">
        <v>947</v>
      </c>
      <c r="D621">
        <v>3</v>
      </c>
      <c r="E621" t="s">
        <v>111</v>
      </c>
      <c r="F621" t="s">
        <v>47</v>
      </c>
      <c r="G621" t="s">
        <v>81</v>
      </c>
      <c r="H621" t="s">
        <v>33</v>
      </c>
      <c r="I621" t="s">
        <v>66</v>
      </c>
      <c r="J621" t="s">
        <v>67</v>
      </c>
      <c r="K621" t="s">
        <v>51</v>
      </c>
      <c r="L621">
        <v>1</v>
      </c>
      <c r="M621" s="10">
        <v>0.08</v>
      </c>
      <c r="N621" s="11">
        <v>285200</v>
      </c>
      <c r="O621" s="11">
        <v>190000</v>
      </c>
      <c r="P621" s="11">
        <v>95200</v>
      </c>
      <c r="Q621" t="s">
        <v>45</v>
      </c>
      <c r="R621" t="b">
        <f>COUNTIF($A$6     : CleanedSalesData[[#This Row],[Order ID]], CleanedSalesData[[#This Row],[Order ID]])&gt;1</f>
        <v>0</v>
      </c>
      <c r="S621" t="b">
        <f>IF(ISBLANK(CleanedSalesData[[#This Row],[Quantity]]), TRUE, FALSE)</f>
        <v>0</v>
      </c>
      <c r="T621" t="b">
        <f>IF(ISBLANK(CleanedSalesData[[#This Row],[Order Date]]), TRUE, FALSE)</f>
        <v>0</v>
      </c>
      <c r="U621" t="b">
        <f>IF(ISBLANK(CleanedSalesData[[#This Row],[Revenue]]), TRUE, FALSE)</f>
        <v>0</v>
      </c>
      <c r="V621" t="b">
        <f>IF(OR(CleanedSalesData[[#This Row],[Order Status]]="Cancelled", CleanedSalesData[[#This Row],[Order Status]]="Returned"), TRUE, FALSE)</f>
        <v>0</v>
      </c>
      <c r="W621" t="str" cm="1">
        <f t="array" ref="W62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2" spans="1:23" x14ac:dyDescent="0.35">
      <c r="A622" t="s">
        <v>776</v>
      </c>
      <c r="B622" s="7">
        <v>46168</v>
      </c>
      <c r="C622" t="s">
        <v>946</v>
      </c>
      <c r="D622">
        <v>5</v>
      </c>
      <c r="E622" t="s">
        <v>30</v>
      </c>
      <c r="F622" t="s">
        <v>59</v>
      </c>
      <c r="G622" t="s">
        <v>81</v>
      </c>
      <c r="H622" t="s">
        <v>33</v>
      </c>
      <c r="I622" t="s">
        <v>71</v>
      </c>
      <c r="J622" t="s">
        <v>72</v>
      </c>
      <c r="K622" t="s">
        <v>73</v>
      </c>
      <c r="L622">
        <v>3</v>
      </c>
      <c r="M622" s="10">
        <v>0.1</v>
      </c>
      <c r="N622" s="11">
        <v>337500</v>
      </c>
      <c r="O622" s="11">
        <v>210000</v>
      </c>
      <c r="P622" s="11">
        <v>127500</v>
      </c>
      <c r="Q622" t="s">
        <v>37</v>
      </c>
      <c r="R622" t="b">
        <f>COUNTIF($A$6     : CleanedSalesData[[#This Row],[Order ID]], CleanedSalesData[[#This Row],[Order ID]])&gt;1</f>
        <v>0</v>
      </c>
      <c r="S622" t="b">
        <f>IF(ISBLANK(CleanedSalesData[[#This Row],[Quantity]]), TRUE, FALSE)</f>
        <v>0</v>
      </c>
      <c r="T622" t="b">
        <f>IF(ISBLANK(CleanedSalesData[[#This Row],[Order Date]]), TRUE, FALSE)</f>
        <v>0</v>
      </c>
      <c r="U622" t="b">
        <f>IF(ISBLANK(CleanedSalesData[[#This Row],[Revenue]]), TRUE, FALSE)</f>
        <v>0</v>
      </c>
      <c r="V622" t="b">
        <f>IF(OR(CleanedSalesData[[#This Row],[Order Status]]="Cancelled", CleanedSalesData[[#This Row],[Order Status]]="Returned"), TRUE, FALSE)</f>
        <v>0</v>
      </c>
      <c r="W622" t="str" cm="1">
        <f t="array" ref="W62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3" spans="1:23" x14ac:dyDescent="0.35">
      <c r="A623" t="s">
        <v>777</v>
      </c>
      <c r="B623" s="7">
        <v>46158</v>
      </c>
      <c r="C623" t="s">
        <v>946</v>
      </c>
      <c r="D623">
        <v>5</v>
      </c>
      <c r="E623" t="s">
        <v>111</v>
      </c>
      <c r="F623" t="s">
        <v>70</v>
      </c>
      <c r="G623" t="s">
        <v>81</v>
      </c>
      <c r="H623" t="s">
        <v>33</v>
      </c>
      <c r="I623" t="s">
        <v>78</v>
      </c>
      <c r="J623" t="s">
        <v>79</v>
      </c>
      <c r="K623" t="s">
        <v>62</v>
      </c>
      <c r="L623">
        <v>3</v>
      </c>
      <c r="M623" s="10">
        <v>0.08</v>
      </c>
      <c r="N623" s="11">
        <v>234600</v>
      </c>
      <c r="O623" s="11">
        <v>129000</v>
      </c>
      <c r="P623" s="11">
        <v>105600</v>
      </c>
      <c r="Q623" t="s">
        <v>74</v>
      </c>
      <c r="R623" t="b">
        <f>COUNTIF($A$6     : CleanedSalesData[[#This Row],[Order ID]], CleanedSalesData[[#This Row],[Order ID]])&gt;1</f>
        <v>0</v>
      </c>
      <c r="S623" t="b">
        <f>IF(ISBLANK(CleanedSalesData[[#This Row],[Quantity]]), TRUE, FALSE)</f>
        <v>0</v>
      </c>
      <c r="T623" t="b">
        <f>IF(ISBLANK(CleanedSalesData[[#This Row],[Order Date]]), TRUE, FALSE)</f>
        <v>0</v>
      </c>
      <c r="U623" t="b">
        <f>IF(ISBLANK(CleanedSalesData[[#This Row],[Revenue]]), TRUE, FALSE)</f>
        <v>0</v>
      </c>
      <c r="V623" t="b">
        <f>IF(OR(CleanedSalesData[[#This Row],[Order Status]]="Cancelled", CleanedSalesData[[#This Row],[Order Status]]="Returned"), TRUE, FALSE)</f>
        <v>0</v>
      </c>
      <c r="W623" t="str" cm="1">
        <f t="array" ref="W62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4" spans="1:23" x14ac:dyDescent="0.35">
      <c r="A624" t="s">
        <v>778</v>
      </c>
      <c r="B624" s="7">
        <v>46186</v>
      </c>
      <c r="C624" t="s">
        <v>945</v>
      </c>
      <c r="D624">
        <v>6</v>
      </c>
      <c r="E624" t="s">
        <v>39</v>
      </c>
      <c r="F624" t="s">
        <v>40</v>
      </c>
      <c r="G624" t="s">
        <v>81</v>
      </c>
      <c r="H624" t="s">
        <v>33</v>
      </c>
      <c r="I624" t="s">
        <v>82</v>
      </c>
      <c r="J624" t="s">
        <v>83</v>
      </c>
      <c r="K624" t="s">
        <v>44</v>
      </c>
      <c r="L624">
        <v>7</v>
      </c>
      <c r="M624" s="10">
        <v>0.15</v>
      </c>
      <c r="N624" s="11">
        <v>8627500</v>
      </c>
      <c r="O624" s="11">
        <v>6860000</v>
      </c>
      <c r="P624" s="11">
        <v>1767500</v>
      </c>
      <c r="Q624" t="s">
        <v>63</v>
      </c>
      <c r="R624" t="b">
        <f>COUNTIF($A$6     : CleanedSalesData[[#This Row],[Order ID]], CleanedSalesData[[#This Row],[Order ID]])&gt;1</f>
        <v>0</v>
      </c>
      <c r="S624" t="b">
        <f>IF(ISBLANK(CleanedSalesData[[#This Row],[Quantity]]), TRUE, FALSE)</f>
        <v>0</v>
      </c>
      <c r="T624" t="b">
        <f>IF(ISBLANK(CleanedSalesData[[#This Row],[Order Date]]), TRUE, FALSE)</f>
        <v>0</v>
      </c>
      <c r="U624" t="b">
        <f>IF(ISBLANK(CleanedSalesData[[#This Row],[Revenue]]), TRUE, FALSE)</f>
        <v>0</v>
      </c>
      <c r="V624" t="b">
        <f>IF(OR(CleanedSalesData[[#This Row],[Order Status]]="Cancelled", CleanedSalesData[[#This Row],[Order Status]]="Returned"), TRUE, FALSE)</f>
        <v>0</v>
      </c>
      <c r="W624" t="str" cm="1">
        <f t="array" ref="W62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5" spans="1:23" x14ac:dyDescent="0.35">
      <c r="A625" t="s">
        <v>779</v>
      </c>
      <c r="B625" s="7">
        <v>46039</v>
      </c>
      <c r="C625" t="s">
        <v>948</v>
      </c>
      <c r="D625">
        <v>1</v>
      </c>
      <c r="E625" t="s">
        <v>76</v>
      </c>
      <c r="F625" t="s">
        <v>59</v>
      </c>
      <c r="G625" t="s">
        <v>32</v>
      </c>
      <c r="H625" t="s">
        <v>33</v>
      </c>
      <c r="I625" t="s">
        <v>86</v>
      </c>
      <c r="J625" t="s">
        <v>87</v>
      </c>
      <c r="K625" t="s">
        <v>36</v>
      </c>
      <c r="L625">
        <v>7</v>
      </c>
      <c r="M625" s="10">
        <v>0.03</v>
      </c>
      <c r="N625" s="11">
        <v>2376500</v>
      </c>
      <c r="O625" s="11">
        <v>1470000</v>
      </c>
      <c r="P625" s="11">
        <v>906500</v>
      </c>
      <c r="Q625" t="s">
        <v>63</v>
      </c>
      <c r="R625" t="b">
        <f>COUNTIF($A$6     : CleanedSalesData[[#This Row],[Order ID]], CleanedSalesData[[#This Row],[Order ID]])&gt;1</f>
        <v>0</v>
      </c>
      <c r="S625" t="b">
        <f>IF(ISBLANK(CleanedSalesData[[#This Row],[Quantity]]), TRUE, FALSE)</f>
        <v>0</v>
      </c>
      <c r="T625" t="b">
        <f>IF(ISBLANK(CleanedSalesData[[#This Row],[Order Date]]), TRUE, FALSE)</f>
        <v>0</v>
      </c>
      <c r="U625" t="b">
        <f>IF(ISBLANK(CleanedSalesData[[#This Row],[Revenue]]), TRUE, FALSE)</f>
        <v>0</v>
      </c>
      <c r="V625" t="b">
        <f>IF(OR(CleanedSalesData[[#This Row],[Order Status]]="Cancelled", CleanedSalesData[[#This Row],[Order Status]]="Returned"), TRUE, FALSE)</f>
        <v>0</v>
      </c>
      <c r="W625" t="str" cm="1">
        <f t="array" ref="W62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6" spans="1:23" x14ac:dyDescent="0.35">
      <c r="A626" t="s">
        <v>780</v>
      </c>
      <c r="B626" s="7">
        <v>46127</v>
      </c>
      <c r="C626" t="s">
        <v>949</v>
      </c>
      <c r="D626">
        <v>4</v>
      </c>
      <c r="E626" t="s">
        <v>30</v>
      </c>
      <c r="F626" t="s">
        <v>40</v>
      </c>
      <c r="G626" t="s">
        <v>41</v>
      </c>
      <c r="H626" t="s">
        <v>33</v>
      </c>
      <c r="I626" t="s">
        <v>34</v>
      </c>
      <c r="J626" t="s">
        <v>35</v>
      </c>
      <c r="K626" t="s">
        <v>36</v>
      </c>
      <c r="L626">
        <v>6</v>
      </c>
      <c r="M626" s="10">
        <v>0</v>
      </c>
      <c r="N626" s="11">
        <v>2850000</v>
      </c>
      <c r="O626" s="11">
        <v>1710000</v>
      </c>
      <c r="P626" s="11">
        <v>1140000</v>
      </c>
      <c r="Q626" t="s">
        <v>84</v>
      </c>
      <c r="R626" t="b">
        <f>COUNTIF($A$6     : CleanedSalesData[[#This Row],[Order ID]], CleanedSalesData[[#This Row],[Order ID]])&gt;1</f>
        <v>0</v>
      </c>
      <c r="S626" t="b">
        <f>IF(ISBLANK(CleanedSalesData[[#This Row],[Quantity]]), TRUE, FALSE)</f>
        <v>0</v>
      </c>
      <c r="T626" t="b">
        <f>IF(ISBLANK(CleanedSalesData[[#This Row],[Order Date]]), TRUE, FALSE)</f>
        <v>0</v>
      </c>
      <c r="U626" t="b">
        <f>IF(ISBLANK(CleanedSalesData[[#This Row],[Revenue]]), TRUE, FALSE)</f>
        <v>0</v>
      </c>
      <c r="V626" t="b">
        <f>IF(OR(CleanedSalesData[[#This Row],[Order Status]]="Cancelled", CleanedSalesData[[#This Row],[Order Status]]="Returned"), TRUE, FALSE)</f>
        <v>0</v>
      </c>
      <c r="W626" t="str" cm="1">
        <f t="array" ref="W62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7" spans="1:23" x14ac:dyDescent="0.35">
      <c r="A627" t="s">
        <v>781</v>
      </c>
      <c r="B627" s="7">
        <v>46031</v>
      </c>
      <c r="C627" t="s">
        <v>948</v>
      </c>
      <c r="D627">
        <v>1</v>
      </c>
      <c r="E627" t="s">
        <v>65</v>
      </c>
      <c r="F627" t="s">
        <v>40</v>
      </c>
      <c r="G627" t="s">
        <v>41</v>
      </c>
      <c r="H627" t="s">
        <v>33</v>
      </c>
      <c r="I627" t="s">
        <v>42</v>
      </c>
      <c r="J627" t="s">
        <v>43</v>
      </c>
      <c r="K627" t="s">
        <v>44</v>
      </c>
      <c r="L627">
        <v>4</v>
      </c>
      <c r="M627" s="10">
        <v>0</v>
      </c>
      <c r="N627" s="11">
        <v>1100000</v>
      </c>
      <c r="O627" s="11">
        <v>620000</v>
      </c>
      <c r="P627" s="11">
        <v>480000</v>
      </c>
      <c r="Q627" t="s">
        <v>52</v>
      </c>
      <c r="R627" t="b">
        <f>COUNTIF($A$6     : CleanedSalesData[[#This Row],[Order ID]], CleanedSalesData[[#This Row],[Order ID]])&gt;1</f>
        <v>0</v>
      </c>
      <c r="S627" t="b">
        <f>IF(ISBLANK(CleanedSalesData[[#This Row],[Quantity]]), TRUE, FALSE)</f>
        <v>0</v>
      </c>
      <c r="T627" t="b">
        <f>IF(ISBLANK(CleanedSalesData[[#This Row],[Order Date]]), TRUE, FALSE)</f>
        <v>0</v>
      </c>
      <c r="U627" t="b">
        <f>IF(ISBLANK(CleanedSalesData[[#This Row],[Revenue]]), TRUE, FALSE)</f>
        <v>0</v>
      </c>
      <c r="V627" t="b">
        <f>IF(OR(CleanedSalesData[[#This Row],[Order Status]]="Cancelled", CleanedSalesData[[#This Row],[Order Status]]="Returned"), TRUE, FALSE)</f>
        <v>0</v>
      </c>
      <c r="W627" t="str" cm="1">
        <f t="array" ref="W62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28" spans="1:23" x14ac:dyDescent="0.35">
      <c r="A628" t="s">
        <v>782</v>
      </c>
      <c r="B628" s="7">
        <v>46157</v>
      </c>
      <c r="C628" t="s">
        <v>946</v>
      </c>
      <c r="D628">
        <v>5</v>
      </c>
      <c r="E628" t="s">
        <v>95</v>
      </c>
      <c r="F628" t="s">
        <v>47</v>
      </c>
      <c r="G628" t="s">
        <v>41</v>
      </c>
      <c r="H628" t="s">
        <v>33</v>
      </c>
      <c r="I628" t="s">
        <v>49</v>
      </c>
      <c r="J628" t="s">
        <v>50</v>
      </c>
      <c r="K628" t="s">
        <v>51</v>
      </c>
      <c r="M628" s="10">
        <v>0</v>
      </c>
      <c r="N628" s="11">
        <v>1225000</v>
      </c>
      <c r="O628" s="11">
        <v>725000</v>
      </c>
      <c r="P628" s="11">
        <v>500000</v>
      </c>
      <c r="Q628" t="s">
        <v>45</v>
      </c>
      <c r="R628" t="b">
        <f>COUNTIF($A$6     : CleanedSalesData[[#This Row],[Order ID]], CleanedSalesData[[#This Row],[Order ID]])&gt;1</f>
        <v>0</v>
      </c>
      <c r="S628" t="b">
        <f>IF(ISBLANK(CleanedSalesData[[#This Row],[Quantity]]), TRUE, FALSE)</f>
        <v>1</v>
      </c>
      <c r="T628" t="b">
        <f>IF(ISBLANK(CleanedSalesData[[#This Row],[Order Date]]), TRUE, FALSE)</f>
        <v>0</v>
      </c>
      <c r="U628" t="b">
        <f>IF(ISBLANK(CleanedSalesData[[#This Row],[Revenue]]), TRUE, FALSE)</f>
        <v>0</v>
      </c>
      <c r="V628" t="b">
        <f>IF(OR(CleanedSalesData[[#This Row],[Order Status]]="Cancelled", CleanedSalesData[[#This Row],[Order Status]]="Returned"), TRUE, FALSE)</f>
        <v>0</v>
      </c>
      <c r="W628" t="str" cm="1">
        <f t="array" ref="W62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Quantity</v>
      </c>
    </row>
    <row r="629" spans="1:23" x14ac:dyDescent="0.35">
      <c r="A629" t="s">
        <v>783</v>
      </c>
      <c r="B629" s="7">
        <v>46190</v>
      </c>
      <c r="C629" t="s">
        <v>945</v>
      </c>
      <c r="D629">
        <v>6</v>
      </c>
      <c r="E629" t="s">
        <v>65</v>
      </c>
      <c r="F629" t="s">
        <v>40</v>
      </c>
      <c r="G629" t="s">
        <v>81</v>
      </c>
      <c r="H629" t="s">
        <v>33</v>
      </c>
      <c r="I629" t="s">
        <v>55</v>
      </c>
      <c r="J629" t="s">
        <v>56</v>
      </c>
      <c r="K629" t="s">
        <v>36</v>
      </c>
      <c r="L629">
        <v>8</v>
      </c>
      <c r="M629" s="10">
        <v>0</v>
      </c>
      <c r="N629" s="11">
        <v>14800000</v>
      </c>
      <c r="O629" s="11">
        <v>10560000</v>
      </c>
      <c r="P629" s="11">
        <v>4240000</v>
      </c>
      <c r="Q629" t="s">
        <v>63</v>
      </c>
      <c r="R629" t="b">
        <f>COUNTIF($A$6     : CleanedSalesData[[#This Row],[Order ID]], CleanedSalesData[[#This Row],[Order ID]])&gt;1</f>
        <v>0</v>
      </c>
      <c r="S629" t="b">
        <f>IF(ISBLANK(CleanedSalesData[[#This Row],[Quantity]]), TRUE, FALSE)</f>
        <v>0</v>
      </c>
      <c r="T629" t="b">
        <f>IF(ISBLANK(CleanedSalesData[[#This Row],[Order Date]]), TRUE, FALSE)</f>
        <v>0</v>
      </c>
      <c r="U629" t="b">
        <f>IF(ISBLANK(CleanedSalesData[[#This Row],[Revenue]]), TRUE, FALSE)</f>
        <v>0</v>
      </c>
      <c r="V629" t="b">
        <f>IF(OR(CleanedSalesData[[#This Row],[Order Status]]="Cancelled", CleanedSalesData[[#This Row],[Order Status]]="Returned"), TRUE, FALSE)</f>
        <v>0</v>
      </c>
      <c r="W629" t="str" cm="1">
        <f t="array" ref="W62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0" spans="1:23" x14ac:dyDescent="0.35">
      <c r="A630" t="s">
        <v>784</v>
      </c>
      <c r="B630" s="7">
        <v>46037</v>
      </c>
      <c r="C630" t="s">
        <v>948</v>
      </c>
      <c r="D630">
        <v>1</v>
      </c>
      <c r="E630" t="s">
        <v>69</v>
      </c>
      <c r="F630" t="s">
        <v>40</v>
      </c>
      <c r="G630" t="s">
        <v>81</v>
      </c>
      <c r="H630" t="s">
        <v>33</v>
      </c>
      <c r="I630" t="s">
        <v>60</v>
      </c>
      <c r="J630" t="s">
        <v>61</v>
      </c>
      <c r="K630" t="s">
        <v>62</v>
      </c>
      <c r="L630">
        <v>5</v>
      </c>
      <c r="M630" s="10">
        <v>0.1</v>
      </c>
      <c r="N630" s="11">
        <v>292500</v>
      </c>
      <c r="O630" s="11">
        <v>155000</v>
      </c>
      <c r="P630" s="11">
        <v>137500</v>
      </c>
      <c r="Q630" t="s">
        <v>45</v>
      </c>
      <c r="R630" t="b">
        <f>COUNTIF($A$6     : CleanedSalesData[[#This Row],[Order ID]], CleanedSalesData[[#This Row],[Order ID]])&gt;1</f>
        <v>0</v>
      </c>
      <c r="S630" t="b">
        <f>IF(ISBLANK(CleanedSalesData[[#This Row],[Quantity]]), TRUE, FALSE)</f>
        <v>0</v>
      </c>
      <c r="T630" t="b">
        <f>IF(ISBLANK(CleanedSalesData[[#This Row],[Order Date]]), TRUE, FALSE)</f>
        <v>0</v>
      </c>
      <c r="U630" t="b">
        <f>IF(ISBLANK(CleanedSalesData[[#This Row],[Revenue]]), TRUE, FALSE)</f>
        <v>0</v>
      </c>
      <c r="V630" t="b">
        <f>IF(OR(CleanedSalesData[[#This Row],[Order Status]]="Cancelled", CleanedSalesData[[#This Row],[Order Status]]="Returned"), TRUE, FALSE)</f>
        <v>0</v>
      </c>
      <c r="W630" t="str" cm="1">
        <f t="array" ref="W63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1" spans="1:23" x14ac:dyDescent="0.35">
      <c r="A631" t="s">
        <v>785</v>
      </c>
      <c r="B631" s="7">
        <v>46155</v>
      </c>
      <c r="C631" t="s">
        <v>946</v>
      </c>
      <c r="D631">
        <v>5</v>
      </c>
      <c r="E631" t="s">
        <v>39</v>
      </c>
      <c r="F631" t="s">
        <v>47</v>
      </c>
      <c r="G631" t="s">
        <v>48</v>
      </c>
      <c r="H631" t="s">
        <v>33</v>
      </c>
      <c r="I631" t="s">
        <v>66</v>
      </c>
      <c r="J631" t="s">
        <v>67</v>
      </c>
      <c r="K631" t="s">
        <v>51</v>
      </c>
      <c r="L631">
        <v>2</v>
      </c>
      <c r="M631" s="10">
        <v>0</v>
      </c>
      <c r="N631" s="11">
        <v>620000</v>
      </c>
      <c r="O631" s="11">
        <v>380000</v>
      </c>
      <c r="P631" s="11">
        <v>240000</v>
      </c>
      <c r="Q631" t="s">
        <v>45</v>
      </c>
      <c r="R631" t="b">
        <f>COUNTIF($A$6     : CleanedSalesData[[#This Row],[Order ID]], CleanedSalesData[[#This Row],[Order ID]])&gt;1</f>
        <v>0</v>
      </c>
      <c r="S631" t="b">
        <f>IF(ISBLANK(CleanedSalesData[[#This Row],[Quantity]]), TRUE, FALSE)</f>
        <v>0</v>
      </c>
      <c r="T631" t="b">
        <f>IF(ISBLANK(CleanedSalesData[[#This Row],[Order Date]]), TRUE, FALSE)</f>
        <v>0</v>
      </c>
      <c r="U631" t="b">
        <f>IF(ISBLANK(CleanedSalesData[[#This Row],[Revenue]]), TRUE, FALSE)</f>
        <v>0</v>
      </c>
      <c r="V631" t="b">
        <f>IF(OR(CleanedSalesData[[#This Row],[Order Status]]="Cancelled", CleanedSalesData[[#This Row],[Order Status]]="Returned"), TRUE, FALSE)</f>
        <v>0</v>
      </c>
      <c r="W631" t="str" cm="1">
        <f t="array" ref="W63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2" spans="1:23" x14ac:dyDescent="0.35">
      <c r="A632" t="s">
        <v>786</v>
      </c>
      <c r="B632" s="7">
        <v>46157</v>
      </c>
      <c r="C632" t="s">
        <v>946</v>
      </c>
      <c r="D632">
        <v>5</v>
      </c>
      <c r="E632" t="s">
        <v>69</v>
      </c>
      <c r="F632" t="s">
        <v>31</v>
      </c>
      <c r="G632" t="s">
        <v>48</v>
      </c>
      <c r="H632" t="s">
        <v>33</v>
      </c>
      <c r="I632" t="s">
        <v>71</v>
      </c>
      <c r="J632" t="s">
        <v>72</v>
      </c>
      <c r="K632" t="s">
        <v>73</v>
      </c>
      <c r="L632">
        <v>4</v>
      </c>
      <c r="M632" s="10">
        <v>0.1</v>
      </c>
      <c r="N632" s="11">
        <v>450000</v>
      </c>
      <c r="O632" s="11">
        <v>280000</v>
      </c>
      <c r="P632" s="11">
        <v>170000</v>
      </c>
      <c r="Q632" t="s">
        <v>63</v>
      </c>
      <c r="R632" t="b">
        <f>COUNTIF($A$6     : CleanedSalesData[[#This Row],[Order ID]], CleanedSalesData[[#This Row],[Order ID]])&gt;1</f>
        <v>0</v>
      </c>
      <c r="S632" t="b">
        <f>IF(ISBLANK(CleanedSalesData[[#This Row],[Quantity]]), TRUE, FALSE)</f>
        <v>0</v>
      </c>
      <c r="T632" t="b">
        <f>IF(ISBLANK(CleanedSalesData[[#This Row],[Order Date]]), TRUE, FALSE)</f>
        <v>0</v>
      </c>
      <c r="U632" t="b">
        <f>IF(ISBLANK(CleanedSalesData[[#This Row],[Revenue]]), TRUE, FALSE)</f>
        <v>0</v>
      </c>
      <c r="V632" t="b">
        <f>IF(OR(CleanedSalesData[[#This Row],[Order Status]]="Cancelled", CleanedSalesData[[#This Row],[Order Status]]="Returned"), TRUE, FALSE)</f>
        <v>0</v>
      </c>
      <c r="W632" t="str" cm="1">
        <f t="array" ref="W63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3" spans="1:23" x14ac:dyDescent="0.35">
      <c r="A633" t="s">
        <v>787</v>
      </c>
      <c r="B633" s="7">
        <v>46195</v>
      </c>
      <c r="C633" t="s">
        <v>945</v>
      </c>
      <c r="D633">
        <v>6</v>
      </c>
      <c r="E633" t="s">
        <v>30</v>
      </c>
      <c r="F633" t="s">
        <v>40</v>
      </c>
      <c r="G633" t="s">
        <v>32</v>
      </c>
      <c r="H633" t="s">
        <v>33</v>
      </c>
      <c r="I633" t="s">
        <v>78</v>
      </c>
      <c r="J633" t="s">
        <v>79</v>
      </c>
      <c r="K633" t="s">
        <v>62</v>
      </c>
      <c r="L633">
        <v>8</v>
      </c>
      <c r="M633" s="10">
        <v>0.15</v>
      </c>
      <c r="N633" s="11">
        <v>578000</v>
      </c>
      <c r="O633" s="11">
        <v>344000</v>
      </c>
      <c r="P633" s="11">
        <v>234000</v>
      </c>
      <c r="Q633" t="s">
        <v>93</v>
      </c>
      <c r="R633" t="b">
        <f>COUNTIF($A$6     : CleanedSalesData[[#This Row],[Order ID]], CleanedSalesData[[#This Row],[Order ID]])&gt;1</f>
        <v>0</v>
      </c>
      <c r="S633" t="b">
        <f>IF(ISBLANK(CleanedSalesData[[#This Row],[Quantity]]), TRUE, FALSE)</f>
        <v>0</v>
      </c>
      <c r="T633" t="b">
        <f>IF(ISBLANK(CleanedSalesData[[#This Row],[Order Date]]), TRUE, FALSE)</f>
        <v>0</v>
      </c>
      <c r="U633" t="b">
        <f>IF(ISBLANK(CleanedSalesData[[#This Row],[Revenue]]), TRUE, FALSE)</f>
        <v>0</v>
      </c>
      <c r="V633" t="b">
        <f>IF(OR(CleanedSalesData[[#This Row],[Order Status]]="Cancelled", CleanedSalesData[[#This Row],[Order Status]]="Returned"), TRUE, FALSE)</f>
        <v>0</v>
      </c>
      <c r="W633" t="str" cm="1">
        <f t="array" ref="W63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4" spans="1:23" x14ac:dyDescent="0.35">
      <c r="A634" t="s">
        <v>788</v>
      </c>
      <c r="B634" s="7">
        <v>46152</v>
      </c>
      <c r="C634" t="s">
        <v>946</v>
      </c>
      <c r="D634">
        <v>5</v>
      </c>
      <c r="E634" t="s">
        <v>54</v>
      </c>
      <c r="F634" t="s">
        <v>47</v>
      </c>
      <c r="G634" t="s">
        <v>48</v>
      </c>
      <c r="H634" t="s">
        <v>33</v>
      </c>
      <c r="I634" t="s">
        <v>82</v>
      </c>
      <c r="J634" t="s">
        <v>83</v>
      </c>
      <c r="K634" t="s">
        <v>44</v>
      </c>
      <c r="L634">
        <v>6</v>
      </c>
      <c r="M634" s="10">
        <v>0.15</v>
      </c>
      <c r="N634" s="11">
        <v>7395000</v>
      </c>
      <c r="O634" s="11">
        <v>5880000</v>
      </c>
      <c r="P634" s="11">
        <v>1515000</v>
      </c>
      <c r="Q634" t="s">
        <v>63</v>
      </c>
      <c r="R634" t="b">
        <f>COUNTIF($A$6     : CleanedSalesData[[#This Row],[Order ID]], CleanedSalesData[[#This Row],[Order ID]])&gt;1</f>
        <v>0</v>
      </c>
      <c r="S634" t="b">
        <f>IF(ISBLANK(CleanedSalesData[[#This Row],[Quantity]]), TRUE, FALSE)</f>
        <v>0</v>
      </c>
      <c r="T634" t="b">
        <f>IF(ISBLANK(CleanedSalesData[[#This Row],[Order Date]]), TRUE, FALSE)</f>
        <v>0</v>
      </c>
      <c r="U634" t="b">
        <f>IF(ISBLANK(CleanedSalesData[[#This Row],[Revenue]]), TRUE, FALSE)</f>
        <v>0</v>
      </c>
      <c r="V634" t="b">
        <f>IF(OR(CleanedSalesData[[#This Row],[Order Status]]="Cancelled", CleanedSalesData[[#This Row],[Order Status]]="Returned"), TRUE, FALSE)</f>
        <v>0</v>
      </c>
      <c r="W634" t="str" cm="1">
        <f t="array" ref="W63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5" spans="1:23" x14ac:dyDescent="0.35">
      <c r="A635" t="s">
        <v>789</v>
      </c>
      <c r="B635" s="7">
        <v>46163</v>
      </c>
      <c r="C635" t="s">
        <v>946</v>
      </c>
      <c r="D635">
        <v>5</v>
      </c>
      <c r="E635" t="s">
        <v>39</v>
      </c>
      <c r="F635" t="s">
        <v>59</v>
      </c>
      <c r="G635" t="s">
        <v>81</v>
      </c>
      <c r="H635" t="s">
        <v>33</v>
      </c>
      <c r="I635" t="s">
        <v>86</v>
      </c>
      <c r="J635" t="s">
        <v>87</v>
      </c>
      <c r="K635" t="s">
        <v>36</v>
      </c>
      <c r="L635">
        <v>6</v>
      </c>
      <c r="M635" s="10">
        <v>0.05</v>
      </c>
      <c r="N635" s="11">
        <v>1995000</v>
      </c>
      <c r="O635" s="11">
        <v>1260000</v>
      </c>
      <c r="P635" s="11">
        <v>735000</v>
      </c>
      <c r="Q635" t="s">
        <v>45</v>
      </c>
      <c r="R635" t="b">
        <f>COUNTIF($A$6     : CleanedSalesData[[#This Row],[Order ID]], CleanedSalesData[[#This Row],[Order ID]])&gt;1</f>
        <v>0</v>
      </c>
      <c r="S635" t="b">
        <f>IF(ISBLANK(CleanedSalesData[[#This Row],[Quantity]]), TRUE, FALSE)</f>
        <v>0</v>
      </c>
      <c r="T635" t="b">
        <f>IF(ISBLANK(CleanedSalesData[[#This Row],[Order Date]]), TRUE, FALSE)</f>
        <v>0</v>
      </c>
      <c r="U635" t="b">
        <f>IF(ISBLANK(CleanedSalesData[[#This Row],[Revenue]]), TRUE, FALSE)</f>
        <v>0</v>
      </c>
      <c r="V635" t="b">
        <f>IF(OR(CleanedSalesData[[#This Row],[Order Status]]="Cancelled", CleanedSalesData[[#This Row],[Order Status]]="Returned"), TRUE, FALSE)</f>
        <v>0</v>
      </c>
      <c r="W635" t="str" cm="1">
        <f t="array" ref="W63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6" spans="1:23" x14ac:dyDescent="0.35">
      <c r="A636" t="s">
        <v>790</v>
      </c>
      <c r="B636" s="7">
        <v>46119</v>
      </c>
      <c r="C636" t="s">
        <v>949</v>
      </c>
      <c r="D636">
        <v>4</v>
      </c>
      <c r="E636" t="s">
        <v>95</v>
      </c>
      <c r="F636" t="s">
        <v>59</v>
      </c>
      <c r="G636" t="s">
        <v>41</v>
      </c>
      <c r="H636" t="s">
        <v>77</v>
      </c>
      <c r="I636" t="s">
        <v>34</v>
      </c>
      <c r="J636" t="s">
        <v>35</v>
      </c>
      <c r="K636" t="s">
        <v>36</v>
      </c>
      <c r="L636">
        <v>5</v>
      </c>
      <c r="M636" s="10">
        <v>0.05</v>
      </c>
      <c r="N636" s="11">
        <v>564062</v>
      </c>
      <c r="O636" s="11">
        <v>1425000</v>
      </c>
      <c r="P636" s="11">
        <v>-860938</v>
      </c>
      <c r="Q636" t="s">
        <v>57</v>
      </c>
      <c r="R636" t="b">
        <f>COUNTIF($A$6     : CleanedSalesData[[#This Row],[Order ID]], CleanedSalesData[[#This Row],[Order ID]])&gt;1</f>
        <v>0</v>
      </c>
      <c r="S636" t="b">
        <f>IF(ISBLANK(CleanedSalesData[[#This Row],[Quantity]]), TRUE, FALSE)</f>
        <v>0</v>
      </c>
      <c r="T636" t="b">
        <f>IF(ISBLANK(CleanedSalesData[[#This Row],[Order Date]]), TRUE, FALSE)</f>
        <v>0</v>
      </c>
      <c r="U636" t="b">
        <f>IF(ISBLANK(CleanedSalesData[[#This Row],[Revenue]]), TRUE, FALSE)</f>
        <v>0</v>
      </c>
      <c r="V636" t="b">
        <f>IF(OR(CleanedSalesData[[#This Row],[Order Status]]="Cancelled", CleanedSalesData[[#This Row],[Order Status]]="Returned"), TRUE, FALSE)</f>
        <v>1</v>
      </c>
      <c r="W636" t="str" cm="1">
        <f t="array" ref="W63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37" spans="1:23" x14ac:dyDescent="0.35">
      <c r="A637" t="s">
        <v>791</v>
      </c>
      <c r="B637" s="7">
        <v>46175</v>
      </c>
      <c r="C637" t="s">
        <v>945</v>
      </c>
      <c r="D637">
        <v>6</v>
      </c>
      <c r="E637" t="s">
        <v>76</v>
      </c>
      <c r="F637" t="s">
        <v>70</v>
      </c>
      <c r="G637" t="s">
        <v>41</v>
      </c>
      <c r="H637" t="s">
        <v>33</v>
      </c>
      <c r="I637" t="s">
        <v>42</v>
      </c>
      <c r="J637" t="s">
        <v>43</v>
      </c>
      <c r="K637" t="s">
        <v>44</v>
      </c>
      <c r="L637">
        <v>1</v>
      </c>
      <c r="M637" s="10">
        <v>0.1</v>
      </c>
      <c r="N637" s="11">
        <v>247500</v>
      </c>
      <c r="O637" s="11">
        <v>155000</v>
      </c>
      <c r="P637" s="11">
        <v>92500</v>
      </c>
      <c r="Q637" t="s">
        <v>45</v>
      </c>
      <c r="R637" t="b">
        <f>COUNTIF($A$6     : CleanedSalesData[[#This Row],[Order ID]], CleanedSalesData[[#This Row],[Order ID]])&gt;1</f>
        <v>0</v>
      </c>
      <c r="S637" t="b">
        <f>IF(ISBLANK(CleanedSalesData[[#This Row],[Quantity]]), TRUE, FALSE)</f>
        <v>0</v>
      </c>
      <c r="T637" t="b">
        <f>IF(ISBLANK(CleanedSalesData[[#This Row],[Order Date]]), TRUE, FALSE)</f>
        <v>0</v>
      </c>
      <c r="U637" t="b">
        <f>IF(ISBLANK(CleanedSalesData[[#This Row],[Revenue]]), TRUE, FALSE)</f>
        <v>0</v>
      </c>
      <c r="V637" t="b">
        <f>IF(OR(CleanedSalesData[[#This Row],[Order Status]]="Cancelled", CleanedSalesData[[#This Row],[Order Status]]="Returned"), TRUE, FALSE)</f>
        <v>0</v>
      </c>
      <c r="W637" t="str" cm="1">
        <f t="array" ref="W63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8" spans="1:23" x14ac:dyDescent="0.35">
      <c r="A638" t="s">
        <v>792</v>
      </c>
      <c r="B638" s="7">
        <v>46077</v>
      </c>
      <c r="C638" t="s">
        <v>944</v>
      </c>
      <c r="D638">
        <v>2</v>
      </c>
      <c r="E638" t="s">
        <v>69</v>
      </c>
      <c r="F638" t="s">
        <v>70</v>
      </c>
      <c r="G638" t="s">
        <v>32</v>
      </c>
      <c r="H638" t="s">
        <v>33</v>
      </c>
      <c r="I638" t="s">
        <v>49</v>
      </c>
      <c r="J638" t="s">
        <v>50</v>
      </c>
      <c r="K638" t="s">
        <v>51</v>
      </c>
      <c r="L638">
        <v>6</v>
      </c>
      <c r="M638" s="10">
        <v>0</v>
      </c>
      <c r="N638" s="11">
        <v>1470000</v>
      </c>
      <c r="O638" s="11">
        <v>870000</v>
      </c>
      <c r="P638" s="11">
        <v>600000</v>
      </c>
      <c r="Q638" t="s">
        <v>74</v>
      </c>
      <c r="R638" t="b">
        <f>COUNTIF($A$6     : CleanedSalesData[[#This Row],[Order ID]], CleanedSalesData[[#This Row],[Order ID]])&gt;1</f>
        <v>0</v>
      </c>
      <c r="S638" t="b">
        <f>IF(ISBLANK(CleanedSalesData[[#This Row],[Quantity]]), TRUE, FALSE)</f>
        <v>0</v>
      </c>
      <c r="T638" t="b">
        <f>IF(ISBLANK(CleanedSalesData[[#This Row],[Order Date]]), TRUE, FALSE)</f>
        <v>0</v>
      </c>
      <c r="U638" t="b">
        <f>IF(ISBLANK(CleanedSalesData[[#This Row],[Revenue]]), TRUE, FALSE)</f>
        <v>0</v>
      </c>
      <c r="V638" t="b">
        <f>IF(OR(CleanedSalesData[[#This Row],[Order Status]]="Cancelled", CleanedSalesData[[#This Row],[Order Status]]="Returned"), TRUE, FALSE)</f>
        <v>0</v>
      </c>
      <c r="W638" t="str" cm="1">
        <f t="array" ref="W63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39" spans="1:23" x14ac:dyDescent="0.35">
      <c r="A639" t="s">
        <v>793</v>
      </c>
      <c r="B639" s="7">
        <v>46140</v>
      </c>
      <c r="C639" t="s">
        <v>949</v>
      </c>
      <c r="D639">
        <v>4</v>
      </c>
      <c r="E639" t="s">
        <v>39</v>
      </c>
      <c r="F639" t="s">
        <v>70</v>
      </c>
      <c r="G639" t="s">
        <v>32</v>
      </c>
      <c r="H639" t="s">
        <v>33</v>
      </c>
      <c r="I639" t="s">
        <v>55</v>
      </c>
      <c r="J639" t="s">
        <v>56</v>
      </c>
      <c r="K639" t="s">
        <v>36</v>
      </c>
      <c r="L639">
        <v>6</v>
      </c>
      <c r="M639" s="10">
        <v>0.03</v>
      </c>
      <c r="N639" s="11">
        <v>10767000</v>
      </c>
      <c r="O639" s="11">
        <v>7920000</v>
      </c>
      <c r="P639" s="11">
        <v>2847000</v>
      </c>
      <c r="Q639" t="s">
        <v>57</v>
      </c>
      <c r="R639" t="b">
        <f>COUNTIF($A$6     : CleanedSalesData[[#This Row],[Order ID]], CleanedSalesData[[#This Row],[Order ID]])&gt;1</f>
        <v>0</v>
      </c>
      <c r="S639" t="b">
        <f>IF(ISBLANK(CleanedSalesData[[#This Row],[Quantity]]), TRUE, FALSE)</f>
        <v>0</v>
      </c>
      <c r="T639" t="b">
        <f>IF(ISBLANK(CleanedSalesData[[#This Row],[Order Date]]), TRUE, FALSE)</f>
        <v>0</v>
      </c>
      <c r="U639" t="b">
        <f>IF(ISBLANK(CleanedSalesData[[#This Row],[Revenue]]), TRUE, FALSE)</f>
        <v>0</v>
      </c>
      <c r="V639" t="b">
        <f>IF(OR(CleanedSalesData[[#This Row],[Order Status]]="Cancelled", CleanedSalesData[[#This Row],[Order Status]]="Returned"), TRUE, FALSE)</f>
        <v>0</v>
      </c>
      <c r="W639" t="str" cm="1">
        <f t="array" ref="W63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0" spans="1:23" x14ac:dyDescent="0.35">
      <c r="A640" t="s">
        <v>794</v>
      </c>
      <c r="B640" s="7">
        <v>46099</v>
      </c>
      <c r="C640" t="s">
        <v>947</v>
      </c>
      <c r="D640">
        <v>3</v>
      </c>
      <c r="E640" t="s">
        <v>54</v>
      </c>
      <c r="F640" t="s">
        <v>31</v>
      </c>
      <c r="G640" t="s">
        <v>41</v>
      </c>
      <c r="H640" t="s">
        <v>33</v>
      </c>
      <c r="I640" t="s">
        <v>60</v>
      </c>
      <c r="J640" t="s">
        <v>61</v>
      </c>
      <c r="K640" t="s">
        <v>62</v>
      </c>
      <c r="L640">
        <v>2</v>
      </c>
      <c r="M640" s="10">
        <v>0.1</v>
      </c>
      <c r="N640" s="11">
        <v>117000</v>
      </c>
      <c r="O640" s="11">
        <v>62000</v>
      </c>
      <c r="P640" s="11">
        <v>55000</v>
      </c>
      <c r="Q640" t="s">
        <v>52</v>
      </c>
      <c r="R640" t="b">
        <f>COUNTIF($A$6     : CleanedSalesData[[#This Row],[Order ID]], CleanedSalesData[[#This Row],[Order ID]])&gt;1</f>
        <v>0</v>
      </c>
      <c r="S640" t="b">
        <f>IF(ISBLANK(CleanedSalesData[[#This Row],[Quantity]]), TRUE, FALSE)</f>
        <v>0</v>
      </c>
      <c r="T640" t="b">
        <f>IF(ISBLANK(CleanedSalesData[[#This Row],[Order Date]]), TRUE, FALSE)</f>
        <v>0</v>
      </c>
      <c r="U640" t="b">
        <f>IF(ISBLANK(CleanedSalesData[[#This Row],[Revenue]]), TRUE, FALSE)</f>
        <v>0</v>
      </c>
      <c r="V640" t="b">
        <f>IF(OR(CleanedSalesData[[#This Row],[Order Status]]="Cancelled", CleanedSalesData[[#This Row],[Order Status]]="Returned"), TRUE, FALSE)</f>
        <v>0</v>
      </c>
      <c r="W640" t="str" cm="1">
        <f t="array" ref="W64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1" spans="1:23" x14ac:dyDescent="0.35">
      <c r="A641" t="s">
        <v>795</v>
      </c>
      <c r="B641" s="7">
        <v>46067</v>
      </c>
      <c r="C641" t="s">
        <v>944</v>
      </c>
      <c r="D641">
        <v>2</v>
      </c>
      <c r="E641" t="s">
        <v>95</v>
      </c>
      <c r="F641" t="s">
        <v>40</v>
      </c>
      <c r="G641" t="s">
        <v>81</v>
      </c>
      <c r="H641" t="s">
        <v>33</v>
      </c>
      <c r="I641" t="s">
        <v>66</v>
      </c>
      <c r="J641" t="s">
        <v>67</v>
      </c>
      <c r="K641" t="s">
        <v>51</v>
      </c>
      <c r="L641">
        <v>8</v>
      </c>
      <c r="M641" s="10">
        <v>0.15</v>
      </c>
      <c r="N641" s="11">
        <v>2108000</v>
      </c>
      <c r="O641" s="11">
        <v>1520000</v>
      </c>
      <c r="P641" s="11">
        <v>588000</v>
      </c>
      <c r="Q641" t="s">
        <v>93</v>
      </c>
      <c r="R641" t="b">
        <f>COUNTIF($A$6     : CleanedSalesData[[#This Row],[Order ID]], CleanedSalesData[[#This Row],[Order ID]])&gt;1</f>
        <v>0</v>
      </c>
      <c r="S641" t="b">
        <f>IF(ISBLANK(CleanedSalesData[[#This Row],[Quantity]]), TRUE, FALSE)</f>
        <v>0</v>
      </c>
      <c r="T641" t="b">
        <f>IF(ISBLANK(CleanedSalesData[[#This Row],[Order Date]]), TRUE, FALSE)</f>
        <v>0</v>
      </c>
      <c r="U641" t="b">
        <f>IF(ISBLANK(CleanedSalesData[[#This Row],[Revenue]]), TRUE, FALSE)</f>
        <v>0</v>
      </c>
      <c r="V641" t="b">
        <f>IF(OR(CleanedSalesData[[#This Row],[Order Status]]="Cancelled", CleanedSalesData[[#This Row],[Order Status]]="Returned"), TRUE, FALSE)</f>
        <v>0</v>
      </c>
      <c r="W641" t="str" cm="1">
        <f t="array" ref="W64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2" spans="1:23" x14ac:dyDescent="0.35">
      <c r="A642" t="s">
        <v>796</v>
      </c>
      <c r="B642" s="7">
        <v>46043</v>
      </c>
      <c r="C642" t="s">
        <v>948</v>
      </c>
      <c r="D642">
        <v>1</v>
      </c>
      <c r="E642" t="s">
        <v>69</v>
      </c>
      <c r="F642" t="s">
        <v>59</v>
      </c>
      <c r="G642" t="s">
        <v>48</v>
      </c>
      <c r="H642" t="s">
        <v>33</v>
      </c>
      <c r="I642" t="s">
        <v>71</v>
      </c>
      <c r="J642" t="s">
        <v>72</v>
      </c>
      <c r="K642" t="s">
        <v>73</v>
      </c>
      <c r="L642">
        <v>1</v>
      </c>
      <c r="M642" s="10">
        <v>0.05</v>
      </c>
      <c r="N642" s="11">
        <v>118750</v>
      </c>
      <c r="O642" s="11">
        <v>70000</v>
      </c>
      <c r="P642" s="11">
        <v>48750</v>
      </c>
      <c r="Q642" t="s">
        <v>45</v>
      </c>
      <c r="R642" t="b">
        <f>COUNTIF($A$6     : CleanedSalesData[[#This Row],[Order ID]], CleanedSalesData[[#This Row],[Order ID]])&gt;1</f>
        <v>0</v>
      </c>
      <c r="S642" t="b">
        <f>IF(ISBLANK(CleanedSalesData[[#This Row],[Quantity]]), TRUE, FALSE)</f>
        <v>0</v>
      </c>
      <c r="T642" t="b">
        <f>IF(ISBLANK(CleanedSalesData[[#This Row],[Order Date]]), TRUE, FALSE)</f>
        <v>0</v>
      </c>
      <c r="U642" t="b">
        <f>IF(ISBLANK(CleanedSalesData[[#This Row],[Revenue]]), TRUE, FALSE)</f>
        <v>0</v>
      </c>
      <c r="V642" t="b">
        <f>IF(OR(CleanedSalesData[[#This Row],[Order Status]]="Cancelled", CleanedSalesData[[#This Row],[Order Status]]="Returned"), TRUE, FALSE)</f>
        <v>0</v>
      </c>
      <c r="W642" t="str" cm="1">
        <f t="array" ref="W64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3" spans="1:23" x14ac:dyDescent="0.35">
      <c r="A643" t="s">
        <v>797</v>
      </c>
      <c r="B643" s="7">
        <v>46190</v>
      </c>
      <c r="C643" t="s">
        <v>945</v>
      </c>
      <c r="D643">
        <v>6</v>
      </c>
      <c r="E643" t="s">
        <v>76</v>
      </c>
      <c r="F643" t="s">
        <v>59</v>
      </c>
      <c r="G643" t="s">
        <v>41</v>
      </c>
      <c r="H643" t="s">
        <v>33</v>
      </c>
      <c r="I643" t="s">
        <v>78</v>
      </c>
      <c r="J643" t="s">
        <v>79</v>
      </c>
      <c r="K643" t="s">
        <v>62</v>
      </c>
      <c r="L643">
        <v>1</v>
      </c>
      <c r="M643" s="10">
        <v>0.15</v>
      </c>
      <c r="N643" s="11">
        <v>72250</v>
      </c>
      <c r="O643" s="11">
        <v>43000</v>
      </c>
      <c r="P643" s="11">
        <v>29250</v>
      </c>
      <c r="Q643" t="s">
        <v>74</v>
      </c>
      <c r="R643" t="b">
        <f>COUNTIF($A$6     : CleanedSalesData[[#This Row],[Order ID]], CleanedSalesData[[#This Row],[Order ID]])&gt;1</f>
        <v>0</v>
      </c>
      <c r="S643" t="b">
        <f>IF(ISBLANK(CleanedSalesData[[#This Row],[Quantity]]), TRUE, FALSE)</f>
        <v>0</v>
      </c>
      <c r="T643" t="b">
        <f>IF(ISBLANK(CleanedSalesData[[#This Row],[Order Date]]), TRUE, FALSE)</f>
        <v>0</v>
      </c>
      <c r="U643" t="b">
        <f>IF(ISBLANK(CleanedSalesData[[#This Row],[Revenue]]), TRUE, FALSE)</f>
        <v>0</v>
      </c>
      <c r="V643" t="b">
        <f>IF(OR(CleanedSalesData[[#This Row],[Order Status]]="Cancelled", CleanedSalesData[[#This Row],[Order Status]]="Returned"), TRUE, FALSE)</f>
        <v>0</v>
      </c>
      <c r="W643" t="str" cm="1">
        <f t="array" ref="W64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4" spans="1:23" x14ac:dyDescent="0.35">
      <c r="A644" t="s">
        <v>798</v>
      </c>
      <c r="B644" s="7">
        <v>46104</v>
      </c>
      <c r="C644" t="s">
        <v>947</v>
      </c>
      <c r="D644">
        <v>3</v>
      </c>
      <c r="E644" t="s">
        <v>95</v>
      </c>
      <c r="F644" t="s">
        <v>31</v>
      </c>
      <c r="G644" t="s">
        <v>32</v>
      </c>
      <c r="H644" t="s">
        <v>33</v>
      </c>
      <c r="I644" t="s">
        <v>799</v>
      </c>
      <c r="J644" t="s">
        <v>83</v>
      </c>
      <c r="K644" t="s">
        <v>44</v>
      </c>
      <c r="L644">
        <v>3</v>
      </c>
      <c r="M644" s="10">
        <v>0.05</v>
      </c>
      <c r="N644" s="11">
        <v>4132500</v>
      </c>
      <c r="O644" s="11">
        <v>2940000</v>
      </c>
      <c r="P644" s="11">
        <v>1192500</v>
      </c>
      <c r="Q644" t="s">
        <v>93</v>
      </c>
      <c r="R644" t="b">
        <f>COUNTIF($A$6     : CleanedSalesData[[#This Row],[Order ID]], CleanedSalesData[[#This Row],[Order ID]])&gt;1</f>
        <v>0</v>
      </c>
      <c r="S644" t="b">
        <f>IF(ISBLANK(CleanedSalesData[[#This Row],[Quantity]]), TRUE, FALSE)</f>
        <v>0</v>
      </c>
      <c r="T644" t="b">
        <f>IF(ISBLANK(CleanedSalesData[[#This Row],[Order Date]]), TRUE, FALSE)</f>
        <v>0</v>
      </c>
      <c r="U644" t="b">
        <f>IF(ISBLANK(CleanedSalesData[[#This Row],[Revenue]]), TRUE, FALSE)</f>
        <v>0</v>
      </c>
      <c r="V644" t="b">
        <f>IF(OR(CleanedSalesData[[#This Row],[Order Status]]="Cancelled", CleanedSalesData[[#This Row],[Order Status]]="Returned"), TRUE, FALSE)</f>
        <v>0</v>
      </c>
      <c r="W644" t="str" cm="1">
        <f t="array" ref="W64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5" spans="1:23" x14ac:dyDescent="0.35">
      <c r="A645" t="s">
        <v>800</v>
      </c>
      <c r="B645" s="7">
        <v>46137</v>
      </c>
      <c r="C645" t="s">
        <v>949</v>
      </c>
      <c r="D645">
        <v>4</v>
      </c>
      <c r="E645" t="s">
        <v>30</v>
      </c>
      <c r="F645" t="s">
        <v>59</v>
      </c>
      <c r="G645" t="s">
        <v>32</v>
      </c>
      <c r="H645" t="s">
        <v>33</v>
      </c>
      <c r="I645" t="s">
        <v>86</v>
      </c>
      <c r="J645" t="s">
        <v>87</v>
      </c>
      <c r="K645" t="s">
        <v>36</v>
      </c>
      <c r="L645">
        <v>2</v>
      </c>
      <c r="M645" s="10">
        <v>0.03</v>
      </c>
      <c r="N645" s="11">
        <v>679000</v>
      </c>
      <c r="O645" s="11">
        <v>420000</v>
      </c>
      <c r="P645" s="11">
        <v>259000</v>
      </c>
      <c r="Q645" t="s">
        <v>63</v>
      </c>
      <c r="R645" t="b">
        <f>COUNTIF($A$6     : CleanedSalesData[[#This Row],[Order ID]], CleanedSalesData[[#This Row],[Order ID]])&gt;1</f>
        <v>0</v>
      </c>
      <c r="S645" t="b">
        <f>IF(ISBLANK(CleanedSalesData[[#This Row],[Quantity]]), TRUE, FALSE)</f>
        <v>0</v>
      </c>
      <c r="T645" t="b">
        <f>IF(ISBLANK(CleanedSalesData[[#This Row],[Order Date]]), TRUE, FALSE)</f>
        <v>0</v>
      </c>
      <c r="U645" t="b">
        <f>IF(ISBLANK(CleanedSalesData[[#This Row],[Revenue]]), TRUE, FALSE)</f>
        <v>0</v>
      </c>
      <c r="V645" t="b">
        <f>IF(OR(CleanedSalesData[[#This Row],[Order Status]]="Cancelled", CleanedSalesData[[#This Row],[Order Status]]="Returned"), TRUE, FALSE)</f>
        <v>0</v>
      </c>
      <c r="W645" t="str" cm="1">
        <f t="array" ref="W64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6" spans="1:23" x14ac:dyDescent="0.35">
      <c r="A646" t="s">
        <v>801</v>
      </c>
      <c r="B646" s="7">
        <v>46044</v>
      </c>
      <c r="C646" t="s">
        <v>948</v>
      </c>
      <c r="D646">
        <v>1</v>
      </c>
      <c r="E646" t="s">
        <v>76</v>
      </c>
      <c r="F646" t="s">
        <v>47</v>
      </c>
      <c r="G646" t="s">
        <v>48</v>
      </c>
      <c r="H646" t="s">
        <v>33</v>
      </c>
      <c r="I646" t="s">
        <v>34</v>
      </c>
      <c r="J646" t="s">
        <v>35</v>
      </c>
      <c r="K646" t="s">
        <v>36</v>
      </c>
      <c r="L646">
        <v>8</v>
      </c>
      <c r="M646" s="10">
        <v>0.1</v>
      </c>
      <c r="N646" s="11">
        <v>3420000</v>
      </c>
      <c r="O646" s="11">
        <v>2280000</v>
      </c>
      <c r="P646" s="11">
        <v>1140000</v>
      </c>
      <c r="Q646" t="s">
        <v>37</v>
      </c>
      <c r="R646" t="b">
        <f>COUNTIF($A$6     : CleanedSalesData[[#This Row],[Order ID]], CleanedSalesData[[#This Row],[Order ID]])&gt;1</f>
        <v>0</v>
      </c>
      <c r="S646" t="b">
        <f>IF(ISBLANK(CleanedSalesData[[#This Row],[Quantity]]), TRUE, FALSE)</f>
        <v>0</v>
      </c>
      <c r="T646" t="b">
        <f>IF(ISBLANK(CleanedSalesData[[#This Row],[Order Date]]), TRUE, FALSE)</f>
        <v>0</v>
      </c>
      <c r="U646" t="b">
        <f>IF(ISBLANK(CleanedSalesData[[#This Row],[Revenue]]), TRUE, FALSE)</f>
        <v>0</v>
      </c>
      <c r="V646" t="b">
        <f>IF(OR(CleanedSalesData[[#This Row],[Order Status]]="Cancelled", CleanedSalesData[[#This Row],[Order Status]]="Returned"), TRUE, FALSE)</f>
        <v>0</v>
      </c>
      <c r="W646" t="str" cm="1">
        <f t="array" ref="W64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7" spans="1:23" x14ac:dyDescent="0.35">
      <c r="A647" t="s">
        <v>802</v>
      </c>
      <c r="B647" s="7">
        <v>46125</v>
      </c>
      <c r="C647" t="s">
        <v>949</v>
      </c>
      <c r="D647">
        <v>4</v>
      </c>
      <c r="E647" t="s">
        <v>39</v>
      </c>
      <c r="F647" t="s">
        <v>31</v>
      </c>
      <c r="G647" t="s">
        <v>48</v>
      </c>
      <c r="H647" t="s">
        <v>33</v>
      </c>
      <c r="I647" t="s">
        <v>42</v>
      </c>
      <c r="J647" t="s">
        <v>43</v>
      </c>
      <c r="K647" t="s">
        <v>44</v>
      </c>
      <c r="L647">
        <v>7</v>
      </c>
      <c r="M647" s="10">
        <v>0.15</v>
      </c>
      <c r="N647" s="11">
        <v>1636250</v>
      </c>
      <c r="O647" s="11">
        <v>1085000</v>
      </c>
      <c r="P647" s="11">
        <v>551250</v>
      </c>
      <c r="Q647" t="s">
        <v>52</v>
      </c>
      <c r="R647" t="b">
        <f>COUNTIF($A$6     : CleanedSalesData[[#This Row],[Order ID]], CleanedSalesData[[#This Row],[Order ID]])&gt;1</f>
        <v>0</v>
      </c>
      <c r="S647" t="b">
        <f>IF(ISBLANK(CleanedSalesData[[#This Row],[Quantity]]), TRUE, FALSE)</f>
        <v>0</v>
      </c>
      <c r="T647" t="b">
        <f>IF(ISBLANK(CleanedSalesData[[#This Row],[Order Date]]), TRUE, FALSE)</f>
        <v>0</v>
      </c>
      <c r="U647" t="b">
        <f>IF(ISBLANK(CleanedSalesData[[#This Row],[Revenue]]), TRUE, FALSE)</f>
        <v>0</v>
      </c>
      <c r="V647" t="b">
        <f>IF(OR(CleanedSalesData[[#This Row],[Order Status]]="Cancelled", CleanedSalesData[[#This Row],[Order Status]]="Returned"), TRUE, FALSE)</f>
        <v>0</v>
      </c>
      <c r="W647" t="str" cm="1">
        <f t="array" ref="W64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8" spans="1:23" x14ac:dyDescent="0.35">
      <c r="A648" t="s">
        <v>803</v>
      </c>
      <c r="B648" s="7">
        <v>46124</v>
      </c>
      <c r="C648" t="s">
        <v>949</v>
      </c>
      <c r="D648">
        <v>4</v>
      </c>
      <c r="E648" t="s">
        <v>39</v>
      </c>
      <c r="F648" t="s">
        <v>47</v>
      </c>
      <c r="G648" t="s">
        <v>32</v>
      </c>
      <c r="H648" t="s">
        <v>33</v>
      </c>
      <c r="I648" t="s">
        <v>49</v>
      </c>
      <c r="J648" t="s">
        <v>50</v>
      </c>
      <c r="K648" t="s">
        <v>51</v>
      </c>
      <c r="L648">
        <v>4</v>
      </c>
      <c r="M648" s="10">
        <v>0.1</v>
      </c>
      <c r="N648" s="11">
        <v>882000</v>
      </c>
      <c r="O648" s="11">
        <v>580000</v>
      </c>
      <c r="P648" s="11">
        <v>302000</v>
      </c>
      <c r="Q648" t="s">
        <v>37</v>
      </c>
      <c r="R648" t="b">
        <f>COUNTIF($A$6     : CleanedSalesData[[#This Row],[Order ID]], CleanedSalesData[[#This Row],[Order ID]])&gt;1</f>
        <v>0</v>
      </c>
      <c r="S648" t="b">
        <f>IF(ISBLANK(CleanedSalesData[[#This Row],[Quantity]]), TRUE, FALSE)</f>
        <v>0</v>
      </c>
      <c r="T648" t="b">
        <f>IF(ISBLANK(CleanedSalesData[[#This Row],[Order Date]]), TRUE, FALSE)</f>
        <v>0</v>
      </c>
      <c r="U648" t="b">
        <f>IF(ISBLANK(CleanedSalesData[[#This Row],[Revenue]]), TRUE, FALSE)</f>
        <v>0</v>
      </c>
      <c r="V648" t="b">
        <f>IF(OR(CleanedSalesData[[#This Row],[Order Status]]="Cancelled", CleanedSalesData[[#This Row],[Order Status]]="Returned"), TRUE, FALSE)</f>
        <v>0</v>
      </c>
      <c r="W648" t="str" cm="1">
        <f t="array" ref="W64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49" spans="1:23" x14ac:dyDescent="0.35">
      <c r="A649" t="s">
        <v>804</v>
      </c>
      <c r="B649" s="7">
        <v>46091</v>
      </c>
      <c r="C649" t="s">
        <v>947</v>
      </c>
      <c r="D649">
        <v>3</v>
      </c>
      <c r="E649" t="s">
        <v>69</v>
      </c>
      <c r="F649" t="s">
        <v>47</v>
      </c>
      <c r="G649" t="s">
        <v>41</v>
      </c>
      <c r="H649" t="s">
        <v>33</v>
      </c>
      <c r="I649" t="s">
        <v>55</v>
      </c>
      <c r="J649" t="s">
        <v>56</v>
      </c>
      <c r="K649" t="s">
        <v>36</v>
      </c>
      <c r="L649">
        <v>7</v>
      </c>
      <c r="M649" s="10">
        <v>0.05</v>
      </c>
      <c r="N649" s="11">
        <v>12302500</v>
      </c>
      <c r="O649" s="11">
        <v>9240000</v>
      </c>
      <c r="P649" s="11">
        <v>3062500</v>
      </c>
      <c r="Q649" t="s">
        <v>93</v>
      </c>
      <c r="R649" t="b">
        <f>COUNTIF($A$6     : CleanedSalesData[[#This Row],[Order ID]], CleanedSalesData[[#This Row],[Order ID]])&gt;1</f>
        <v>0</v>
      </c>
      <c r="S649" t="b">
        <f>IF(ISBLANK(CleanedSalesData[[#This Row],[Quantity]]), TRUE, FALSE)</f>
        <v>0</v>
      </c>
      <c r="T649" t="b">
        <f>IF(ISBLANK(CleanedSalesData[[#This Row],[Order Date]]), TRUE, FALSE)</f>
        <v>0</v>
      </c>
      <c r="U649" t="b">
        <f>IF(ISBLANK(CleanedSalesData[[#This Row],[Revenue]]), TRUE, FALSE)</f>
        <v>0</v>
      </c>
      <c r="V649" t="b">
        <f>IF(OR(CleanedSalesData[[#This Row],[Order Status]]="Cancelled", CleanedSalesData[[#This Row],[Order Status]]="Returned"), TRUE, FALSE)</f>
        <v>0</v>
      </c>
      <c r="W649" t="str" cm="1">
        <f t="array" ref="W64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0" spans="1:23" x14ac:dyDescent="0.35">
      <c r="A650" t="s">
        <v>805</v>
      </c>
      <c r="B650" s="7">
        <v>46131</v>
      </c>
      <c r="C650" t="s">
        <v>949</v>
      </c>
      <c r="D650">
        <v>4</v>
      </c>
      <c r="E650" t="s">
        <v>76</v>
      </c>
      <c r="F650" t="s">
        <v>70</v>
      </c>
      <c r="G650" t="s">
        <v>41</v>
      </c>
      <c r="H650" t="s">
        <v>33</v>
      </c>
      <c r="I650" t="s">
        <v>60</v>
      </c>
      <c r="J650" t="s">
        <v>61</v>
      </c>
      <c r="K650" t="s">
        <v>62</v>
      </c>
      <c r="L650">
        <v>6</v>
      </c>
      <c r="M650" s="10">
        <v>0.05</v>
      </c>
      <c r="N650" s="11">
        <v>370500</v>
      </c>
      <c r="O650" s="11">
        <v>186000</v>
      </c>
      <c r="P650" s="11">
        <v>184500</v>
      </c>
      <c r="Q650" t="s">
        <v>84</v>
      </c>
      <c r="R650" t="b">
        <f>COUNTIF($A$6     : CleanedSalesData[[#This Row],[Order ID]], CleanedSalesData[[#This Row],[Order ID]])&gt;1</f>
        <v>0</v>
      </c>
      <c r="S650" t="b">
        <f>IF(ISBLANK(CleanedSalesData[[#This Row],[Quantity]]), TRUE, FALSE)</f>
        <v>0</v>
      </c>
      <c r="T650" t="b">
        <f>IF(ISBLANK(CleanedSalesData[[#This Row],[Order Date]]), TRUE, FALSE)</f>
        <v>0</v>
      </c>
      <c r="U650" t="b">
        <f>IF(ISBLANK(CleanedSalesData[[#This Row],[Revenue]]), TRUE, FALSE)</f>
        <v>0</v>
      </c>
      <c r="V650" t="b">
        <f>IF(OR(CleanedSalesData[[#This Row],[Order Status]]="Cancelled", CleanedSalesData[[#This Row],[Order Status]]="Returned"), TRUE, FALSE)</f>
        <v>0</v>
      </c>
      <c r="W650" t="str" cm="1">
        <f t="array" ref="W65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1" spans="1:23" x14ac:dyDescent="0.35">
      <c r="A651" t="s">
        <v>806</v>
      </c>
      <c r="B651" s="7">
        <v>46112</v>
      </c>
      <c r="C651" t="s">
        <v>947</v>
      </c>
      <c r="D651">
        <v>3</v>
      </c>
      <c r="E651" t="s">
        <v>39</v>
      </c>
      <c r="F651" t="s">
        <v>40</v>
      </c>
      <c r="G651" t="s">
        <v>32</v>
      </c>
      <c r="H651" t="s">
        <v>33</v>
      </c>
      <c r="I651" t="s">
        <v>66</v>
      </c>
      <c r="J651" t="s">
        <v>67</v>
      </c>
      <c r="K651" t="s">
        <v>51</v>
      </c>
      <c r="L651">
        <v>8</v>
      </c>
      <c r="M651" s="10">
        <v>0.1</v>
      </c>
      <c r="N651" s="11">
        <v>2232000</v>
      </c>
      <c r="O651" s="11">
        <v>1520000</v>
      </c>
      <c r="P651" s="11">
        <v>712000</v>
      </c>
      <c r="Q651" t="s">
        <v>63</v>
      </c>
      <c r="R651" t="b">
        <f>COUNTIF($A$6     : CleanedSalesData[[#This Row],[Order ID]], CleanedSalesData[[#This Row],[Order ID]])&gt;1</f>
        <v>0</v>
      </c>
      <c r="S651" t="b">
        <f>IF(ISBLANK(CleanedSalesData[[#This Row],[Quantity]]), TRUE, FALSE)</f>
        <v>0</v>
      </c>
      <c r="T651" t="b">
        <f>IF(ISBLANK(CleanedSalesData[[#This Row],[Order Date]]), TRUE, FALSE)</f>
        <v>0</v>
      </c>
      <c r="U651" t="b">
        <f>IF(ISBLANK(CleanedSalesData[[#This Row],[Revenue]]), TRUE, FALSE)</f>
        <v>0</v>
      </c>
      <c r="V651" t="b">
        <f>IF(OR(CleanedSalesData[[#This Row],[Order Status]]="Cancelled", CleanedSalesData[[#This Row],[Order Status]]="Returned"), TRUE, FALSE)</f>
        <v>0</v>
      </c>
      <c r="W651" t="str" cm="1">
        <f t="array" ref="W65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2" spans="1:23" x14ac:dyDescent="0.35">
      <c r="A652" t="s">
        <v>807</v>
      </c>
      <c r="B652" s="7">
        <v>46062</v>
      </c>
      <c r="C652" t="s">
        <v>944</v>
      </c>
      <c r="D652">
        <v>2</v>
      </c>
      <c r="E652" t="s">
        <v>76</v>
      </c>
      <c r="F652" t="s">
        <v>31</v>
      </c>
      <c r="G652" t="s">
        <v>32</v>
      </c>
      <c r="H652" t="s">
        <v>33</v>
      </c>
      <c r="I652" t="s">
        <v>71</v>
      </c>
      <c r="J652" t="s">
        <v>72</v>
      </c>
      <c r="K652" t="s">
        <v>73</v>
      </c>
      <c r="L652">
        <v>2</v>
      </c>
      <c r="M652" s="10">
        <v>0</v>
      </c>
      <c r="N652" s="11">
        <v>250000</v>
      </c>
      <c r="O652" s="11">
        <v>140000</v>
      </c>
      <c r="P652" s="11">
        <v>110000</v>
      </c>
      <c r="Q652" t="s">
        <v>74</v>
      </c>
      <c r="R652" t="b">
        <f>COUNTIF($A$6     : CleanedSalesData[[#This Row],[Order ID]], CleanedSalesData[[#This Row],[Order ID]])&gt;1</f>
        <v>0</v>
      </c>
      <c r="S652" t="b">
        <f>IF(ISBLANK(CleanedSalesData[[#This Row],[Quantity]]), TRUE, FALSE)</f>
        <v>0</v>
      </c>
      <c r="T652" t="b">
        <f>IF(ISBLANK(CleanedSalesData[[#This Row],[Order Date]]), TRUE, FALSE)</f>
        <v>0</v>
      </c>
      <c r="U652" t="b">
        <f>IF(ISBLANK(CleanedSalesData[[#This Row],[Revenue]]), TRUE, FALSE)</f>
        <v>0</v>
      </c>
      <c r="V652" t="b">
        <f>IF(OR(CleanedSalesData[[#This Row],[Order Status]]="Cancelled", CleanedSalesData[[#This Row],[Order Status]]="Returned"), TRUE, FALSE)</f>
        <v>0</v>
      </c>
      <c r="W652" t="str" cm="1">
        <f t="array" ref="W65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3" spans="1:23" x14ac:dyDescent="0.35">
      <c r="A653" t="s">
        <v>808</v>
      </c>
      <c r="B653" s="7">
        <v>46110</v>
      </c>
      <c r="C653" t="s">
        <v>947</v>
      </c>
      <c r="D653">
        <v>3</v>
      </c>
      <c r="E653" t="s">
        <v>39</v>
      </c>
      <c r="F653" t="s">
        <v>40</v>
      </c>
      <c r="G653" t="s">
        <v>81</v>
      </c>
      <c r="H653" t="s">
        <v>33</v>
      </c>
      <c r="I653" t="s">
        <v>78</v>
      </c>
      <c r="J653" t="s">
        <v>79</v>
      </c>
      <c r="K653" t="s">
        <v>62</v>
      </c>
      <c r="L653">
        <v>2</v>
      </c>
      <c r="M653" s="10">
        <v>0.05</v>
      </c>
      <c r="N653" s="11">
        <v>161500</v>
      </c>
      <c r="O653" s="11">
        <v>86000</v>
      </c>
      <c r="P653" s="11">
        <v>75500</v>
      </c>
      <c r="Q653" t="s">
        <v>45</v>
      </c>
      <c r="R653" t="b">
        <f>COUNTIF($A$6     : CleanedSalesData[[#This Row],[Order ID]], CleanedSalesData[[#This Row],[Order ID]])&gt;1</f>
        <v>0</v>
      </c>
      <c r="S653" t="b">
        <f>IF(ISBLANK(CleanedSalesData[[#This Row],[Quantity]]), TRUE, FALSE)</f>
        <v>0</v>
      </c>
      <c r="T653" t="b">
        <f>IF(ISBLANK(CleanedSalesData[[#This Row],[Order Date]]), TRUE, FALSE)</f>
        <v>0</v>
      </c>
      <c r="U653" t="b">
        <f>IF(ISBLANK(CleanedSalesData[[#This Row],[Revenue]]), TRUE, FALSE)</f>
        <v>0</v>
      </c>
      <c r="V653" t="b">
        <f>IF(OR(CleanedSalesData[[#This Row],[Order Status]]="Cancelled", CleanedSalesData[[#This Row],[Order Status]]="Returned"), TRUE, FALSE)</f>
        <v>0</v>
      </c>
      <c r="W653" t="str" cm="1">
        <f t="array" ref="W65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4" spans="1:23" x14ac:dyDescent="0.35">
      <c r="A654" t="s">
        <v>809</v>
      </c>
      <c r="B654" s="7">
        <v>32874</v>
      </c>
      <c r="C654" t="s">
        <v>948</v>
      </c>
      <c r="D654">
        <v>1</v>
      </c>
      <c r="E654" t="s">
        <v>65</v>
      </c>
      <c r="F654" t="s">
        <v>31</v>
      </c>
      <c r="G654" t="s">
        <v>41</v>
      </c>
      <c r="H654" t="s">
        <v>33</v>
      </c>
      <c r="I654" t="s">
        <v>82</v>
      </c>
      <c r="J654" t="s">
        <v>83</v>
      </c>
      <c r="K654" t="s">
        <v>44</v>
      </c>
      <c r="L654">
        <v>5</v>
      </c>
      <c r="M654" s="10">
        <v>0.1</v>
      </c>
      <c r="N654" s="11">
        <v>6525000</v>
      </c>
      <c r="O654" s="11">
        <v>4900000</v>
      </c>
      <c r="P654" s="11">
        <v>1625000</v>
      </c>
      <c r="Q654" t="s">
        <v>74</v>
      </c>
      <c r="R654" t="b">
        <f>COUNTIF($A$6     : CleanedSalesData[[#This Row],[Order ID]], CleanedSalesData[[#This Row],[Order ID]])&gt;1</f>
        <v>0</v>
      </c>
      <c r="S654" t="b">
        <f>IF(ISBLANK(CleanedSalesData[[#This Row],[Quantity]]), TRUE, FALSE)</f>
        <v>0</v>
      </c>
      <c r="T654" t="b">
        <f>IF(ISBLANK(CleanedSalesData[[#This Row],[Order Date]]), TRUE, FALSE)</f>
        <v>0</v>
      </c>
      <c r="U654" t="b">
        <f>IF(ISBLANK(CleanedSalesData[[#This Row],[Revenue]]), TRUE, FALSE)</f>
        <v>0</v>
      </c>
      <c r="V654" t="b">
        <f>IF(OR(CleanedSalesData[[#This Row],[Order Status]]="Cancelled", CleanedSalesData[[#This Row],[Order Status]]="Returned"), TRUE, FALSE)</f>
        <v>0</v>
      </c>
      <c r="W654" t="str" cm="1">
        <f t="array" ref="W65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5" spans="1:23" x14ac:dyDescent="0.35">
      <c r="A655" t="s">
        <v>811</v>
      </c>
      <c r="B655" s="7">
        <v>46088</v>
      </c>
      <c r="C655" t="s">
        <v>947</v>
      </c>
      <c r="D655">
        <v>3</v>
      </c>
      <c r="E655" t="s">
        <v>95</v>
      </c>
      <c r="F655" t="s">
        <v>47</v>
      </c>
      <c r="G655" t="s">
        <v>81</v>
      </c>
      <c r="H655" t="s">
        <v>33</v>
      </c>
      <c r="I655" t="s">
        <v>86</v>
      </c>
      <c r="J655" t="s">
        <v>87</v>
      </c>
      <c r="K655" t="s">
        <v>36</v>
      </c>
      <c r="L655">
        <v>3</v>
      </c>
      <c r="M655" s="10">
        <v>0</v>
      </c>
      <c r="N655" s="11">
        <v>1050000</v>
      </c>
      <c r="O655" s="11">
        <v>630000</v>
      </c>
      <c r="P655" s="11">
        <v>420000</v>
      </c>
      <c r="Q655" t="s">
        <v>52</v>
      </c>
      <c r="R655" t="b">
        <f>COUNTIF($A$6     : CleanedSalesData[[#This Row],[Order ID]], CleanedSalesData[[#This Row],[Order ID]])&gt;1</f>
        <v>0</v>
      </c>
      <c r="S655" t="b">
        <f>IF(ISBLANK(CleanedSalesData[[#This Row],[Quantity]]), TRUE, FALSE)</f>
        <v>0</v>
      </c>
      <c r="T655" t="b">
        <f>IF(ISBLANK(CleanedSalesData[[#This Row],[Order Date]]), TRUE, FALSE)</f>
        <v>0</v>
      </c>
      <c r="U655" t="b">
        <f>IF(ISBLANK(CleanedSalesData[[#This Row],[Revenue]]), TRUE, FALSE)</f>
        <v>0</v>
      </c>
      <c r="V655" t="b">
        <f>IF(OR(CleanedSalesData[[#This Row],[Order Status]]="Cancelled", CleanedSalesData[[#This Row],[Order Status]]="Returned"), TRUE, FALSE)</f>
        <v>0</v>
      </c>
      <c r="W655" t="str" cm="1">
        <f t="array" ref="W65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6" spans="1:23" x14ac:dyDescent="0.35">
      <c r="A656" t="s">
        <v>812</v>
      </c>
      <c r="B656" s="7">
        <v>46190</v>
      </c>
      <c r="C656" t="s">
        <v>945</v>
      </c>
      <c r="D656">
        <v>6</v>
      </c>
      <c r="E656" t="s">
        <v>69</v>
      </c>
      <c r="F656" t="s">
        <v>70</v>
      </c>
      <c r="G656" t="s">
        <v>81</v>
      </c>
      <c r="H656" t="s">
        <v>33</v>
      </c>
      <c r="I656" t="s">
        <v>34</v>
      </c>
      <c r="J656" t="s">
        <v>35</v>
      </c>
      <c r="K656" t="s">
        <v>36</v>
      </c>
      <c r="L656">
        <v>1</v>
      </c>
      <c r="M656" s="10">
        <v>0</v>
      </c>
      <c r="N656" s="11">
        <v>475000</v>
      </c>
      <c r="O656" s="11">
        <v>285000</v>
      </c>
      <c r="P656" s="11">
        <v>190000</v>
      </c>
      <c r="Q656" t="s">
        <v>74</v>
      </c>
      <c r="R656" t="b">
        <f>COUNTIF($A$6     : CleanedSalesData[[#This Row],[Order ID]], CleanedSalesData[[#This Row],[Order ID]])&gt;1</f>
        <v>0</v>
      </c>
      <c r="S656" t="b">
        <f>IF(ISBLANK(CleanedSalesData[[#This Row],[Quantity]]), TRUE, FALSE)</f>
        <v>0</v>
      </c>
      <c r="T656" t="b">
        <f>IF(ISBLANK(CleanedSalesData[[#This Row],[Order Date]]), TRUE, FALSE)</f>
        <v>0</v>
      </c>
      <c r="U656" t="b">
        <f>IF(ISBLANK(CleanedSalesData[[#This Row],[Revenue]]), TRUE, FALSE)</f>
        <v>0</v>
      </c>
      <c r="V656" t="b">
        <f>IF(OR(CleanedSalesData[[#This Row],[Order Status]]="Cancelled", CleanedSalesData[[#This Row],[Order Status]]="Returned"), TRUE, FALSE)</f>
        <v>0</v>
      </c>
      <c r="W656" t="str" cm="1">
        <f t="array" ref="W65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57" spans="1:23" x14ac:dyDescent="0.35">
      <c r="A657" t="s">
        <v>813</v>
      </c>
      <c r="B657" s="7">
        <v>46097</v>
      </c>
      <c r="C657" t="s">
        <v>947</v>
      </c>
      <c r="D657">
        <v>3</v>
      </c>
      <c r="E657" t="s">
        <v>111</v>
      </c>
      <c r="F657" t="s">
        <v>40</v>
      </c>
      <c r="G657" t="s">
        <v>81</v>
      </c>
      <c r="H657" t="s">
        <v>77</v>
      </c>
      <c r="I657" t="s">
        <v>42</v>
      </c>
      <c r="J657" t="s">
        <v>43</v>
      </c>
      <c r="K657" t="s">
        <v>44</v>
      </c>
      <c r="L657">
        <v>7</v>
      </c>
      <c r="M657" s="10">
        <v>0.03</v>
      </c>
      <c r="N657" s="11">
        <v>933625</v>
      </c>
      <c r="O657" s="11">
        <v>1085000</v>
      </c>
      <c r="P657" s="11">
        <v>-151375</v>
      </c>
      <c r="Q657" t="s">
        <v>37</v>
      </c>
      <c r="R657" t="b">
        <f>COUNTIF($A$6     : CleanedSalesData[[#This Row],[Order ID]], CleanedSalesData[[#This Row],[Order ID]])&gt;1</f>
        <v>0</v>
      </c>
      <c r="S657" t="b">
        <f>IF(ISBLANK(CleanedSalesData[[#This Row],[Quantity]]), TRUE, FALSE)</f>
        <v>0</v>
      </c>
      <c r="T657" t="b">
        <f>IF(ISBLANK(CleanedSalesData[[#This Row],[Order Date]]), TRUE, FALSE)</f>
        <v>0</v>
      </c>
      <c r="U657" t="b">
        <f>IF(ISBLANK(CleanedSalesData[[#This Row],[Revenue]]), TRUE, FALSE)</f>
        <v>0</v>
      </c>
      <c r="V657" t="b">
        <f>IF(OR(CleanedSalesData[[#This Row],[Order Status]]="Cancelled", CleanedSalesData[[#This Row],[Order Status]]="Returned"), TRUE, FALSE)</f>
        <v>1</v>
      </c>
      <c r="W657" t="str" cm="1">
        <f t="array" ref="W65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58" spans="1:23" x14ac:dyDescent="0.35">
      <c r="A658" t="s">
        <v>814</v>
      </c>
      <c r="B658" s="7">
        <v>46070</v>
      </c>
      <c r="C658" t="s">
        <v>944</v>
      </c>
      <c r="D658">
        <v>2</v>
      </c>
      <c r="E658" t="s">
        <v>39</v>
      </c>
      <c r="F658" t="s">
        <v>40</v>
      </c>
      <c r="G658" t="s">
        <v>41</v>
      </c>
      <c r="H658" t="s">
        <v>77</v>
      </c>
      <c r="I658" t="s">
        <v>49</v>
      </c>
      <c r="J658" t="s">
        <v>50</v>
      </c>
      <c r="K658" t="s">
        <v>51</v>
      </c>
      <c r="L658">
        <v>4</v>
      </c>
      <c r="M658" s="10">
        <v>0.1</v>
      </c>
      <c r="N658" s="11">
        <v>441000</v>
      </c>
      <c r="O658" s="11">
        <v>580000</v>
      </c>
      <c r="P658" s="11">
        <v>-139000</v>
      </c>
      <c r="Q658" t="s">
        <v>57</v>
      </c>
      <c r="R658" t="b">
        <f>COUNTIF($A$6     : CleanedSalesData[[#This Row],[Order ID]], CleanedSalesData[[#This Row],[Order ID]])&gt;1</f>
        <v>0</v>
      </c>
      <c r="S658" t="b">
        <f>IF(ISBLANK(CleanedSalesData[[#This Row],[Quantity]]), TRUE, FALSE)</f>
        <v>0</v>
      </c>
      <c r="T658" t="b">
        <f>IF(ISBLANK(CleanedSalesData[[#This Row],[Order Date]]), TRUE, FALSE)</f>
        <v>0</v>
      </c>
      <c r="U658" t="b">
        <f>IF(ISBLANK(CleanedSalesData[[#This Row],[Revenue]]), TRUE, FALSE)</f>
        <v>0</v>
      </c>
      <c r="V658" t="b">
        <f>IF(OR(CleanedSalesData[[#This Row],[Order Status]]="Cancelled", CleanedSalesData[[#This Row],[Order Status]]="Returned"), TRUE, FALSE)</f>
        <v>1</v>
      </c>
      <c r="W658" t="str" cm="1">
        <f t="array" ref="W65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59" spans="1:23" x14ac:dyDescent="0.35">
      <c r="A659" t="s">
        <v>815</v>
      </c>
      <c r="B659" s="7">
        <v>46108</v>
      </c>
      <c r="C659" t="s">
        <v>947</v>
      </c>
      <c r="D659">
        <v>3</v>
      </c>
      <c r="E659" t="s">
        <v>54</v>
      </c>
      <c r="F659" t="s">
        <v>40</v>
      </c>
      <c r="G659" t="s">
        <v>81</v>
      </c>
      <c r="H659" t="s">
        <v>33</v>
      </c>
      <c r="I659" t="s">
        <v>55</v>
      </c>
      <c r="J659" t="s">
        <v>56</v>
      </c>
      <c r="K659" t="s">
        <v>36</v>
      </c>
      <c r="L659">
        <v>8</v>
      </c>
      <c r="M659" s="10">
        <v>0.08</v>
      </c>
      <c r="N659" s="11">
        <v>13616000</v>
      </c>
      <c r="O659" s="11">
        <v>10560000</v>
      </c>
      <c r="P659" s="11">
        <v>3056000</v>
      </c>
      <c r="Q659" t="s">
        <v>63</v>
      </c>
      <c r="R659" t="b">
        <f>COUNTIF($A$6     : CleanedSalesData[[#This Row],[Order ID]], CleanedSalesData[[#This Row],[Order ID]])&gt;1</f>
        <v>0</v>
      </c>
      <c r="S659" t="b">
        <f>IF(ISBLANK(CleanedSalesData[[#This Row],[Quantity]]), TRUE, FALSE)</f>
        <v>0</v>
      </c>
      <c r="T659" t="b">
        <f>IF(ISBLANK(CleanedSalesData[[#This Row],[Order Date]]), TRUE, FALSE)</f>
        <v>0</v>
      </c>
      <c r="U659" t="b">
        <f>IF(ISBLANK(CleanedSalesData[[#This Row],[Revenue]]), TRUE, FALSE)</f>
        <v>0</v>
      </c>
      <c r="V659" t="b">
        <f>IF(OR(CleanedSalesData[[#This Row],[Order Status]]="Cancelled", CleanedSalesData[[#This Row],[Order Status]]="Returned"), TRUE, FALSE)</f>
        <v>0</v>
      </c>
      <c r="W659" t="str" cm="1">
        <f t="array" ref="W65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0" spans="1:23" x14ac:dyDescent="0.35">
      <c r="A660" t="s">
        <v>816</v>
      </c>
      <c r="B660" s="7">
        <v>46183</v>
      </c>
      <c r="C660" t="s">
        <v>945</v>
      </c>
      <c r="D660">
        <v>6</v>
      </c>
      <c r="E660" t="s">
        <v>76</v>
      </c>
      <c r="F660" t="s">
        <v>70</v>
      </c>
      <c r="G660" t="s">
        <v>41</v>
      </c>
      <c r="H660" t="s">
        <v>77</v>
      </c>
      <c r="I660" t="s">
        <v>60</v>
      </c>
      <c r="J660" t="s">
        <v>61</v>
      </c>
      <c r="K660" t="s">
        <v>62</v>
      </c>
      <c r="L660">
        <v>5</v>
      </c>
      <c r="M660" s="10">
        <v>0.03</v>
      </c>
      <c r="N660" s="11">
        <v>157625</v>
      </c>
      <c r="O660" s="11">
        <v>155000</v>
      </c>
      <c r="P660" s="11">
        <v>2625</v>
      </c>
      <c r="Q660" t="s">
        <v>93</v>
      </c>
      <c r="R660" t="b">
        <f>COUNTIF($A$6     : CleanedSalesData[[#This Row],[Order ID]], CleanedSalesData[[#This Row],[Order ID]])&gt;1</f>
        <v>0</v>
      </c>
      <c r="S660" t="b">
        <f>IF(ISBLANK(CleanedSalesData[[#This Row],[Quantity]]), TRUE, FALSE)</f>
        <v>0</v>
      </c>
      <c r="T660" t="b">
        <f>IF(ISBLANK(CleanedSalesData[[#This Row],[Order Date]]), TRUE, FALSE)</f>
        <v>0</v>
      </c>
      <c r="U660" t="b">
        <f>IF(ISBLANK(CleanedSalesData[[#This Row],[Revenue]]), TRUE, FALSE)</f>
        <v>0</v>
      </c>
      <c r="V660" t="b">
        <f>IF(OR(CleanedSalesData[[#This Row],[Order Status]]="Cancelled", CleanedSalesData[[#This Row],[Order Status]]="Returned"), TRUE, FALSE)</f>
        <v>1</v>
      </c>
      <c r="W660" t="str" cm="1">
        <f t="array" ref="W66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61" spans="1:23" x14ac:dyDescent="0.35">
      <c r="A661" t="s">
        <v>817</v>
      </c>
      <c r="B661" s="7">
        <v>46030</v>
      </c>
      <c r="C661" t="s">
        <v>948</v>
      </c>
      <c r="D661">
        <v>1</v>
      </c>
      <c r="E661" t="s">
        <v>69</v>
      </c>
      <c r="F661" t="s">
        <v>59</v>
      </c>
      <c r="G661" t="s">
        <v>32</v>
      </c>
      <c r="H661" t="s">
        <v>33</v>
      </c>
      <c r="I661" t="s">
        <v>66</v>
      </c>
      <c r="J661" t="s">
        <v>67</v>
      </c>
      <c r="K661" t="s">
        <v>51</v>
      </c>
      <c r="L661">
        <v>5</v>
      </c>
      <c r="M661" s="10">
        <v>0.03</v>
      </c>
      <c r="N661" s="11">
        <v>1503500</v>
      </c>
      <c r="O661" s="11">
        <v>950000</v>
      </c>
      <c r="P661" s="11">
        <v>553500</v>
      </c>
      <c r="Q661" t="s">
        <v>93</v>
      </c>
      <c r="R661" t="b">
        <f>COUNTIF($A$6     : CleanedSalesData[[#This Row],[Order ID]], CleanedSalesData[[#This Row],[Order ID]])&gt;1</f>
        <v>0</v>
      </c>
      <c r="S661" t="b">
        <f>IF(ISBLANK(CleanedSalesData[[#This Row],[Quantity]]), TRUE, FALSE)</f>
        <v>0</v>
      </c>
      <c r="T661" t="b">
        <f>IF(ISBLANK(CleanedSalesData[[#This Row],[Order Date]]), TRUE, FALSE)</f>
        <v>0</v>
      </c>
      <c r="U661" t="b">
        <f>IF(ISBLANK(CleanedSalesData[[#This Row],[Revenue]]), TRUE, FALSE)</f>
        <v>0</v>
      </c>
      <c r="V661" t="b">
        <f>IF(OR(CleanedSalesData[[#This Row],[Order Status]]="Cancelled", CleanedSalesData[[#This Row],[Order Status]]="Returned"), TRUE, FALSE)</f>
        <v>0</v>
      </c>
      <c r="W661" t="str" cm="1">
        <f t="array" ref="W66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2" spans="1:23" x14ac:dyDescent="0.35">
      <c r="A662" t="s">
        <v>819</v>
      </c>
      <c r="B662" s="7">
        <v>46156</v>
      </c>
      <c r="C662" t="s">
        <v>946</v>
      </c>
      <c r="D662">
        <v>5</v>
      </c>
      <c r="E662" t="s">
        <v>76</v>
      </c>
      <c r="F662" t="s">
        <v>31</v>
      </c>
      <c r="G662" t="s">
        <v>48</v>
      </c>
      <c r="H662" t="s">
        <v>33</v>
      </c>
      <c r="I662" t="s">
        <v>71</v>
      </c>
      <c r="J662" t="s">
        <v>72</v>
      </c>
      <c r="K662" t="s">
        <v>73</v>
      </c>
      <c r="L662">
        <v>4</v>
      </c>
      <c r="M662" s="10">
        <v>0.08</v>
      </c>
      <c r="N662" s="11">
        <v>460000</v>
      </c>
      <c r="O662" s="11">
        <v>280000</v>
      </c>
      <c r="P662" s="11">
        <v>180000</v>
      </c>
      <c r="Q662" t="s">
        <v>63</v>
      </c>
      <c r="R662" t="b">
        <f>COUNTIF($A$6     : CleanedSalesData[[#This Row],[Order ID]], CleanedSalesData[[#This Row],[Order ID]])&gt;1</f>
        <v>0</v>
      </c>
      <c r="S662" t="b">
        <f>IF(ISBLANK(CleanedSalesData[[#This Row],[Quantity]]), TRUE, FALSE)</f>
        <v>0</v>
      </c>
      <c r="T662" t="b">
        <f>IF(ISBLANK(CleanedSalesData[[#This Row],[Order Date]]), TRUE, FALSE)</f>
        <v>0</v>
      </c>
      <c r="U662" t="b">
        <f>IF(ISBLANK(CleanedSalesData[[#This Row],[Revenue]]), TRUE, FALSE)</f>
        <v>0</v>
      </c>
      <c r="V662" t="b">
        <f>IF(OR(CleanedSalesData[[#This Row],[Order Status]]="Cancelled", CleanedSalesData[[#This Row],[Order Status]]="Returned"), TRUE, FALSE)</f>
        <v>0</v>
      </c>
      <c r="W662" t="str" cm="1">
        <f t="array" ref="W66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3" spans="1:23" x14ac:dyDescent="0.35">
      <c r="A663" t="s">
        <v>820</v>
      </c>
      <c r="B663" s="7">
        <v>46137</v>
      </c>
      <c r="C663" t="s">
        <v>949</v>
      </c>
      <c r="D663">
        <v>4</v>
      </c>
      <c r="E663" t="s">
        <v>30</v>
      </c>
      <c r="F663" t="s">
        <v>47</v>
      </c>
      <c r="G663" t="s">
        <v>32</v>
      </c>
      <c r="H663" t="s">
        <v>33</v>
      </c>
      <c r="I663" t="s">
        <v>78</v>
      </c>
      <c r="J663" t="s">
        <v>79</v>
      </c>
      <c r="K663" t="s">
        <v>62</v>
      </c>
      <c r="L663">
        <v>3</v>
      </c>
      <c r="M663" s="10">
        <v>0.03</v>
      </c>
      <c r="N663" s="11">
        <v>247350</v>
      </c>
      <c r="O663" s="11">
        <v>129000</v>
      </c>
      <c r="P663" s="11">
        <v>118350</v>
      </c>
      <c r="Q663" t="s">
        <v>57</v>
      </c>
      <c r="R663" t="b">
        <f>COUNTIF($A$6     : CleanedSalesData[[#This Row],[Order ID]], CleanedSalesData[[#This Row],[Order ID]])&gt;1</f>
        <v>0</v>
      </c>
      <c r="S663" t="b">
        <f>IF(ISBLANK(CleanedSalesData[[#This Row],[Quantity]]), TRUE, FALSE)</f>
        <v>0</v>
      </c>
      <c r="T663" t="b">
        <f>IF(ISBLANK(CleanedSalesData[[#This Row],[Order Date]]), TRUE, FALSE)</f>
        <v>0</v>
      </c>
      <c r="U663" t="b">
        <f>IF(ISBLANK(CleanedSalesData[[#This Row],[Revenue]]), TRUE, FALSE)</f>
        <v>0</v>
      </c>
      <c r="V663" t="b">
        <f>IF(OR(CleanedSalesData[[#This Row],[Order Status]]="Cancelled", CleanedSalesData[[#This Row],[Order Status]]="Returned"), TRUE, FALSE)</f>
        <v>0</v>
      </c>
      <c r="W663" t="str" cm="1">
        <f t="array" ref="W66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4" spans="1:23" x14ac:dyDescent="0.35">
      <c r="A664" t="s">
        <v>822</v>
      </c>
      <c r="B664" s="7">
        <v>46199</v>
      </c>
      <c r="C664" t="s">
        <v>945</v>
      </c>
      <c r="D664">
        <v>6</v>
      </c>
      <c r="E664" t="s">
        <v>54</v>
      </c>
      <c r="F664" t="s">
        <v>47</v>
      </c>
      <c r="G664" t="s">
        <v>32</v>
      </c>
      <c r="H664" t="s">
        <v>77</v>
      </c>
      <c r="I664" t="s">
        <v>82</v>
      </c>
      <c r="J664" t="s">
        <v>83</v>
      </c>
      <c r="K664" t="s">
        <v>44</v>
      </c>
      <c r="L664">
        <v>3</v>
      </c>
      <c r="M664" s="10">
        <v>0.08</v>
      </c>
      <c r="N664" s="11">
        <v>0</v>
      </c>
      <c r="O664" s="11">
        <v>2940000</v>
      </c>
      <c r="P664" s="11">
        <v>-2940000</v>
      </c>
      <c r="Q664" t="s">
        <v>37</v>
      </c>
      <c r="R664" t="b">
        <f>COUNTIF($A$6     : CleanedSalesData[[#This Row],[Order ID]], CleanedSalesData[[#This Row],[Order ID]])&gt;1</f>
        <v>0</v>
      </c>
      <c r="S664" t="b">
        <f>IF(ISBLANK(CleanedSalesData[[#This Row],[Quantity]]), TRUE, FALSE)</f>
        <v>0</v>
      </c>
      <c r="T664" t="b">
        <f>IF(ISBLANK(CleanedSalesData[[#This Row],[Order Date]]), TRUE, FALSE)</f>
        <v>0</v>
      </c>
      <c r="U664" t="b">
        <f>IF(ISBLANK(CleanedSalesData[[#This Row],[Revenue]]), TRUE, FALSE)</f>
        <v>0</v>
      </c>
      <c r="V664" t="b">
        <f>IF(OR(CleanedSalesData[[#This Row],[Order Status]]="Cancelled", CleanedSalesData[[#This Row],[Order Status]]="Returned"), TRUE, FALSE)</f>
        <v>1</v>
      </c>
      <c r="W664" t="str" cm="1">
        <f t="array" ref="W66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65" spans="1:23" x14ac:dyDescent="0.35">
      <c r="A665" t="s">
        <v>823</v>
      </c>
      <c r="B665" s="7">
        <v>46165</v>
      </c>
      <c r="C665" t="s">
        <v>946</v>
      </c>
      <c r="D665">
        <v>5</v>
      </c>
      <c r="E665" t="s">
        <v>54</v>
      </c>
      <c r="F665" t="s">
        <v>31</v>
      </c>
      <c r="G665" t="s">
        <v>41</v>
      </c>
      <c r="H665" t="s">
        <v>33</v>
      </c>
      <c r="I665" t="s">
        <v>86</v>
      </c>
      <c r="J665" t="s">
        <v>87</v>
      </c>
      <c r="K665" t="s">
        <v>36</v>
      </c>
      <c r="L665">
        <v>2</v>
      </c>
      <c r="M665" s="10">
        <v>0.03</v>
      </c>
      <c r="N665" s="11">
        <v>679000</v>
      </c>
      <c r="O665" s="11">
        <v>420000</v>
      </c>
      <c r="P665" s="11">
        <v>259000</v>
      </c>
      <c r="Q665" t="s">
        <v>93</v>
      </c>
      <c r="R665" t="b">
        <f>COUNTIF($A$6     : CleanedSalesData[[#This Row],[Order ID]], CleanedSalesData[[#This Row],[Order ID]])&gt;1</f>
        <v>0</v>
      </c>
      <c r="S665" t="b">
        <f>IF(ISBLANK(CleanedSalesData[[#This Row],[Quantity]]), TRUE, FALSE)</f>
        <v>0</v>
      </c>
      <c r="T665" t="b">
        <f>IF(ISBLANK(CleanedSalesData[[#This Row],[Order Date]]), TRUE, FALSE)</f>
        <v>0</v>
      </c>
      <c r="U665" t="b">
        <f>IF(ISBLANK(CleanedSalesData[[#This Row],[Revenue]]), TRUE, FALSE)</f>
        <v>0</v>
      </c>
      <c r="V665" t="b">
        <f>IF(OR(CleanedSalesData[[#This Row],[Order Status]]="Cancelled", CleanedSalesData[[#This Row],[Order Status]]="Returned"), TRUE, FALSE)</f>
        <v>0</v>
      </c>
      <c r="W665" t="str" cm="1">
        <f t="array" ref="W66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6" spans="1:23" x14ac:dyDescent="0.35">
      <c r="A666" t="s">
        <v>824</v>
      </c>
      <c r="B666" s="7">
        <v>46128</v>
      </c>
      <c r="C666" t="s">
        <v>949</v>
      </c>
      <c r="D666">
        <v>4</v>
      </c>
      <c r="E666" t="s">
        <v>39</v>
      </c>
      <c r="F666" t="s">
        <v>70</v>
      </c>
      <c r="G666" t="s">
        <v>32</v>
      </c>
      <c r="H666" t="s">
        <v>33</v>
      </c>
      <c r="I666" t="s">
        <v>34</v>
      </c>
      <c r="J666" t="s">
        <v>35</v>
      </c>
      <c r="K666" t="s">
        <v>36</v>
      </c>
      <c r="L666">
        <v>5</v>
      </c>
      <c r="M666" s="10">
        <v>0.08</v>
      </c>
      <c r="N666" s="11">
        <v>2185000</v>
      </c>
      <c r="O666" s="11">
        <v>1425000</v>
      </c>
      <c r="P666" s="11">
        <v>760000</v>
      </c>
      <c r="Q666" t="s">
        <v>37</v>
      </c>
      <c r="R666" t="b">
        <f>COUNTIF($A$6     : CleanedSalesData[[#This Row],[Order ID]], CleanedSalesData[[#This Row],[Order ID]])&gt;1</f>
        <v>0</v>
      </c>
      <c r="S666" t="b">
        <f>IF(ISBLANK(CleanedSalesData[[#This Row],[Quantity]]), TRUE, FALSE)</f>
        <v>0</v>
      </c>
      <c r="T666" t="b">
        <f>IF(ISBLANK(CleanedSalesData[[#This Row],[Order Date]]), TRUE, FALSE)</f>
        <v>0</v>
      </c>
      <c r="U666" t="b">
        <f>IF(ISBLANK(CleanedSalesData[[#This Row],[Revenue]]), TRUE, FALSE)</f>
        <v>0</v>
      </c>
      <c r="V666" t="b">
        <f>IF(OR(CleanedSalesData[[#This Row],[Order Status]]="Cancelled", CleanedSalesData[[#This Row],[Order Status]]="Returned"), TRUE, FALSE)</f>
        <v>0</v>
      </c>
      <c r="W666" t="str" cm="1">
        <f t="array" ref="W66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7" spans="1:23" x14ac:dyDescent="0.35">
      <c r="A667" t="s">
        <v>825</v>
      </c>
      <c r="B667" s="7">
        <v>46056</v>
      </c>
      <c r="C667" t="s">
        <v>944</v>
      </c>
      <c r="D667">
        <v>2</v>
      </c>
      <c r="E667" t="s">
        <v>39</v>
      </c>
      <c r="F667" t="s">
        <v>47</v>
      </c>
      <c r="G667" t="s">
        <v>81</v>
      </c>
      <c r="H667" t="s">
        <v>33</v>
      </c>
      <c r="I667" t="s">
        <v>42</v>
      </c>
      <c r="J667" t="s">
        <v>43</v>
      </c>
      <c r="K667" t="s">
        <v>44</v>
      </c>
      <c r="L667">
        <v>3</v>
      </c>
      <c r="M667" s="10">
        <v>0</v>
      </c>
      <c r="N667" s="11">
        <v>825000</v>
      </c>
      <c r="O667" s="11">
        <v>465000</v>
      </c>
      <c r="P667" s="11">
        <v>360000</v>
      </c>
      <c r="Q667" t="s">
        <v>45</v>
      </c>
      <c r="R667" t="b">
        <f>COUNTIF($A$6     : CleanedSalesData[[#This Row],[Order ID]], CleanedSalesData[[#This Row],[Order ID]])&gt;1</f>
        <v>0</v>
      </c>
      <c r="S667" t="b">
        <f>IF(ISBLANK(CleanedSalesData[[#This Row],[Quantity]]), TRUE, FALSE)</f>
        <v>0</v>
      </c>
      <c r="T667" t="b">
        <f>IF(ISBLANK(CleanedSalesData[[#This Row],[Order Date]]), TRUE, FALSE)</f>
        <v>0</v>
      </c>
      <c r="U667" t="b">
        <f>IF(ISBLANK(CleanedSalesData[[#This Row],[Revenue]]), TRUE, FALSE)</f>
        <v>0</v>
      </c>
      <c r="V667" t="b">
        <f>IF(OR(CleanedSalesData[[#This Row],[Order Status]]="Cancelled", CleanedSalesData[[#This Row],[Order Status]]="Returned"), TRUE, FALSE)</f>
        <v>0</v>
      </c>
      <c r="W667" t="str" cm="1">
        <f t="array" ref="W66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8" spans="1:23" x14ac:dyDescent="0.35">
      <c r="A668" t="s">
        <v>826</v>
      </c>
      <c r="B668" s="7">
        <v>46082</v>
      </c>
      <c r="C668" t="s">
        <v>947</v>
      </c>
      <c r="D668">
        <v>3</v>
      </c>
      <c r="E668" t="s">
        <v>111</v>
      </c>
      <c r="F668" t="s">
        <v>59</v>
      </c>
      <c r="G668" t="s">
        <v>32</v>
      </c>
      <c r="H668" t="s">
        <v>33</v>
      </c>
      <c r="I668" t="s">
        <v>49</v>
      </c>
      <c r="J668" t="s">
        <v>50</v>
      </c>
      <c r="K668" t="s">
        <v>51</v>
      </c>
      <c r="L668">
        <v>1</v>
      </c>
      <c r="M668" s="10">
        <v>0.05</v>
      </c>
      <c r="N668" s="11">
        <v>232750</v>
      </c>
      <c r="O668" s="11">
        <v>145000</v>
      </c>
      <c r="P668" s="11">
        <v>87750</v>
      </c>
      <c r="Q668" t="s">
        <v>63</v>
      </c>
      <c r="R668" t="b">
        <f>COUNTIF($A$6     : CleanedSalesData[[#This Row],[Order ID]], CleanedSalesData[[#This Row],[Order ID]])&gt;1</f>
        <v>0</v>
      </c>
      <c r="S668" t="b">
        <f>IF(ISBLANK(CleanedSalesData[[#This Row],[Quantity]]), TRUE, FALSE)</f>
        <v>0</v>
      </c>
      <c r="T668" t="b">
        <f>IF(ISBLANK(CleanedSalesData[[#This Row],[Order Date]]), TRUE, FALSE)</f>
        <v>0</v>
      </c>
      <c r="U668" t="b">
        <f>IF(ISBLANK(CleanedSalesData[[#This Row],[Revenue]]), TRUE, FALSE)</f>
        <v>0</v>
      </c>
      <c r="V668" t="b">
        <f>IF(OR(CleanedSalesData[[#This Row],[Order Status]]="Cancelled", CleanedSalesData[[#This Row],[Order Status]]="Returned"), TRUE, FALSE)</f>
        <v>0</v>
      </c>
      <c r="W668" t="str" cm="1">
        <f t="array" ref="W66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69" spans="1:23" x14ac:dyDescent="0.35">
      <c r="A669" t="s">
        <v>827</v>
      </c>
      <c r="E669" t="s">
        <v>39</v>
      </c>
      <c r="F669" t="s">
        <v>31</v>
      </c>
      <c r="G669" t="s">
        <v>32</v>
      </c>
      <c r="H669" t="s">
        <v>33</v>
      </c>
      <c r="I669" t="s">
        <v>55</v>
      </c>
      <c r="J669" t="s">
        <v>56</v>
      </c>
      <c r="K669" t="s">
        <v>36</v>
      </c>
      <c r="L669">
        <v>7</v>
      </c>
      <c r="M669" s="10">
        <v>0.08</v>
      </c>
      <c r="N669" s="11">
        <v>11914000</v>
      </c>
      <c r="O669" s="11">
        <v>9240000</v>
      </c>
      <c r="P669" s="11">
        <v>2674000</v>
      </c>
      <c r="Q669" t="s">
        <v>74</v>
      </c>
      <c r="R669" t="b">
        <f>COUNTIF($A$6     : CleanedSalesData[[#This Row],[Order ID]], CleanedSalesData[[#This Row],[Order ID]])&gt;1</f>
        <v>0</v>
      </c>
      <c r="S669" t="b">
        <f>IF(ISBLANK(CleanedSalesData[[#This Row],[Quantity]]), TRUE, FALSE)</f>
        <v>0</v>
      </c>
      <c r="T669" t="b">
        <f>IF(ISBLANK(CleanedSalesData[[#This Row],[Order Date]]), TRUE, FALSE)</f>
        <v>1</v>
      </c>
      <c r="U669" t="b">
        <f>IF(ISBLANK(CleanedSalesData[[#This Row],[Revenue]]), TRUE, FALSE)</f>
        <v>0</v>
      </c>
      <c r="V669" t="b">
        <f>IF(OR(CleanedSalesData[[#This Row],[Order Status]]="Cancelled", CleanedSalesData[[#This Row],[Order Status]]="Returned"), TRUE, FALSE)</f>
        <v>0</v>
      </c>
      <c r="W669" t="str" cm="1">
        <f t="array" ref="W66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Date</v>
      </c>
    </row>
    <row r="670" spans="1:23" x14ac:dyDescent="0.35">
      <c r="A670" t="s">
        <v>828</v>
      </c>
      <c r="B670" s="7">
        <v>46127</v>
      </c>
      <c r="C670" t="s">
        <v>949</v>
      </c>
      <c r="D670">
        <v>4</v>
      </c>
      <c r="E670" t="s">
        <v>69</v>
      </c>
      <c r="F670" t="s">
        <v>31</v>
      </c>
      <c r="G670" t="s">
        <v>32</v>
      </c>
      <c r="H670" t="s">
        <v>112</v>
      </c>
      <c r="I670" t="s">
        <v>60</v>
      </c>
      <c r="J670" t="s">
        <v>61</v>
      </c>
      <c r="K670" t="s">
        <v>62</v>
      </c>
      <c r="L670">
        <v>1</v>
      </c>
      <c r="M670" s="10">
        <v>0.05</v>
      </c>
      <c r="N670" s="11">
        <v>0</v>
      </c>
      <c r="O670" s="11">
        <v>31000</v>
      </c>
      <c r="P670" s="11">
        <v>-31000</v>
      </c>
      <c r="Q670" t="s">
        <v>84</v>
      </c>
      <c r="R670" t="b">
        <f>COUNTIF($A$6     : CleanedSalesData[[#This Row],[Order ID]], CleanedSalesData[[#This Row],[Order ID]])&gt;1</f>
        <v>0</v>
      </c>
      <c r="S670" t="b">
        <f>IF(ISBLANK(CleanedSalesData[[#This Row],[Quantity]]), TRUE, FALSE)</f>
        <v>0</v>
      </c>
      <c r="T670" t="b">
        <f>IF(ISBLANK(CleanedSalesData[[#This Row],[Order Date]]), TRUE, FALSE)</f>
        <v>0</v>
      </c>
      <c r="U670" t="b">
        <f>IF(ISBLANK(CleanedSalesData[[#This Row],[Revenue]]), TRUE, FALSE)</f>
        <v>0</v>
      </c>
      <c r="V670" t="b">
        <f>IF(OR(CleanedSalesData[[#This Row],[Order Status]]="Cancelled", CleanedSalesData[[#This Row],[Order Status]]="Returned"), TRUE, FALSE)</f>
        <v>1</v>
      </c>
      <c r="W670" t="str" cm="1">
        <f t="array" ref="W67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71" spans="1:23" x14ac:dyDescent="0.35">
      <c r="A671" t="s">
        <v>829</v>
      </c>
      <c r="B671" s="7">
        <v>46135</v>
      </c>
      <c r="C671" t="s">
        <v>949</v>
      </c>
      <c r="D671">
        <v>4</v>
      </c>
      <c r="E671" t="s">
        <v>65</v>
      </c>
      <c r="F671" t="s">
        <v>59</v>
      </c>
      <c r="G671" t="s">
        <v>32</v>
      </c>
      <c r="H671" t="s">
        <v>33</v>
      </c>
      <c r="I671" t="s">
        <v>66</v>
      </c>
      <c r="J671" t="s">
        <v>67</v>
      </c>
      <c r="K671" t="s">
        <v>51</v>
      </c>
      <c r="L671">
        <v>8</v>
      </c>
      <c r="M671" s="10">
        <v>0.15</v>
      </c>
      <c r="N671" s="11">
        <v>2108000</v>
      </c>
      <c r="O671" s="11">
        <v>1520000</v>
      </c>
      <c r="P671" s="11">
        <v>588000</v>
      </c>
      <c r="Q671" t="s">
        <v>93</v>
      </c>
      <c r="R671" t="b">
        <f>COUNTIF($A$6     : CleanedSalesData[[#This Row],[Order ID]], CleanedSalesData[[#This Row],[Order ID]])&gt;1</f>
        <v>0</v>
      </c>
      <c r="S671" t="b">
        <f>IF(ISBLANK(CleanedSalesData[[#This Row],[Quantity]]), TRUE, FALSE)</f>
        <v>0</v>
      </c>
      <c r="T671" t="b">
        <f>IF(ISBLANK(CleanedSalesData[[#This Row],[Order Date]]), TRUE, FALSE)</f>
        <v>0</v>
      </c>
      <c r="U671" t="b">
        <f>IF(ISBLANK(CleanedSalesData[[#This Row],[Revenue]]), TRUE, FALSE)</f>
        <v>0</v>
      </c>
      <c r="V671" t="b">
        <f>IF(OR(CleanedSalesData[[#This Row],[Order Status]]="Cancelled", CleanedSalesData[[#This Row],[Order Status]]="Returned"), TRUE, FALSE)</f>
        <v>0</v>
      </c>
      <c r="W671" t="str" cm="1">
        <f t="array" ref="W67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72" spans="1:23" x14ac:dyDescent="0.35">
      <c r="A672" t="s">
        <v>830</v>
      </c>
      <c r="B672" s="7">
        <v>46033</v>
      </c>
      <c r="C672" t="s">
        <v>948</v>
      </c>
      <c r="D672">
        <v>1</v>
      </c>
      <c r="E672" t="s">
        <v>69</v>
      </c>
      <c r="F672" t="s">
        <v>47</v>
      </c>
      <c r="G672" t="s">
        <v>41</v>
      </c>
      <c r="H672" t="s">
        <v>33</v>
      </c>
      <c r="I672" t="s">
        <v>71</v>
      </c>
      <c r="J672" t="s">
        <v>72</v>
      </c>
      <c r="K672" t="s">
        <v>73</v>
      </c>
      <c r="L672">
        <v>7</v>
      </c>
      <c r="M672" s="10">
        <v>0.15</v>
      </c>
      <c r="N672" s="11">
        <v>743750</v>
      </c>
      <c r="O672" s="11">
        <v>490000</v>
      </c>
      <c r="P672" s="11">
        <v>253750</v>
      </c>
      <c r="Q672" t="s">
        <v>52</v>
      </c>
      <c r="R672" t="b">
        <f>COUNTIF($A$6     : CleanedSalesData[[#This Row],[Order ID]], CleanedSalesData[[#This Row],[Order ID]])&gt;1</f>
        <v>0</v>
      </c>
      <c r="S672" t="b">
        <f>IF(ISBLANK(CleanedSalesData[[#This Row],[Quantity]]), TRUE, FALSE)</f>
        <v>0</v>
      </c>
      <c r="T672" t="b">
        <f>IF(ISBLANK(CleanedSalesData[[#This Row],[Order Date]]), TRUE, FALSE)</f>
        <v>0</v>
      </c>
      <c r="U672" t="b">
        <f>IF(ISBLANK(CleanedSalesData[[#This Row],[Revenue]]), TRUE, FALSE)</f>
        <v>0</v>
      </c>
      <c r="V672" t="b">
        <f>IF(OR(CleanedSalesData[[#This Row],[Order Status]]="Cancelled", CleanedSalesData[[#This Row],[Order Status]]="Returned"), TRUE, FALSE)</f>
        <v>0</v>
      </c>
      <c r="W672" t="str" cm="1">
        <f t="array" ref="W67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73" spans="1:23" x14ac:dyDescent="0.35">
      <c r="A673" t="s">
        <v>831</v>
      </c>
      <c r="B673" s="7">
        <v>46139</v>
      </c>
      <c r="C673" t="s">
        <v>949</v>
      </c>
      <c r="D673">
        <v>4</v>
      </c>
      <c r="E673" t="s">
        <v>65</v>
      </c>
      <c r="F673" t="s">
        <v>59</v>
      </c>
      <c r="G673" t="s">
        <v>41</v>
      </c>
      <c r="H673" t="s">
        <v>33</v>
      </c>
      <c r="I673" t="s">
        <v>78</v>
      </c>
      <c r="J673" t="s">
        <v>79</v>
      </c>
      <c r="K673" t="s">
        <v>62</v>
      </c>
      <c r="L673">
        <v>1</v>
      </c>
      <c r="M673" s="10">
        <v>0.03</v>
      </c>
      <c r="N673" s="11">
        <v>82450</v>
      </c>
      <c r="O673" s="11">
        <v>43000</v>
      </c>
      <c r="P673" s="11">
        <v>39450</v>
      </c>
      <c r="Q673" t="s">
        <v>74</v>
      </c>
      <c r="R673" t="b">
        <f>COUNTIF($A$6     : CleanedSalesData[[#This Row],[Order ID]], CleanedSalesData[[#This Row],[Order ID]])&gt;1</f>
        <v>0</v>
      </c>
      <c r="S673" t="b">
        <f>IF(ISBLANK(CleanedSalesData[[#This Row],[Quantity]]), TRUE, FALSE)</f>
        <v>0</v>
      </c>
      <c r="T673" t="b">
        <f>IF(ISBLANK(CleanedSalesData[[#This Row],[Order Date]]), TRUE, FALSE)</f>
        <v>0</v>
      </c>
      <c r="U673" t="b">
        <f>IF(ISBLANK(CleanedSalesData[[#This Row],[Revenue]]), TRUE, FALSE)</f>
        <v>0</v>
      </c>
      <c r="V673" t="b">
        <f>IF(OR(CleanedSalesData[[#This Row],[Order Status]]="Cancelled", CleanedSalesData[[#This Row],[Order Status]]="Returned"), TRUE, FALSE)</f>
        <v>0</v>
      </c>
      <c r="W673" t="str" cm="1">
        <f t="array" ref="W67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74" spans="1:23" x14ac:dyDescent="0.35">
      <c r="A674" t="s">
        <v>832</v>
      </c>
      <c r="B674" s="7">
        <v>46071</v>
      </c>
      <c r="C674" t="s">
        <v>944</v>
      </c>
      <c r="D674">
        <v>2</v>
      </c>
      <c r="E674" t="s">
        <v>111</v>
      </c>
      <c r="F674" t="s">
        <v>70</v>
      </c>
      <c r="G674" t="s">
        <v>81</v>
      </c>
      <c r="H674" t="s">
        <v>33</v>
      </c>
      <c r="I674" t="s">
        <v>82</v>
      </c>
      <c r="J674" t="s">
        <v>83</v>
      </c>
      <c r="K674" t="s">
        <v>44</v>
      </c>
      <c r="L674">
        <v>5</v>
      </c>
      <c r="M674" s="10">
        <v>0.08</v>
      </c>
      <c r="N674" s="11">
        <v>6670000</v>
      </c>
      <c r="O674" s="11">
        <v>4900000</v>
      </c>
      <c r="P674" s="11">
        <v>1770000</v>
      </c>
      <c r="Q674" t="s">
        <v>84</v>
      </c>
      <c r="R674" t="b">
        <f>COUNTIF($A$6     : CleanedSalesData[[#This Row],[Order ID]], CleanedSalesData[[#This Row],[Order ID]])&gt;1</f>
        <v>0</v>
      </c>
      <c r="S674" t="b">
        <f>IF(ISBLANK(CleanedSalesData[[#This Row],[Quantity]]), TRUE, FALSE)</f>
        <v>0</v>
      </c>
      <c r="T674" t="b">
        <f>IF(ISBLANK(CleanedSalesData[[#This Row],[Order Date]]), TRUE, FALSE)</f>
        <v>0</v>
      </c>
      <c r="U674" t="b">
        <f>IF(ISBLANK(CleanedSalesData[[#This Row],[Revenue]]), TRUE, FALSE)</f>
        <v>0</v>
      </c>
      <c r="V674" t="b">
        <f>IF(OR(CleanedSalesData[[#This Row],[Order Status]]="Cancelled", CleanedSalesData[[#This Row],[Order Status]]="Returned"), TRUE, FALSE)</f>
        <v>0</v>
      </c>
      <c r="W674" t="str" cm="1">
        <f t="array" ref="W67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75" spans="1:23" x14ac:dyDescent="0.35">
      <c r="A675" t="s">
        <v>833</v>
      </c>
      <c r="B675" s="7">
        <v>46131</v>
      </c>
      <c r="C675" t="s">
        <v>949</v>
      </c>
      <c r="D675">
        <v>4</v>
      </c>
      <c r="E675" t="s">
        <v>111</v>
      </c>
      <c r="F675" t="s">
        <v>47</v>
      </c>
      <c r="G675" t="s">
        <v>32</v>
      </c>
      <c r="H675" t="s">
        <v>112</v>
      </c>
      <c r="I675" t="s">
        <v>86</v>
      </c>
      <c r="J675" t="s">
        <v>87</v>
      </c>
      <c r="K675" t="s">
        <v>36</v>
      </c>
      <c r="L675">
        <v>5</v>
      </c>
      <c r="M675" s="10">
        <v>0.1</v>
      </c>
      <c r="O675" s="11">
        <v>1050000</v>
      </c>
      <c r="P675" s="11">
        <v>-262500</v>
      </c>
      <c r="Q675" t="s">
        <v>52</v>
      </c>
      <c r="R675" t="b">
        <f>COUNTIF($A$6     : CleanedSalesData[[#This Row],[Order ID]], CleanedSalesData[[#This Row],[Order ID]])&gt;1</f>
        <v>0</v>
      </c>
      <c r="S675" t="b">
        <f>IF(ISBLANK(CleanedSalesData[[#This Row],[Quantity]]), TRUE, FALSE)</f>
        <v>0</v>
      </c>
      <c r="T675" t="b">
        <f>IF(ISBLANK(CleanedSalesData[[#This Row],[Order Date]]), TRUE, FALSE)</f>
        <v>0</v>
      </c>
      <c r="U675" t="b">
        <f>IF(ISBLANK(CleanedSalesData[[#This Row],[Revenue]]), TRUE, FALSE)</f>
        <v>1</v>
      </c>
      <c r="V675" t="b">
        <f>IF(OR(CleanedSalesData[[#This Row],[Order Status]]="Cancelled", CleanedSalesData[[#This Row],[Order Status]]="Returned"), TRUE, FALSE)</f>
        <v>1</v>
      </c>
      <c r="W675" t="str" cm="1">
        <f t="array" ref="W67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Revenue</v>
      </c>
    </row>
    <row r="676" spans="1:23" x14ac:dyDescent="0.35">
      <c r="A676" t="s">
        <v>834</v>
      </c>
      <c r="B676" s="7">
        <v>46046</v>
      </c>
      <c r="C676" t="s">
        <v>948</v>
      </c>
      <c r="D676">
        <v>1</v>
      </c>
      <c r="E676" t="s">
        <v>65</v>
      </c>
      <c r="F676" t="s">
        <v>47</v>
      </c>
      <c r="G676" t="s">
        <v>32</v>
      </c>
      <c r="H676" t="s">
        <v>33</v>
      </c>
      <c r="I676" t="s">
        <v>34</v>
      </c>
      <c r="J676" t="s">
        <v>35</v>
      </c>
      <c r="K676" t="s">
        <v>36</v>
      </c>
      <c r="L676">
        <v>2</v>
      </c>
      <c r="M676" s="10">
        <v>0.03</v>
      </c>
      <c r="N676" s="11">
        <v>921500</v>
      </c>
      <c r="O676" s="11">
        <v>570000</v>
      </c>
      <c r="P676" s="11">
        <v>351500</v>
      </c>
      <c r="Q676" t="s">
        <v>93</v>
      </c>
      <c r="R676" t="b">
        <f>COUNTIF($A$6     : CleanedSalesData[[#This Row],[Order ID]], CleanedSalesData[[#This Row],[Order ID]])&gt;1</f>
        <v>0</v>
      </c>
      <c r="S676" t="b">
        <f>IF(ISBLANK(CleanedSalesData[[#This Row],[Quantity]]), TRUE, FALSE)</f>
        <v>0</v>
      </c>
      <c r="T676" t="b">
        <f>IF(ISBLANK(CleanedSalesData[[#This Row],[Order Date]]), TRUE, FALSE)</f>
        <v>0</v>
      </c>
      <c r="U676" t="b">
        <f>IF(ISBLANK(CleanedSalesData[[#This Row],[Revenue]]), TRUE, FALSE)</f>
        <v>0</v>
      </c>
      <c r="V676" t="b">
        <f>IF(OR(CleanedSalesData[[#This Row],[Order Status]]="Cancelled", CleanedSalesData[[#This Row],[Order Status]]="Returned"), TRUE, FALSE)</f>
        <v>0</v>
      </c>
      <c r="W676" t="str" cm="1">
        <f t="array" ref="W67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77" spans="1:23" x14ac:dyDescent="0.35">
      <c r="A677" t="s">
        <v>835</v>
      </c>
      <c r="B677" s="7">
        <v>46105</v>
      </c>
      <c r="C677" t="s">
        <v>947</v>
      </c>
      <c r="D677">
        <v>3</v>
      </c>
      <c r="E677" t="s">
        <v>111</v>
      </c>
      <c r="F677" t="s">
        <v>47</v>
      </c>
      <c r="G677" t="s">
        <v>32</v>
      </c>
      <c r="H677" t="s">
        <v>33</v>
      </c>
      <c r="I677" t="s">
        <v>42</v>
      </c>
      <c r="J677" t="s">
        <v>43</v>
      </c>
      <c r="K677" t="s">
        <v>44</v>
      </c>
      <c r="L677">
        <v>8</v>
      </c>
      <c r="M677" s="10">
        <v>0</v>
      </c>
      <c r="N677" s="11">
        <v>2200000</v>
      </c>
      <c r="O677" s="11">
        <v>1240000</v>
      </c>
      <c r="P677" s="11">
        <v>960000</v>
      </c>
      <c r="Q677" t="s">
        <v>37</v>
      </c>
      <c r="R677" t="b">
        <f>COUNTIF($A$6     : CleanedSalesData[[#This Row],[Order ID]], CleanedSalesData[[#This Row],[Order ID]])&gt;1</f>
        <v>0</v>
      </c>
      <c r="S677" t="b">
        <f>IF(ISBLANK(CleanedSalesData[[#This Row],[Quantity]]), TRUE, FALSE)</f>
        <v>0</v>
      </c>
      <c r="T677" t="b">
        <f>IF(ISBLANK(CleanedSalesData[[#This Row],[Order Date]]), TRUE, FALSE)</f>
        <v>0</v>
      </c>
      <c r="U677" t="b">
        <f>IF(ISBLANK(CleanedSalesData[[#This Row],[Revenue]]), TRUE, FALSE)</f>
        <v>0</v>
      </c>
      <c r="V677" t="b">
        <f>IF(OR(CleanedSalesData[[#This Row],[Order Status]]="Cancelled", CleanedSalesData[[#This Row],[Order Status]]="Returned"), TRUE, FALSE)</f>
        <v>0</v>
      </c>
      <c r="W677" t="str" cm="1">
        <f t="array" ref="W67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78" spans="1:23" x14ac:dyDescent="0.35">
      <c r="A678" t="s">
        <v>836</v>
      </c>
      <c r="B678" s="7">
        <v>46087</v>
      </c>
      <c r="C678" t="s">
        <v>947</v>
      </c>
      <c r="D678">
        <v>3</v>
      </c>
      <c r="E678" t="s">
        <v>69</v>
      </c>
      <c r="F678" t="s">
        <v>31</v>
      </c>
      <c r="G678" t="s">
        <v>41</v>
      </c>
      <c r="H678" t="s">
        <v>33</v>
      </c>
      <c r="I678" t="s">
        <v>49</v>
      </c>
      <c r="J678" t="s">
        <v>50</v>
      </c>
      <c r="K678" t="s">
        <v>51</v>
      </c>
      <c r="L678">
        <v>6</v>
      </c>
      <c r="M678" s="10">
        <v>0.15</v>
      </c>
      <c r="N678" s="11">
        <v>1249500</v>
      </c>
      <c r="O678" s="11">
        <v>870000</v>
      </c>
      <c r="P678" s="11">
        <v>379500</v>
      </c>
      <c r="Q678" t="s">
        <v>37</v>
      </c>
      <c r="R678" t="b">
        <f>COUNTIF($A$6     : CleanedSalesData[[#This Row],[Order ID]], CleanedSalesData[[#This Row],[Order ID]])&gt;1</f>
        <v>0</v>
      </c>
      <c r="S678" t="b">
        <f>IF(ISBLANK(CleanedSalesData[[#This Row],[Quantity]]), TRUE, FALSE)</f>
        <v>0</v>
      </c>
      <c r="T678" t="b">
        <f>IF(ISBLANK(CleanedSalesData[[#This Row],[Order Date]]), TRUE, FALSE)</f>
        <v>0</v>
      </c>
      <c r="U678" t="b">
        <f>IF(ISBLANK(CleanedSalesData[[#This Row],[Revenue]]), TRUE, FALSE)</f>
        <v>0</v>
      </c>
      <c r="V678" t="b">
        <f>IF(OR(CleanedSalesData[[#This Row],[Order Status]]="Cancelled", CleanedSalesData[[#This Row],[Order Status]]="Returned"), TRUE, FALSE)</f>
        <v>0</v>
      </c>
      <c r="W678" t="str" cm="1">
        <f t="array" ref="W67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79" spans="1:23" x14ac:dyDescent="0.35">
      <c r="A679" t="s">
        <v>837</v>
      </c>
      <c r="B679" s="7">
        <v>46203</v>
      </c>
      <c r="C679" t="s">
        <v>945</v>
      </c>
      <c r="D679">
        <v>6</v>
      </c>
      <c r="E679" t="s">
        <v>30</v>
      </c>
      <c r="F679" t="s">
        <v>47</v>
      </c>
      <c r="G679" t="s">
        <v>48</v>
      </c>
      <c r="H679" t="s">
        <v>33</v>
      </c>
      <c r="I679" t="s">
        <v>55</v>
      </c>
      <c r="J679" t="s">
        <v>56</v>
      </c>
      <c r="K679" t="s">
        <v>36</v>
      </c>
      <c r="L679">
        <v>8</v>
      </c>
      <c r="M679" s="10">
        <v>0.15</v>
      </c>
      <c r="N679" s="11">
        <v>12580000</v>
      </c>
      <c r="O679" s="11">
        <v>10560000</v>
      </c>
      <c r="P679" s="11">
        <v>2020000</v>
      </c>
      <c r="Q679" t="s">
        <v>93</v>
      </c>
      <c r="R679" t="b">
        <f>COUNTIF($A$6     : CleanedSalesData[[#This Row],[Order ID]], CleanedSalesData[[#This Row],[Order ID]])&gt;1</f>
        <v>0</v>
      </c>
      <c r="S679" t="b">
        <f>IF(ISBLANK(CleanedSalesData[[#This Row],[Quantity]]), TRUE, FALSE)</f>
        <v>0</v>
      </c>
      <c r="T679" t="b">
        <f>IF(ISBLANK(CleanedSalesData[[#This Row],[Order Date]]), TRUE, FALSE)</f>
        <v>0</v>
      </c>
      <c r="U679" t="b">
        <f>IF(ISBLANK(CleanedSalesData[[#This Row],[Revenue]]), TRUE, FALSE)</f>
        <v>0</v>
      </c>
      <c r="V679" t="b">
        <f>IF(OR(CleanedSalesData[[#This Row],[Order Status]]="Cancelled", CleanedSalesData[[#This Row],[Order Status]]="Returned"), TRUE, FALSE)</f>
        <v>0</v>
      </c>
      <c r="W679" t="str" cm="1">
        <f t="array" ref="W67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0" spans="1:23" x14ac:dyDescent="0.35">
      <c r="A680" t="s">
        <v>838</v>
      </c>
      <c r="B680" s="7">
        <v>46163</v>
      </c>
      <c r="C680" t="s">
        <v>946</v>
      </c>
      <c r="D680">
        <v>5</v>
      </c>
      <c r="E680" t="s">
        <v>30</v>
      </c>
      <c r="F680" t="s">
        <v>70</v>
      </c>
      <c r="G680" t="s">
        <v>32</v>
      </c>
      <c r="H680" t="s">
        <v>33</v>
      </c>
      <c r="I680" t="s">
        <v>60</v>
      </c>
      <c r="J680" t="s">
        <v>61</v>
      </c>
      <c r="K680" t="s">
        <v>62</v>
      </c>
      <c r="L680">
        <v>7</v>
      </c>
      <c r="M680" s="10">
        <v>0</v>
      </c>
      <c r="N680" s="11">
        <v>455000</v>
      </c>
      <c r="O680" s="11">
        <v>217000</v>
      </c>
      <c r="P680" s="11">
        <v>238000</v>
      </c>
      <c r="Q680" t="s">
        <v>84</v>
      </c>
      <c r="R680" t="b">
        <f>COUNTIF($A$6     : CleanedSalesData[[#This Row],[Order ID]], CleanedSalesData[[#This Row],[Order ID]])&gt;1</f>
        <v>0</v>
      </c>
      <c r="S680" t="b">
        <f>IF(ISBLANK(CleanedSalesData[[#This Row],[Quantity]]), TRUE, FALSE)</f>
        <v>0</v>
      </c>
      <c r="T680" t="b">
        <f>IF(ISBLANK(CleanedSalesData[[#This Row],[Order Date]]), TRUE, FALSE)</f>
        <v>0</v>
      </c>
      <c r="U680" t="b">
        <f>IF(ISBLANK(CleanedSalesData[[#This Row],[Revenue]]), TRUE, FALSE)</f>
        <v>0</v>
      </c>
      <c r="V680" t="b">
        <f>IF(OR(CleanedSalesData[[#This Row],[Order Status]]="Cancelled", CleanedSalesData[[#This Row],[Order Status]]="Returned"), TRUE, FALSE)</f>
        <v>0</v>
      </c>
      <c r="W680" t="str" cm="1">
        <f t="array" ref="W68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1" spans="1:23" x14ac:dyDescent="0.35">
      <c r="A681" t="s">
        <v>839</v>
      </c>
      <c r="B681" s="7">
        <v>46068</v>
      </c>
      <c r="C681" t="s">
        <v>944</v>
      </c>
      <c r="D681">
        <v>2</v>
      </c>
      <c r="E681" t="s">
        <v>30</v>
      </c>
      <c r="F681" t="s">
        <v>59</v>
      </c>
      <c r="G681" t="s">
        <v>81</v>
      </c>
      <c r="H681" t="s">
        <v>33</v>
      </c>
      <c r="I681" t="s">
        <v>66</v>
      </c>
      <c r="J681" t="s">
        <v>67</v>
      </c>
      <c r="K681" t="s">
        <v>51</v>
      </c>
      <c r="L681">
        <v>1</v>
      </c>
      <c r="M681" s="10">
        <v>0.08</v>
      </c>
      <c r="N681" s="11">
        <v>285200</v>
      </c>
      <c r="O681" s="11">
        <v>190000</v>
      </c>
      <c r="P681" s="11">
        <v>95200</v>
      </c>
      <c r="Q681" t="s">
        <v>37</v>
      </c>
      <c r="R681" t="b">
        <f>COUNTIF($A$6     : CleanedSalesData[[#This Row],[Order ID]], CleanedSalesData[[#This Row],[Order ID]])&gt;1</f>
        <v>0</v>
      </c>
      <c r="S681" t="b">
        <f>IF(ISBLANK(CleanedSalesData[[#This Row],[Quantity]]), TRUE, FALSE)</f>
        <v>0</v>
      </c>
      <c r="T681" t="b">
        <f>IF(ISBLANK(CleanedSalesData[[#This Row],[Order Date]]), TRUE, FALSE)</f>
        <v>0</v>
      </c>
      <c r="U681" t="b">
        <f>IF(ISBLANK(CleanedSalesData[[#This Row],[Revenue]]), TRUE, FALSE)</f>
        <v>0</v>
      </c>
      <c r="V681" t="b">
        <f>IF(OR(CleanedSalesData[[#This Row],[Order Status]]="Cancelled", CleanedSalesData[[#This Row],[Order Status]]="Returned"), TRUE, FALSE)</f>
        <v>0</v>
      </c>
      <c r="W681" t="str" cm="1">
        <f t="array" ref="W68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2" spans="1:23" x14ac:dyDescent="0.35">
      <c r="A682" t="s">
        <v>840</v>
      </c>
      <c r="B682" s="7">
        <v>46056</v>
      </c>
      <c r="C682" t="s">
        <v>944</v>
      </c>
      <c r="D682">
        <v>2</v>
      </c>
      <c r="E682" t="s">
        <v>111</v>
      </c>
      <c r="F682" t="s">
        <v>70</v>
      </c>
      <c r="G682" t="s">
        <v>41</v>
      </c>
      <c r="H682" t="s">
        <v>33</v>
      </c>
      <c r="I682" t="s">
        <v>71</v>
      </c>
      <c r="J682" t="s">
        <v>72</v>
      </c>
      <c r="K682" t="s">
        <v>73</v>
      </c>
      <c r="L682">
        <v>4</v>
      </c>
      <c r="M682" s="10">
        <v>0</v>
      </c>
      <c r="N682" s="11">
        <v>500000</v>
      </c>
      <c r="O682" s="11">
        <v>280000</v>
      </c>
      <c r="P682" s="11">
        <v>220000</v>
      </c>
      <c r="Q682" t="s">
        <v>52</v>
      </c>
      <c r="R682" t="b">
        <f>COUNTIF($A$6     : CleanedSalesData[[#This Row],[Order ID]], CleanedSalesData[[#This Row],[Order ID]])&gt;1</f>
        <v>0</v>
      </c>
      <c r="S682" t="b">
        <f>IF(ISBLANK(CleanedSalesData[[#This Row],[Quantity]]), TRUE, FALSE)</f>
        <v>0</v>
      </c>
      <c r="T682" t="b">
        <f>IF(ISBLANK(CleanedSalesData[[#This Row],[Order Date]]), TRUE, FALSE)</f>
        <v>0</v>
      </c>
      <c r="U682" t="b">
        <f>IF(ISBLANK(CleanedSalesData[[#This Row],[Revenue]]), TRUE, FALSE)</f>
        <v>0</v>
      </c>
      <c r="V682" t="b">
        <f>IF(OR(CleanedSalesData[[#This Row],[Order Status]]="Cancelled", CleanedSalesData[[#This Row],[Order Status]]="Returned"), TRUE, FALSE)</f>
        <v>0</v>
      </c>
      <c r="W682" t="str" cm="1">
        <f t="array" ref="W68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3" spans="1:23" x14ac:dyDescent="0.35">
      <c r="A683" t="s">
        <v>841</v>
      </c>
      <c r="B683" s="7">
        <v>46150</v>
      </c>
      <c r="C683" t="s">
        <v>946</v>
      </c>
      <c r="D683">
        <v>5</v>
      </c>
      <c r="E683" t="s">
        <v>111</v>
      </c>
      <c r="F683" t="s">
        <v>31</v>
      </c>
      <c r="G683" t="s">
        <v>32</v>
      </c>
      <c r="H683" t="s">
        <v>90</v>
      </c>
      <c r="I683" t="s">
        <v>78</v>
      </c>
      <c r="J683" t="s">
        <v>79</v>
      </c>
      <c r="K683" t="s">
        <v>62</v>
      </c>
      <c r="L683">
        <v>1</v>
      </c>
      <c r="M683" s="10">
        <v>0.1</v>
      </c>
      <c r="N683" s="11">
        <v>76500</v>
      </c>
      <c r="O683" s="11">
        <v>43000</v>
      </c>
      <c r="P683" s="11">
        <v>33500</v>
      </c>
      <c r="Q683" t="s">
        <v>52</v>
      </c>
      <c r="R683" t="b">
        <f>COUNTIF($A$6     : CleanedSalesData[[#This Row],[Order ID]], CleanedSalesData[[#This Row],[Order ID]])&gt;1</f>
        <v>0</v>
      </c>
      <c r="S683" t="b">
        <f>IF(ISBLANK(CleanedSalesData[[#This Row],[Quantity]]), TRUE, FALSE)</f>
        <v>0</v>
      </c>
      <c r="T683" t="b">
        <f>IF(ISBLANK(CleanedSalesData[[#This Row],[Order Date]]), TRUE, FALSE)</f>
        <v>0</v>
      </c>
      <c r="U683" t="b">
        <f>IF(ISBLANK(CleanedSalesData[[#This Row],[Revenue]]), TRUE, FALSE)</f>
        <v>0</v>
      </c>
      <c r="V683" t="b">
        <f>IF(OR(CleanedSalesData[[#This Row],[Order Status]]="Cancelled", CleanedSalesData[[#This Row],[Order Status]]="Returned"), TRUE, FALSE)</f>
        <v>0</v>
      </c>
      <c r="W683" t="str" cm="1">
        <f t="array" ref="W68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4" spans="1:23" x14ac:dyDescent="0.35">
      <c r="A684" t="s">
        <v>842</v>
      </c>
      <c r="B684" s="7">
        <v>46127</v>
      </c>
      <c r="C684" t="s">
        <v>949</v>
      </c>
      <c r="D684">
        <v>4</v>
      </c>
      <c r="E684" t="s">
        <v>76</v>
      </c>
      <c r="F684" t="s">
        <v>40</v>
      </c>
      <c r="G684" t="s">
        <v>32</v>
      </c>
      <c r="H684" t="s">
        <v>33</v>
      </c>
      <c r="I684" t="s">
        <v>82</v>
      </c>
      <c r="J684" t="s">
        <v>83</v>
      </c>
      <c r="K684" t="s">
        <v>44</v>
      </c>
      <c r="L684">
        <v>8</v>
      </c>
      <c r="M684" s="10">
        <v>0</v>
      </c>
      <c r="N684" s="11">
        <v>11600000</v>
      </c>
      <c r="O684" s="11">
        <v>7840000</v>
      </c>
      <c r="P684" s="11">
        <v>3760000</v>
      </c>
      <c r="Q684" t="s">
        <v>45</v>
      </c>
      <c r="R684" t="b">
        <f>COUNTIF($A$6     : CleanedSalesData[[#This Row],[Order ID]], CleanedSalesData[[#This Row],[Order ID]])&gt;1</f>
        <v>0</v>
      </c>
      <c r="S684" t="b">
        <f>IF(ISBLANK(CleanedSalesData[[#This Row],[Quantity]]), TRUE, FALSE)</f>
        <v>0</v>
      </c>
      <c r="T684" t="b">
        <f>IF(ISBLANK(CleanedSalesData[[#This Row],[Order Date]]), TRUE, FALSE)</f>
        <v>0</v>
      </c>
      <c r="U684" t="b">
        <f>IF(ISBLANK(CleanedSalesData[[#This Row],[Revenue]]), TRUE, FALSE)</f>
        <v>0</v>
      </c>
      <c r="V684" t="b">
        <f>IF(OR(CleanedSalesData[[#This Row],[Order Status]]="Cancelled", CleanedSalesData[[#This Row],[Order Status]]="Returned"), TRUE, FALSE)</f>
        <v>0</v>
      </c>
      <c r="W684" t="str" cm="1">
        <f t="array" ref="W68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5" spans="1:23" x14ac:dyDescent="0.35">
      <c r="A685" t="s">
        <v>843</v>
      </c>
      <c r="B685" s="7">
        <v>46035</v>
      </c>
      <c r="C685" t="s">
        <v>948</v>
      </c>
      <c r="D685">
        <v>1</v>
      </c>
      <c r="E685" t="s">
        <v>30</v>
      </c>
      <c r="F685" t="s">
        <v>70</v>
      </c>
      <c r="G685" t="s">
        <v>41</v>
      </c>
      <c r="H685" t="s">
        <v>33</v>
      </c>
      <c r="I685" t="s">
        <v>86</v>
      </c>
      <c r="J685" t="s">
        <v>87</v>
      </c>
      <c r="K685" t="s">
        <v>36</v>
      </c>
      <c r="L685">
        <v>3</v>
      </c>
      <c r="M685" s="10">
        <v>0.03</v>
      </c>
      <c r="N685" s="11">
        <v>1018500</v>
      </c>
      <c r="O685" s="11">
        <v>630000</v>
      </c>
      <c r="P685" s="11">
        <v>388500</v>
      </c>
      <c r="Q685" t="s">
        <v>74</v>
      </c>
      <c r="R685" t="b">
        <f>COUNTIF($A$6     : CleanedSalesData[[#This Row],[Order ID]], CleanedSalesData[[#This Row],[Order ID]])&gt;1</f>
        <v>0</v>
      </c>
      <c r="S685" t="b">
        <f>IF(ISBLANK(CleanedSalesData[[#This Row],[Quantity]]), TRUE, FALSE)</f>
        <v>0</v>
      </c>
      <c r="T685" t="b">
        <f>IF(ISBLANK(CleanedSalesData[[#This Row],[Order Date]]), TRUE, FALSE)</f>
        <v>0</v>
      </c>
      <c r="U685" t="b">
        <f>IF(ISBLANK(CleanedSalesData[[#This Row],[Revenue]]), TRUE, FALSE)</f>
        <v>0</v>
      </c>
      <c r="V685" t="b">
        <f>IF(OR(CleanedSalesData[[#This Row],[Order Status]]="Cancelled", CleanedSalesData[[#This Row],[Order Status]]="Returned"), TRUE, FALSE)</f>
        <v>0</v>
      </c>
      <c r="W685" t="str" cm="1">
        <f t="array" ref="W68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6" spans="1:23" x14ac:dyDescent="0.35">
      <c r="A686" t="s">
        <v>844</v>
      </c>
      <c r="B686" s="7">
        <v>46193</v>
      </c>
      <c r="C686" t="s">
        <v>945</v>
      </c>
      <c r="D686">
        <v>6</v>
      </c>
      <c r="E686" t="s">
        <v>30</v>
      </c>
      <c r="F686" t="s">
        <v>40</v>
      </c>
      <c r="G686" t="s">
        <v>48</v>
      </c>
      <c r="H686" t="s">
        <v>112</v>
      </c>
      <c r="I686" t="s">
        <v>34</v>
      </c>
      <c r="J686" t="s">
        <v>35</v>
      </c>
      <c r="K686" t="s">
        <v>36</v>
      </c>
      <c r="L686">
        <v>5</v>
      </c>
      <c r="M686" s="10">
        <v>0.05</v>
      </c>
      <c r="N686" s="11">
        <v>0</v>
      </c>
      <c r="O686" s="11">
        <v>1425000</v>
      </c>
      <c r="P686" s="11">
        <v>-1425000</v>
      </c>
      <c r="Q686" t="s">
        <v>84</v>
      </c>
      <c r="R686" t="b">
        <f>COUNTIF($A$6     : CleanedSalesData[[#This Row],[Order ID]], CleanedSalesData[[#This Row],[Order ID]])&gt;1</f>
        <v>0</v>
      </c>
      <c r="S686" t="b">
        <f>IF(ISBLANK(CleanedSalesData[[#This Row],[Quantity]]), TRUE, FALSE)</f>
        <v>0</v>
      </c>
      <c r="T686" t="b">
        <f>IF(ISBLANK(CleanedSalesData[[#This Row],[Order Date]]), TRUE, FALSE)</f>
        <v>0</v>
      </c>
      <c r="U686" t="b">
        <f>IF(ISBLANK(CleanedSalesData[[#This Row],[Revenue]]), TRUE, FALSE)</f>
        <v>0</v>
      </c>
      <c r="V686" t="b">
        <f>IF(OR(CleanedSalesData[[#This Row],[Order Status]]="Cancelled", CleanedSalesData[[#This Row],[Order Status]]="Returned"), TRUE, FALSE)</f>
        <v>1</v>
      </c>
      <c r="W686" t="str" cm="1">
        <f t="array" ref="W68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87" spans="1:23" x14ac:dyDescent="0.35">
      <c r="A687" t="s">
        <v>845</v>
      </c>
      <c r="B687" s="7">
        <v>46195</v>
      </c>
      <c r="C687" t="s">
        <v>945</v>
      </c>
      <c r="D687">
        <v>6</v>
      </c>
      <c r="E687" t="s">
        <v>111</v>
      </c>
      <c r="F687" t="s">
        <v>47</v>
      </c>
      <c r="G687" t="s">
        <v>32</v>
      </c>
      <c r="H687" t="s">
        <v>33</v>
      </c>
      <c r="I687" t="s">
        <v>42</v>
      </c>
      <c r="J687" t="s">
        <v>43</v>
      </c>
      <c r="K687" t="s">
        <v>44</v>
      </c>
      <c r="L687">
        <v>5</v>
      </c>
      <c r="M687" s="10">
        <v>0.1</v>
      </c>
      <c r="N687" s="11">
        <v>1237500</v>
      </c>
      <c r="O687" s="11">
        <v>775000</v>
      </c>
      <c r="P687" s="11">
        <v>462500</v>
      </c>
      <c r="Q687" t="s">
        <v>63</v>
      </c>
      <c r="R687" t="b">
        <f>COUNTIF($A$6     : CleanedSalesData[[#This Row],[Order ID]], CleanedSalesData[[#This Row],[Order ID]])&gt;1</f>
        <v>0</v>
      </c>
      <c r="S687" t="b">
        <f>IF(ISBLANK(CleanedSalesData[[#This Row],[Quantity]]), TRUE, FALSE)</f>
        <v>0</v>
      </c>
      <c r="T687" t="b">
        <f>IF(ISBLANK(CleanedSalesData[[#This Row],[Order Date]]), TRUE, FALSE)</f>
        <v>0</v>
      </c>
      <c r="U687" t="b">
        <f>IF(ISBLANK(CleanedSalesData[[#This Row],[Revenue]]), TRUE, FALSE)</f>
        <v>0</v>
      </c>
      <c r="V687" t="b">
        <f>IF(OR(CleanedSalesData[[#This Row],[Order Status]]="Cancelled", CleanedSalesData[[#This Row],[Order Status]]="Returned"), TRUE, FALSE)</f>
        <v>0</v>
      </c>
      <c r="W687" t="str" cm="1">
        <f t="array" ref="W68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8" spans="1:23" x14ac:dyDescent="0.35">
      <c r="A688" t="s">
        <v>846</v>
      </c>
      <c r="B688" s="7">
        <v>46032</v>
      </c>
      <c r="C688" t="s">
        <v>948</v>
      </c>
      <c r="D688">
        <v>1</v>
      </c>
      <c r="E688" t="s">
        <v>65</v>
      </c>
      <c r="F688" t="s">
        <v>59</v>
      </c>
      <c r="G688" t="s">
        <v>41</v>
      </c>
      <c r="H688" t="s">
        <v>33</v>
      </c>
      <c r="I688" t="s">
        <v>49</v>
      </c>
      <c r="J688" t="s">
        <v>50</v>
      </c>
      <c r="K688" t="s">
        <v>51</v>
      </c>
      <c r="L688">
        <v>2</v>
      </c>
      <c r="M688" s="10">
        <v>0.05</v>
      </c>
      <c r="N688" s="11">
        <v>465500</v>
      </c>
      <c r="O688" s="11">
        <v>290000</v>
      </c>
      <c r="P688" s="11">
        <v>175500</v>
      </c>
      <c r="Q688" t="s">
        <v>37</v>
      </c>
      <c r="R688" t="b">
        <f>COUNTIF($A$6     : CleanedSalesData[[#This Row],[Order ID]], CleanedSalesData[[#This Row],[Order ID]])&gt;1</f>
        <v>0</v>
      </c>
      <c r="S688" t="b">
        <f>IF(ISBLANK(CleanedSalesData[[#This Row],[Quantity]]), TRUE, FALSE)</f>
        <v>0</v>
      </c>
      <c r="T688" t="b">
        <f>IF(ISBLANK(CleanedSalesData[[#This Row],[Order Date]]), TRUE, FALSE)</f>
        <v>0</v>
      </c>
      <c r="U688" t="b">
        <f>IF(ISBLANK(CleanedSalesData[[#This Row],[Revenue]]), TRUE, FALSE)</f>
        <v>0</v>
      </c>
      <c r="V688" t="b">
        <f>IF(OR(CleanedSalesData[[#This Row],[Order Status]]="Cancelled", CleanedSalesData[[#This Row],[Order Status]]="Returned"), TRUE, FALSE)</f>
        <v>0</v>
      </c>
      <c r="W688" t="str" cm="1">
        <f t="array" ref="W68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89" spans="1:23" x14ac:dyDescent="0.35">
      <c r="A689" t="s">
        <v>847</v>
      </c>
      <c r="B689" s="7">
        <v>46097</v>
      </c>
      <c r="C689" t="s">
        <v>947</v>
      </c>
      <c r="D689">
        <v>3</v>
      </c>
      <c r="E689" t="s">
        <v>65</v>
      </c>
      <c r="F689" t="s">
        <v>70</v>
      </c>
      <c r="G689" t="s">
        <v>81</v>
      </c>
      <c r="H689" t="s">
        <v>33</v>
      </c>
      <c r="I689" t="s">
        <v>55</v>
      </c>
      <c r="J689" t="s">
        <v>56</v>
      </c>
      <c r="K689" t="s">
        <v>36</v>
      </c>
      <c r="L689">
        <v>8</v>
      </c>
      <c r="M689" s="10">
        <v>0.03</v>
      </c>
      <c r="N689" s="11">
        <v>14356000</v>
      </c>
      <c r="O689" s="11">
        <v>10560000</v>
      </c>
      <c r="P689" s="11">
        <v>3796000</v>
      </c>
      <c r="Q689" t="s">
        <v>45</v>
      </c>
      <c r="R689" t="b">
        <f>COUNTIF($A$6     : CleanedSalesData[[#This Row],[Order ID]], CleanedSalesData[[#This Row],[Order ID]])&gt;1</f>
        <v>0</v>
      </c>
      <c r="S689" t="b">
        <f>IF(ISBLANK(CleanedSalesData[[#This Row],[Quantity]]), TRUE, FALSE)</f>
        <v>0</v>
      </c>
      <c r="T689" t="b">
        <f>IF(ISBLANK(CleanedSalesData[[#This Row],[Order Date]]), TRUE, FALSE)</f>
        <v>0</v>
      </c>
      <c r="U689" t="b">
        <f>IF(ISBLANK(CleanedSalesData[[#This Row],[Revenue]]), TRUE, FALSE)</f>
        <v>0</v>
      </c>
      <c r="V689" t="b">
        <f>IF(OR(CleanedSalesData[[#This Row],[Order Status]]="Cancelled", CleanedSalesData[[#This Row],[Order Status]]="Returned"), TRUE, FALSE)</f>
        <v>0</v>
      </c>
      <c r="W689" t="str" cm="1">
        <f t="array" ref="W68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0" spans="1:23" x14ac:dyDescent="0.35">
      <c r="A690" t="s">
        <v>848</v>
      </c>
      <c r="B690" s="7">
        <v>46201</v>
      </c>
      <c r="C690" t="s">
        <v>945</v>
      </c>
      <c r="D690">
        <v>6</v>
      </c>
      <c r="E690" t="s">
        <v>111</v>
      </c>
      <c r="F690" t="s">
        <v>47</v>
      </c>
      <c r="G690" t="s">
        <v>41</v>
      </c>
      <c r="H690" t="s">
        <v>33</v>
      </c>
      <c r="I690" t="s">
        <v>60</v>
      </c>
      <c r="J690" t="s">
        <v>61</v>
      </c>
      <c r="K690" t="s">
        <v>62</v>
      </c>
      <c r="L690">
        <v>4</v>
      </c>
      <c r="M690" s="10">
        <v>0.1</v>
      </c>
      <c r="N690" s="11">
        <v>234000</v>
      </c>
      <c r="O690" s="11">
        <v>124000</v>
      </c>
      <c r="P690" s="11">
        <v>110000</v>
      </c>
      <c r="Q690" t="s">
        <v>57</v>
      </c>
      <c r="R690" t="b">
        <f>COUNTIF($A$6     : CleanedSalesData[[#This Row],[Order ID]], CleanedSalesData[[#This Row],[Order ID]])&gt;1</f>
        <v>0</v>
      </c>
      <c r="S690" t="b">
        <f>IF(ISBLANK(CleanedSalesData[[#This Row],[Quantity]]), TRUE, FALSE)</f>
        <v>0</v>
      </c>
      <c r="T690" t="b">
        <f>IF(ISBLANK(CleanedSalesData[[#This Row],[Order Date]]), TRUE, FALSE)</f>
        <v>0</v>
      </c>
      <c r="U690" t="b">
        <f>IF(ISBLANK(CleanedSalesData[[#This Row],[Revenue]]), TRUE, FALSE)</f>
        <v>0</v>
      </c>
      <c r="V690" t="b">
        <f>IF(OR(CleanedSalesData[[#This Row],[Order Status]]="Cancelled", CleanedSalesData[[#This Row],[Order Status]]="Returned"), TRUE, FALSE)</f>
        <v>0</v>
      </c>
      <c r="W690" t="str" cm="1">
        <f t="array" ref="W69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1" spans="1:23" x14ac:dyDescent="0.35">
      <c r="A691" t="s">
        <v>849</v>
      </c>
      <c r="B691" s="7">
        <v>46132</v>
      </c>
      <c r="C691" t="s">
        <v>949</v>
      </c>
      <c r="D691">
        <v>4</v>
      </c>
      <c r="E691" t="s">
        <v>30</v>
      </c>
      <c r="F691" t="s">
        <v>47</v>
      </c>
      <c r="G691" t="s">
        <v>81</v>
      </c>
      <c r="H691" t="s">
        <v>33</v>
      </c>
      <c r="I691" t="s">
        <v>66</v>
      </c>
      <c r="J691" t="s">
        <v>67</v>
      </c>
      <c r="K691" t="s">
        <v>51</v>
      </c>
      <c r="L691">
        <v>6</v>
      </c>
      <c r="M691" s="10">
        <v>0.05</v>
      </c>
      <c r="N691" s="11">
        <v>1767000</v>
      </c>
      <c r="O691" s="11">
        <v>1140000</v>
      </c>
      <c r="P691" s="11">
        <v>627000</v>
      </c>
      <c r="Q691" t="s">
        <v>52</v>
      </c>
      <c r="R691" t="b">
        <f>COUNTIF($A$6     : CleanedSalesData[[#This Row],[Order ID]], CleanedSalesData[[#This Row],[Order ID]])&gt;1</f>
        <v>0</v>
      </c>
      <c r="S691" t="b">
        <f>IF(ISBLANK(CleanedSalesData[[#This Row],[Quantity]]), TRUE, FALSE)</f>
        <v>0</v>
      </c>
      <c r="T691" t="b">
        <f>IF(ISBLANK(CleanedSalesData[[#This Row],[Order Date]]), TRUE, FALSE)</f>
        <v>0</v>
      </c>
      <c r="U691" t="b">
        <f>IF(ISBLANK(CleanedSalesData[[#This Row],[Revenue]]), TRUE, FALSE)</f>
        <v>0</v>
      </c>
      <c r="V691" t="b">
        <f>IF(OR(CleanedSalesData[[#This Row],[Order Status]]="Cancelled", CleanedSalesData[[#This Row],[Order Status]]="Returned"), TRUE, FALSE)</f>
        <v>0</v>
      </c>
      <c r="W691" t="str" cm="1">
        <f t="array" ref="W69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2" spans="1:23" x14ac:dyDescent="0.35">
      <c r="A692" t="s">
        <v>850</v>
      </c>
      <c r="B692" s="7">
        <v>46156</v>
      </c>
      <c r="C692" t="s">
        <v>946</v>
      </c>
      <c r="D692">
        <v>5</v>
      </c>
      <c r="E692" t="s">
        <v>76</v>
      </c>
      <c r="F692" t="s">
        <v>47</v>
      </c>
      <c r="G692" t="s">
        <v>32</v>
      </c>
      <c r="H692" t="s">
        <v>90</v>
      </c>
      <c r="I692" t="s">
        <v>71</v>
      </c>
      <c r="J692" t="s">
        <v>72</v>
      </c>
      <c r="K692" t="s">
        <v>73</v>
      </c>
      <c r="L692">
        <v>8</v>
      </c>
      <c r="M692" s="10">
        <v>0.08</v>
      </c>
      <c r="N692" s="11">
        <v>920000</v>
      </c>
      <c r="O692" s="11">
        <v>560000</v>
      </c>
      <c r="P692" s="11">
        <v>360000</v>
      </c>
      <c r="Q692" t="s">
        <v>45</v>
      </c>
      <c r="R692" t="b">
        <f>COUNTIF($A$6     : CleanedSalesData[[#This Row],[Order ID]], CleanedSalesData[[#This Row],[Order ID]])&gt;1</f>
        <v>0</v>
      </c>
      <c r="S692" t="b">
        <f>IF(ISBLANK(CleanedSalesData[[#This Row],[Quantity]]), TRUE, FALSE)</f>
        <v>0</v>
      </c>
      <c r="T692" t="b">
        <f>IF(ISBLANK(CleanedSalesData[[#This Row],[Order Date]]), TRUE, FALSE)</f>
        <v>0</v>
      </c>
      <c r="U692" t="b">
        <f>IF(ISBLANK(CleanedSalesData[[#This Row],[Revenue]]), TRUE, FALSE)</f>
        <v>0</v>
      </c>
      <c r="V692" t="b">
        <f>IF(OR(CleanedSalesData[[#This Row],[Order Status]]="Cancelled", CleanedSalesData[[#This Row],[Order Status]]="Returned"), TRUE, FALSE)</f>
        <v>0</v>
      </c>
      <c r="W692" t="str" cm="1">
        <f t="array" ref="W69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3" spans="1:23" x14ac:dyDescent="0.35">
      <c r="A693" t="s">
        <v>851</v>
      </c>
      <c r="B693" s="7">
        <v>46023</v>
      </c>
      <c r="C693" t="s">
        <v>948</v>
      </c>
      <c r="D693">
        <v>1</v>
      </c>
      <c r="E693" t="s">
        <v>65</v>
      </c>
      <c r="F693" t="s">
        <v>40</v>
      </c>
      <c r="G693" t="s">
        <v>32</v>
      </c>
      <c r="H693" t="s">
        <v>33</v>
      </c>
      <c r="I693" t="s">
        <v>78</v>
      </c>
      <c r="J693" t="s">
        <v>79</v>
      </c>
      <c r="K693" t="s">
        <v>62</v>
      </c>
      <c r="L693">
        <v>2</v>
      </c>
      <c r="M693" s="10">
        <v>0</v>
      </c>
      <c r="N693" s="11">
        <v>170000</v>
      </c>
      <c r="O693" s="11">
        <v>86000</v>
      </c>
      <c r="P693" s="11">
        <v>84000</v>
      </c>
      <c r="Q693" t="s">
        <v>93</v>
      </c>
      <c r="R693" t="b">
        <f>COUNTIF($A$6     : CleanedSalesData[[#This Row],[Order ID]], CleanedSalesData[[#This Row],[Order ID]])&gt;1</f>
        <v>0</v>
      </c>
      <c r="S693" t="b">
        <f>IF(ISBLANK(CleanedSalesData[[#This Row],[Quantity]]), TRUE, FALSE)</f>
        <v>0</v>
      </c>
      <c r="T693" t="b">
        <f>IF(ISBLANK(CleanedSalesData[[#This Row],[Order Date]]), TRUE, FALSE)</f>
        <v>0</v>
      </c>
      <c r="U693" t="b">
        <f>IF(ISBLANK(CleanedSalesData[[#This Row],[Revenue]]), TRUE, FALSE)</f>
        <v>0</v>
      </c>
      <c r="V693" t="b">
        <f>IF(OR(CleanedSalesData[[#This Row],[Order Status]]="Cancelled", CleanedSalesData[[#This Row],[Order Status]]="Returned"), TRUE, FALSE)</f>
        <v>0</v>
      </c>
      <c r="W693" t="str" cm="1">
        <f t="array" ref="W69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4" spans="1:23" x14ac:dyDescent="0.35">
      <c r="A694" t="s">
        <v>852</v>
      </c>
      <c r="B694" s="7">
        <v>46034</v>
      </c>
      <c r="C694" t="s">
        <v>948</v>
      </c>
      <c r="D694">
        <v>1</v>
      </c>
      <c r="E694" t="s">
        <v>39</v>
      </c>
      <c r="F694" t="s">
        <v>31</v>
      </c>
      <c r="G694" t="s">
        <v>41</v>
      </c>
      <c r="H694" t="s">
        <v>33</v>
      </c>
      <c r="I694" t="s">
        <v>82</v>
      </c>
      <c r="J694" t="s">
        <v>83</v>
      </c>
      <c r="K694" t="s">
        <v>44</v>
      </c>
      <c r="L694">
        <v>6</v>
      </c>
      <c r="M694" s="10">
        <v>0.05</v>
      </c>
      <c r="N694" s="11">
        <v>8265000</v>
      </c>
      <c r="O694" s="11">
        <v>5880000</v>
      </c>
      <c r="P694" s="11">
        <v>2385000</v>
      </c>
      <c r="Q694" t="s">
        <v>57</v>
      </c>
      <c r="R694" t="b">
        <f>COUNTIF($A$6     : CleanedSalesData[[#This Row],[Order ID]], CleanedSalesData[[#This Row],[Order ID]])&gt;1</f>
        <v>0</v>
      </c>
      <c r="S694" t="b">
        <f>IF(ISBLANK(CleanedSalesData[[#This Row],[Quantity]]), TRUE, FALSE)</f>
        <v>0</v>
      </c>
      <c r="T694" t="b">
        <f>IF(ISBLANK(CleanedSalesData[[#This Row],[Order Date]]), TRUE, FALSE)</f>
        <v>0</v>
      </c>
      <c r="U694" t="b">
        <f>IF(ISBLANK(CleanedSalesData[[#This Row],[Revenue]]), TRUE, FALSE)</f>
        <v>0</v>
      </c>
      <c r="V694" t="b">
        <f>IF(OR(CleanedSalesData[[#This Row],[Order Status]]="Cancelled", CleanedSalesData[[#This Row],[Order Status]]="Returned"), TRUE, FALSE)</f>
        <v>0</v>
      </c>
      <c r="W694" t="str" cm="1">
        <f t="array" ref="W69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5" spans="1:23" x14ac:dyDescent="0.35">
      <c r="A695" t="s">
        <v>853</v>
      </c>
      <c r="B695" s="7">
        <v>46088</v>
      </c>
      <c r="C695" t="s">
        <v>947</v>
      </c>
      <c r="D695">
        <v>3</v>
      </c>
      <c r="E695" t="s">
        <v>95</v>
      </c>
      <c r="F695" t="s">
        <v>47</v>
      </c>
      <c r="G695" t="s">
        <v>81</v>
      </c>
      <c r="H695" t="s">
        <v>33</v>
      </c>
      <c r="I695" t="s">
        <v>86</v>
      </c>
      <c r="J695" t="s">
        <v>87</v>
      </c>
      <c r="K695" t="s">
        <v>36</v>
      </c>
      <c r="L695">
        <v>2</v>
      </c>
      <c r="M695" s="10">
        <v>0.05</v>
      </c>
      <c r="N695" s="11">
        <v>665000</v>
      </c>
      <c r="O695" s="11">
        <v>420000</v>
      </c>
      <c r="P695" s="11">
        <v>245000</v>
      </c>
      <c r="Q695" t="s">
        <v>37</v>
      </c>
      <c r="R695" t="b">
        <f>COUNTIF($A$6     : CleanedSalesData[[#This Row],[Order ID]], CleanedSalesData[[#This Row],[Order ID]])&gt;1</f>
        <v>0</v>
      </c>
      <c r="S695" t="b">
        <f>IF(ISBLANK(CleanedSalesData[[#This Row],[Quantity]]), TRUE, FALSE)</f>
        <v>0</v>
      </c>
      <c r="T695" t="b">
        <f>IF(ISBLANK(CleanedSalesData[[#This Row],[Order Date]]), TRUE, FALSE)</f>
        <v>0</v>
      </c>
      <c r="U695" t="b">
        <f>IF(ISBLANK(CleanedSalesData[[#This Row],[Revenue]]), TRUE, FALSE)</f>
        <v>0</v>
      </c>
      <c r="V695" t="b">
        <f>IF(OR(CleanedSalesData[[#This Row],[Order Status]]="Cancelled", CleanedSalesData[[#This Row],[Order Status]]="Returned"), TRUE, FALSE)</f>
        <v>0</v>
      </c>
      <c r="W695" t="str" cm="1">
        <f t="array" ref="W69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6" spans="1:23" x14ac:dyDescent="0.35">
      <c r="A696" t="s">
        <v>854</v>
      </c>
      <c r="B696" s="7">
        <v>46198</v>
      </c>
      <c r="C696" t="s">
        <v>945</v>
      </c>
      <c r="D696">
        <v>6</v>
      </c>
      <c r="E696" t="s">
        <v>30</v>
      </c>
      <c r="F696" t="s">
        <v>47</v>
      </c>
      <c r="G696" t="s">
        <v>41</v>
      </c>
      <c r="H696" t="s">
        <v>33</v>
      </c>
      <c r="I696" t="s">
        <v>34</v>
      </c>
      <c r="J696" t="s">
        <v>35</v>
      </c>
      <c r="K696" t="s">
        <v>36</v>
      </c>
      <c r="L696">
        <v>6</v>
      </c>
      <c r="M696" s="10">
        <v>0.05</v>
      </c>
      <c r="N696" s="11">
        <v>2707500</v>
      </c>
      <c r="O696" s="11">
        <v>1710000</v>
      </c>
      <c r="P696" s="11">
        <v>997500</v>
      </c>
      <c r="Q696" t="s">
        <v>45</v>
      </c>
      <c r="R696" t="b">
        <f>COUNTIF($A$6     : CleanedSalesData[[#This Row],[Order ID]], CleanedSalesData[[#This Row],[Order ID]])&gt;1</f>
        <v>0</v>
      </c>
      <c r="S696" t="b">
        <f>IF(ISBLANK(CleanedSalesData[[#This Row],[Quantity]]), TRUE, FALSE)</f>
        <v>0</v>
      </c>
      <c r="T696" t="b">
        <f>IF(ISBLANK(CleanedSalesData[[#This Row],[Order Date]]), TRUE, FALSE)</f>
        <v>0</v>
      </c>
      <c r="U696" t="b">
        <f>IF(ISBLANK(CleanedSalesData[[#This Row],[Revenue]]), TRUE, FALSE)</f>
        <v>0</v>
      </c>
      <c r="V696" t="b">
        <f>IF(OR(CleanedSalesData[[#This Row],[Order Status]]="Cancelled", CleanedSalesData[[#This Row],[Order Status]]="Returned"), TRUE, FALSE)</f>
        <v>0</v>
      </c>
      <c r="W696" t="str" cm="1">
        <f t="array" ref="W69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7" spans="1:23" x14ac:dyDescent="0.35">
      <c r="A697" t="s">
        <v>855</v>
      </c>
      <c r="B697" s="7">
        <v>46107</v>
      </c>
      <c r="C697" t="s">
        <v>947</v>
      </c>
      <c r="D697">
        <v>3</v>
      </c>
      <c r="E697" t="s">
        <v>30</v>
      </c>
      <c r="F697" t="s">
        <v>59</v>
      </c>
      <c r="G697" t="s">
        <v>41</v>
      </c>
      <c r="H697" t="s">
        <v>33</v>
      </c>
      <c r="I697" t="s">
        <v>42</v>
      </c>
      <c r="J697" t="s">
        <v>43</v>
      </c>
      <c r="K697" t="s">
        <v>44</v>
      </c>
      <c r="L697">
        <v>6</v>
      </c>
      <c r="M697" s="10">
        <v>0.15</v>
      </c>
      <c r="N697" s="11">
        <v>1402500</v>
      </c>
      <c r="O697" s="11">
        <v>930000</v>
      </c>
      <c r="P697" s="11">
        <v>472500</v>
      </c>
      <c r="Q697" t="s">
        <v>52</v>
      </c>
      <c r="R697" t="b">
        <f>COUNTIF($A$6     : CleanedSalesData[[#This Row],[Order ID]], CleanedSalesData[[#This Row],[Order ID]])&gt;1</f>
        <v>0</v>
      </c>
      <c r="S697" t="b">
        <f>IF(ISBLANK(CleanedSalesData[[#This Row],[Quantity]]), TRUE, FALSE)</f>
        <v>0</v>
      </c>
      <c r="T697" t="b">
        <f>IF(ISBLANK(CleanedSalesData[[#This Row],[Order Date]]), TRUE, FALSE)</f>
        <v>0</v>
      </c>
      <c r="U697" t="b">
        <f>IF(ISBLANK(CleanedSalesData[[#This Row],[Revenue]]), TRUE, FALSE)</f>
        <v>0</v>
      </c>
      <c r="V697" t="b">
        <f>IF(OR(CleanedSalesData[[#This Row],[Order Status]]="Cancelled", CleanedSalesData[[#This Row],[Order Status]]="Returned"), TRUE, FALSE)</f>
        <v>0</v>
      </c>
      <c r="W697" t="str" cm="1">
        <f t="array" ref="W69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698" spans="1:23" x14ac:dyDescent="0.35">
      <c r="A698" t="s">
        <v>856</v>
      </c>
      <c r="B698" s="7">
        <v>46062</v>
      </c>
      <c r="C698" t="s">
        <v>944</v>
      </c>
      <c r="D698">
        <v>2</v>
      </c>
      <c r="E698" t="s">
        <v>76</v>
      </c>
      <c r="F698" t="s">
        <v>59</v>
      </c>
      <c r="G698" t="s">
        <v>41</v>
      </c>
      <c r="H698" t="s">
        <v>112</v>
      </c>
      <c r="I698" t="s">
        <v>49</v>
      </c>
      <c r="J698" t="s">
        <v>50</v>
      </c>
      <c r="K698" t="s">
        <v>51</v>
      </c>
      <c r="L698">
        <v>8</v>
      </c>
      <c r="M698" s="10">
        <v>0.1</v>
      </c>
      <c r="N698" s="11">
        <v>441000</v>
      </c>
      <c r="O698" s="11">
        <v>1160000</v>
      </c>
      <c r="P698" s="11">
        <v>-719000</v>
      </c>
      <c r="Q698" t="s">
        <v>63</v>
      </c>
      <c r="R698" t="b">
        <f>COUNTIF($A$6     : CleanedSalesData[[#This Row],[Order ID]], CleanedSalesData[[#This Row],[Order ID]])&gt;1</f>
        <v>0</v>
      </c>
      <c r="S698" t="b">
        <f>IF(ISBLANK(CleanedSalesData[[#This Row],[Quantity]]), TRUE, FALSE)</f>
        <v>0</v>
      </c>
      <c r="T698" t="b">
        <f>IF(ISBLANK(CleanedSalesData[[#This Row],[Order Date]]), TRUE, FALSE)</f>
        <v>0</v>
      </c>
      <c r="U698" t="b">
        <f>IF(ISBLANK(CleanedSalesData[[#This Row],[Revenue]]), TRUE, FALSE)</f>
        <v>0</v>
      </c>
      <c r="V698" t="b">
        <f>IF(OR(CleanedSalesData[[#This Row],[Order Status]]="Cancelled", CleanedSalesData[[#This Row],[Order Status]]="Returned"), TRUE, FALSE)</f>
        <v>1</v>
      </c>
      <c r="W698" t="str" cm="1">
        <f t="array" ref="W69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699" spans="1:23" x14ac:dyDescent="0.35">
      <c r="A699" t="s">
        <v>857</v>
      </c>
      <c r="B699" s="7">
        <v>46165</v>
      </c>
      <c r="C699" t="s">
        <v>946</v>
      </c>
      <c r="D699">
        <v>5</v>
      </c>
      <c r="E699" t="s">
        <v>69</v>
      </c>
      <c r="F699" t="s">
        <v>70</v>
      </c>
      <c r="G699" t="s">
        <v>81</v>
      </c>
      <c r="H699" t="s">
        <v>33</v>
      </c>
      <c r="I699" t="s">
        <v>55</v>
      </c>
      <c r="J699" t="s">
        <v>56</v>
      </c>
      <c r="K699" t="s">
        <v>36</v>
      </c>
      <c r="L699">
        <v>1</v>
      </c>
      <c r="M699" s="10">
        <v>0.03</v>
      </c>
      <c r="N699" s="11">
        <v>1794500</v>
      </c>
      <c r="O699" s="11">
        <v>1320000</v>
      </c>
      <c r="P699" s="11">
        <v>474500</v>
      </c>
      <c r="Q699" t="s">
        <v>84</v>
      </c>
      <c r="R699" t="b">
        <f>COUNTIF($A$6     : CleanedSalesData[[#This Row],[Order ID]], CleanedSalesData[[#This Row],[Order ID]])&gt;1</f>
        <v>0</v>
      </c>
      <c r="S699" t="b">
        <f>IF(ISBLANK(CleanedSalesData[[#This Row],[Quantity]]), TRUE, FALSE)</f>
        <v>0</v>
      </c>
      <c r="T699" t="b">
        <f>IF(ISBLANK(CleanedSalesData[[#This Row],[Order Date]]), TRUE, FALSE)</f>
        <v>0</v>
      </c>
      <c r="U699" t="b">
        <f>IF(ISBLANK(CleanedSalesData[[#This Row],[Revenue]]), TRUE, FALSE)</f>
        <v>0</v>
      </c>
      <c r="V699" t="b">
        <f>IF(OR(CleanedSalesData[[#This Row],[Order Status]]="Cancelled", CleanedSalesData[[#This Row],[Order Status]]="Returned"), TRUE, FALSE)</f>
        <v>0</v>
      </c>
      <c r="W699" t="str" cm="1">
        <f t="array" ref="W69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0" spans="1:23" x14ac:dyDescent="0.35">
      <c r="A700" t="s">
        <v>858</v>
      </c>
      <c r="B700" s="7">
        <v>46094</v>
      </c>
      <c r="C700" t="s">
        <v>947</v>
      </c>
      <c r="D700">
        <v>3</v>
      </c>
      <c r="E700" t="s">
        <v>65</v>
      </c>
      <c r="F700" t="s">
        <v>47</v>
      </c>
      <c r="G700" t="s">
        <v>32</v>
      </c>
      <c r="H700" t="s">
        <v>77</v>
      </c>
      <c r="I700" t="s">
        <v>60</v>
      </c>
      <c r="J700" t="s">
        <v>61</v>
      </c>
      <c r="K700" t="s">
        <v>62</v>
      </c>
      <c r="L700">
        <v>1</v>
      </c>
      <c r="M700" s="10">
        <v>0.05</v>
      </c>
      <c r="N700" s="11">
        <v>30875</v>
      </c>
      <c r="O700" s="11">
        <v>31000</v>
      </c>
      <c r="P700" s="11">
        <v>-125</v>
      </c>
      <c r="Q700" t="s">
        <v>84</v>
      </c>
      <c r="R700" t="b">
        <f>COUNTIF($A$6     : CleanedSalesData[[#This Row],[Order ID]], CleanedSalesData[[#This Row],[Order ID]])&gt;1</f>
        <v>0</v>
      </c>
      <c r="S700" t="b">
        <f>IF(ISBLANK(CleanedSalesData[[#This Row],[Quantity]]), TRUE, FALSE)</f>
        <v>0</v>
      </c>
      <c r="T700" t="b">
        <f>IF(ISBLANK(CleanedSalesData[[#This Row],[Order Date]]), TRUE, FALSE)</f>
        <v>0</v>
      </c>
      <c r="U700" t="b">
        <f>IF(ISBLANK(CleanedSalesData[[#This Row],[Revenue]]), TRUE, FALSE)</f>
        <v>0</v>
      </c>
      <c r="V700" t="b">
        <f>IF(OR(CleanedSalesData[[#This Row],[Order Status]]="Cancelled", CleanedSalesData[[#This Row],[Order Status]]="Returned"), TRUE, FALSE)</f>
        <v>1</v>
      </c>
      <c r="W700" t="str" cm="1">
        <f t="array" ref="W70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701" spans="1:23" x14ac:dyDescent="0.35">
      <c r="A701" t="s">
        <v>859</v>
      </c>
      <c r="B701" s="7">
        <v>46175</v>
      </c>
      <c r="C701" t="s">
        <v>945</v>
      </c>
      <c r="D701">
        <v>6</v>
      </c>
      <c r="E701" t="s">
        <v>76</v>
      </c>
      <c r="F701" t="s">
        <v>70</v>
      </c>
      <c r="G701" t="s">
        <v>41</v>
      </c>
      <c r="H701" t="s">
        <v>33</v>
      </c>
      <c r="I701" t="s">
        <v>66</v>
      </c>
      <c r="J701" t="s">
        <v>67</v>
      </c>
      <c r="K701" t="s">
        <v>51</v>
      </c>
      <c r="L701">
        <v>2</v>
      </c>
      <c r="M701" s="10">
        <v>0.05</v>
      </c>
      <c r="N701" s="11">
        <v>589000</v>
      </c>
      <c r="O701" s="11">
        <v>380000</v>
      </c>
      <c r="P701" s="11">
        <v>209000</v>
      </c>
      <c r="Q701" t="s">
        <v>93</v>
      </c>
      <c r="R701" t="b">
        <f>COUNTIF($A$6     : CleanedSalesData[[#This Row],[Order ID]], CleanedSalesData[[#This Row],[Order ID]])&gt;1</f>
        <v>0</v>
      </c>
      <c r="S701" t="b">
        <f>IF(ISBLANK(CleanedSalesData[[#This Row],[Quantity]]), TRUE, FALSE)</f>
        <v>0</v>
      </c>
      <c r="T701" t="b">
        <f>IF(ISBLANK(CleanedSalesData[[#This Row],[Order Date]]), TRUE, FALSE)</f>
        <v>0</v>
      </c>
      <c r="U701" t="b">
        <f>IF(ISBLANK(CleanedSalesData[[#This Row],[Revenue]]), TRUE, FALSE)</f>
        <v>0</v>
      </c>
      <c r="V701" t="b">
        <f>IF(OR(CleanedSalesData[[#This Row],[Order Status]]="Cancelled", CleanedSalesData[[#This Row],[Order Status]]="Returned"), TRUE, FALSE)</f>
        <v>0</v>
      </c>
      <c r="W701" t="str" cm="1">
        <f t="array" ref="W70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2" spans="1:23" x14ac:dyDescent="0.35">
      <c r="A702" t="s">
        <v>860</v>
      </c>
      <c r="B702" s="7">
        <v>46045</v>
      </c>
      <c r="C702" t="s">
        <v>948</v>
      </c>
      <c r="D702">
        <v>1</v>
      </c>
      <c r="E702" t="s">
        <v>76</v>
      </c>
      <c r="F702" t="s">
        <v>70</v>
      </c>
      <c r="G702" t="s">
        <v>32</v>
      </c>
      <c r="H702" t="s">
        <v>33</v>
      </c>
      <c r="I702" t="s">
        <v>71</v>
      </c>
      <c r="J702" t="s">
        <v>72</v>
      </c>
      <c r="K702" t="s">
        <v>73</v>
      </c>
      <c r="L702">
        <v>8</v>
      </c>
      <c r="M702" s="10">
        <v>0.03</v>
      </c>
      <c r="N702" s="11">
        <v>970000</v>
      </c>
      <c r="O702" s="11">
        <v>560000</v>
      </c>
      <c r="P702" s="11">
        <v>410000</v>
      </c>
      <c r="Q702" t="s">
        <v>84</v>
      </c>
      <c r="R702" t="b">
        <f>COUNTIF($A$6     : CleanedSalesData[[#This Row],[Order ID]], CleanedSalesData[[#This Row],[Order ID]])&gt;1</f>
        <v>0</v>
      </c>
      <c r="S702" t="b">
        <f>IF(ISBLANK(CleanedSalesData[[#This Row],[Quantity]]), TRUE, FALSE)</f>
        <v>0</v>
      </c>
      <c r="T702" t="b">
        <f>IF(ISBLANK(CleanedSalesData[[#This Row],[Order Date]]), TRUE, FALSE)</f>
        <v>0</v>
      </c>
      <c r="U702" t="b">
        <f>IF(ISBLANK(CleanedSalesData[[#This Row],[Revenue]]), TRUE, FALSE)</f>
        <v>0</v>
      </c>
      <c r="V702" t="b">
        <f>IF(OR(CleanedSalesData[[#This Row],[Order Status]]="Cancelled", CleanedSalesData[[#This Row],[Order Status]]="Returned"), TRUE, FALSE)</f>
        <v>0</v>
      </c>
      <c r="W702" t="str" cm="1">
        <f t="array" ref="W70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3" spans="1:23" x14ac:dyDescent="0.35">
      <c r="A703" t="s">
        <v>862</v>
      </c>
      <c r="B703" s="7">
        <v>46051</v>
      </c>
      <c r="C703" t="s">
        <v>948</v>
      </c>
      <c r="D703">
        <v>1</v>
      </c>
      <c r="E703" t="s">
        <v>95</v>
      </c>
      <c r="F703" t="s">
        <v>40</v>
      </c>
      <c r="G703" t="s">
        <v>48</v>
      </c>
      <c r="H703" t="s">
        <v>33</v>
      </c>
      <c r="I703" t="s">
        <v>78</v>
      </c>
      <c r="J703" t="s">
        <v>79</v>
      </c>
      <c r="K703" t="s">
        <v>62</v>
      </c>
      <c r="L703">
        <v>6</v>
      </c>
      <c r="M703" s="10">
        <v>0</v>
      </c>
      <c r="N703" s="11">
        <v>510000</v>
      </c>
      <c r="O703" s="11">
        <v>258000</v>
      </c>
      <c r="P703" s="11">
        <v>252000</v>
      </c>
      <c r="Q703" t="s">
        <v>52</v>
      </c>
      <c r="R703" t="b">
        <f>COUNTIF($A$6     : CleanedSalesData[[#This Row],[Order ID]], CleanedSalesData[[#This Row],[Order ID]])&gt;1</f>
        <v>0</v>
      </c>
      <c r="S703" t="b">
        <f>IF(ISBLANK(CleanedSalesData[[#This Row],[Quantity]]), TRUE, FALSE)</f>
        <v>0</v>
      </c>
      <c r="T703" t="b">
        <f>IF(ISBLANK(CleanedSalesData[[#This Row],[Order Date]]), TRUE, FALSE)</f>
        <v>0</v>
      </c>
      <c r="U703" t="b">
        <f>IF(ISBLANK(CleanedSalesData[[#This Row],[Revenue]]), TRUE, FALSE)</f>
        <v>0</v>
      </c>
      <c r="V703" t="b">
        <f>IF(OR(CleanedSalesData[[#This Row],[Order Status]]="Cancelled", CleanedSalesData[[#This Row],[Order Status]]="Returned"), TRUE, FALSE)</f>
        <v>0</v>
      </c>
      <c r="W703" t="str" cm="1">
        <f t="array" ref="W70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4" spans="1:23" x14ac:dyDescent="0.35">
      <c r="A704" t="s">
        <v>863</v>
      </c>
      <c r="B704" s="7">
        <v>46151</v>
      </c>
      <c r="C704" t="s">
        <v>946</v>
      </c>
      <c r="D704">
        <v>5</v>
      </c>
      <c r="E704" t="s">
        <v>54</v>
      </c>
      <c r="F704" t="s">
        <v>59</v>
      </c>
      <c r="G704" t="s">
        <v>81</v>
      </c>
      <c r="H704" t="s">
        <v>33</v>
      </c>
      <c r="I704" t="s">
        <v>82</v>
      </c>
      <c r="J704" t="s">
        <v>83</v>
      </c>
      <c r="K704" t="s">
        <v>44</v>
      </c>
      <c r="L704">
        <v>3</v>
      </c>
      <c r="M704" s="10">
        <v>0.03</v>
      </c>
      <c r="N704" s="11">
        <v>4219500</v>
      </c>
      <c r="O704" s="11">
        <v>2940000</v>
      </c>
      <c r="P704" s="11">
        <v>1279500</v>
      </c>
      <c r="Q704" t="s">
        <v>84</v>
      </c>
      <c r="R704" t="b">
        <f>COUNTIF($A$6     : CleanedSalesData[[#This Row],[Order ID]], CleanedSalesData[[#This Row],[Order ID]])&gt;1</f>
        <v>0</v>
      </c>
      <c r="S704" t="b">
        <f>IF(ISBLANK(CleanedSalesData[[#This Row],[Quantity]]), TRUE, FALSE)</f>
        <v>0</v>
      </c>
      <c r="T704" t="b">
        <f>IF(ISBLANK(CleanedSalesData[[#This Row],[Order Date]]), TRUE, FALSE)</f>
        <v>0</v>
      </c>
      <c r="U704" t="b">
        <f>IF(ISBLANK(CleanedSalesData[[#This Row],[Revenue]]), TRUE, FALSE)</f>
        <v>0</v>
      </c>
      <c r="V704" t="b">
        <f>IF(OR(CleanedSalesData[[#This Row],[Order Status]]="Cancelled", CleanedSalesData[[#This Row],[Order Status]]="Returned"), TRUE, FALSE)</f>
        <v>0</v>
      </c>
      <c r="W704" t="str" cm="1">
        <f t="array" ref="W70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5" spans="1:23" x14ac:dyDescent="0.35">
      <c r="A705" t="s">
        <v>864</v>
      </c>
      <c r="B705" s="7">
        <v>46048</v>
      </c>
      <c r="C705" t="s">
        <v>948</v>
      </c>
      <c r="D705">
        <v>1</v>
      </c>
      <c r="E705" t="s">
        <v>69</v>
      </c>
      <c r="F705" t="s">
        <v>59</v>
      </c>
      <c r="G705" t="s">
        <v>48</v>
      </c>
      <c r="H705" t="s">
        <v>33</v>
      </c>
      <c r="I705" t="s">
        <v>86</v>
      </c>
      <c r="J705" t="s">
        <v>87</v>
      </c>
      <c r="K705" t="s">
        <v>36</v>
      </c>
      <c r="L705">
        <v>3</v>
      </c>
      <c r="M705" s="10">
        <v>0.03</v>
      </c>
      <c r="N705" s="11">
        <v>1018500</v>
      </c>
      <c r="O705" s="11">
        <v>630000</v>
      </c>
      <c r="P705" s="11">
        <v>388500</v>
      </c>
      <c r="Q705" t="s">
        <v>74</v>
      </c>
      <c r="R705" t="b">
        <f>COUNTIF($A$6     : CleanedSalesData[[#This Row],[Order ID]], CleanedSalesData[[#This Row],[Order ID]])&gt;1</f>
        <v>0</v>
      </c>
      <c r="S705" t="b">
        <f>IF(ISBLANK(CleanedSalesData[[#This Row],[Quantity]]), TRUE, FALSE)</f>
        <v>0</v>
      </c>
      <c r="T705" t="b">
        <f>IF(ISBLANK(CleanedSalesData[[#This Row],[Order Date]]), TRUE, FALSE)</f>
        <v>0</v>
      </c>
      <c r="U705" t="b">
        <f>IF(ISBLANK(CleanedSalesData[[#This Row],[Revenue]]), TRUE, FALSE)</f>
        <v>0</v>
      </c>
      <c r="V705" t="b">
        <f>IF(OR(CleanedSalesData[[#This Row],[Order Status]]="Cancelled", CleanedSalesData[[#This Row],[Order Status]]="Returned"), TRUE, FALSE)</f>
        <v>0</v>
      </c>
      <c r="W705" t="str" cm="1">
        <f t="array" ref="W70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6" spans="1:23" x14ac:dyDescent="0.35">
      <c r="A706" t="s">
        <v>865</v>
      </c>
      <c r="B706" s="7">
        <v>46102</v>
      </c>
      <c r="C706" t="s">
        <v>947</v>
      </c>
      <c r="D706">
        <v>3</v>
      </c>
      <c r="E706" t="s">
        <v>111</v>
      </c>
      <c r="F706" t="s">
        <v>40</v>
      </c>
      <c r="G706" t="s">
        <v>81</v>
      </c>
      <c r="H706" t="s">
        <v>90</v>
      </c>
      <c r="I706" t="s">
        <v>34</v>
      </c>
      <c r="J706" t="s">
        <v>35</v>
      </c>
      <c r="K706" t="s">
        <v>36</v>
      </c>
      <c r="L706">
        <v>1</v>
      </c>
      <c r="M706" s="10">
        <v>0.15</v>
      </c>
      <c r="N706" s="11">
        <v>403750</v>
      </c>
      <c r="O706" s="11">
        <v>285000</v>
      </c>
      <c r="P706" s="11">
        <v>118750</v>
      </c>
      <c r="Q706" t="s">
        <v>74</v>
      </c>
      <c r="R706" t="b">
        <f>COUNTIF($A$6     : CleanedSalesData[[#This Row],[Order ID]], CleanedSalesData[[#This Row],[Order ID]])&gt;1</f>
        <v>0</v>
      </c>
      <c r="S706" t="b">
        <f>IF(ISBLANK(CleanedSalesData[[#This Row],[Quantity]]), TRUE, FALSE)</f>
        <v>0</v>
      </c>
      <c r="T706" t="b">
        <f>IF(ISBLANK(CleanedSalesData[[#This Row],[Order Date]]), TRUE, FALSE)</f>
        <v>0</v>
      </c>
      <c r="U706" t="b">
        <f>IF(ISBLANK(CleanedSalesData[[#This Row],[Revenue]]), TRUE, FALSE)</f>
        <v>0</v>
      </c>
      <c r="V706" t="b">
        <f>IF(OR(CleanedSalesData[[#This Row],[Order Status]]="Cancelled", CleanedSalesData[[#This Row],[Order Status]]="Returned"), TRUE, FALSE)</f>
        <v>0</v>
      </c>
      <c r="W706" t="str" cm="1">
        <f t="array" ref="W70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7" spans="1:23" x14ac:dyDescent="0.35">
      <c r="A707" t="s">
        <v>866</v>
      </c>
      <c r="B707" s="7">
        <v>46049</v>
      </c>
      <c r="C707" t="s">
        <v>948</v>
      </c>
      <c r="D707">
        <v>1</v>
      </c>
      <c r="E707" t="s">
        <v>54</v>
      </c>
      <c r="F707" t="s">
        <v>70</v>
      </c>
      <c r="G707" t="s">
        <v>32</v>
      </c>
      <c r="H707" t="s">
        <v>33</v>
      </c>
      <c r="I707" t="s">
        <v>42</v>
      </c>
      <c r="J707" t="s">
        <v>43</v>
      </c>
      <c r="K707" t="s">
        <v>44</v>
      </c>
      <c r="L707">
        <v>5</v>
      </c>
      <c r="M707" s="10">
        <v>0</v>
      </c>
      <c r="N707" s="11">
        <v>1375000</v>
      </c>
      <c r="O707" s="11">
        <v>775000</v>
      </c>
      <c r="P707" s="11">
        <v>600000</v>
      </c>
      <c r="Q707" t="s">
        <v>45</v>
      </c>
      <c r="R707" t="b">
        <f>COUNTIF($A$6     : CleanedSalesData[[#This Row],[Order ID]], CleanedSalesData[[#This Row],[Order ID]])&gt;1</f>
        <v>0</v>
      </c>
      <c r="S707" t="b">
        <f>IF(ISBLANK(CleanedSalesData[[#This Row],[Quantity]]), TRUE, FALSE)</f>
        <v>0</v>
      </c>
      <c r="T707" t="b">
        <f>IF(ISBLANK(CleanedSalesData[[#This Row],[Order Date]]), TRUE, FALSE)</f>
        <v>0</v>
      </c>
      <c r="U707" t="b">
        <f>IF(ISBLANK(CleanedSalesData[[#This Row],[Revenue]]), TRUE, FALSE)</f>
        <v>0</v>
      </c>
      <c r="V707" t="b">
        <f>IF(OR(CleanedSalesData[[#This Row],[Order Status]]="Cancelled", CleanedSalesData[[#This Row],[Order Status]]="Returned"), TRUE, FALSE)</f>
        <v>0</v>
      </c>
      <c r="W707" t="str" cm="1">
        <f t="array" ref="W70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8" spans="1:23" x14ac:dyDescent="0.35">
      <c r="A708" t="s">
        <v>867</v>
      </c>
      <c r="B708" s="7">
        <v>46072</v>
      </c>
      <c r="C708" t="s">
        <v>944</v>
      </c>
      <c r="D708">
        <v>2</v>
      </c>
      <c r="E708" t="s">
        <v>76</v>
      </c>
      <c r="F708" t="s">
        <v>59</v>
      </c>
      <c r="G708" t="s">
        <v>41</v>
      </c>
      <c r="H708" t="s">
        <v>33</v>
      </c>
      <c r="I708" t="s">
        <v>49</v>
      </c>
      <c r="J708" t="s">
        <v>50</v>
      </c>
      <c r="K708" t="s">
        <v>51</v>
      </c>
      <c r="L708">
        <v>5</v>
      </c>
      <c r="M708" s="10">
        <v>0.05</v>
      </c>
      <c r="N708" s="11">
        <v>1163750</v>
      </c>
      <c r="O708" s="11">
        <v>725000</v>
      </c>
      <c r="P708" s="11">
        <v>438750</v>
      </c>
      <c r="Q708" t="s">
        <v>84</v>
      </c>
      <c r="R708" t="b">
        <f>COUNTIF($A$6     : CleanedSalesData[[#This Row],[Order ID]], CleanedSalesData[[#This Row],[Order ID]])&gt;1</f>
        <v>0</v>
      </c>
      <c r="S708" t="b">
        <f>IF(ISBLANK(CleanedSalesData[[#This Row],[Quantity]]), TRUE, FALSE)</f>
        <v>0</v>
      </c>
      <c r="T708" t="b">
        <f>IF(ISBLANK(CleanedSalesData[[#This Row],[Order Date]]), TRUE, FALSE)</f>
        <v>0</v>
      </c>
      <c r="U708" t="b">
        <f>IF(ISBLANK(CleanedSalesData[[#This Row],[Revenue]]), TRUE, FALSE)</f>
        <v>0</v>
      </c>
      <c r="V708" t="b">
        <f>IF(OR(CleanedSalesData[[#This Row],[Order Status]]="Cancelled", CleanedSalesData[[#This Row],[Order Status]]="Returned"), TRUE, FALSE)</f>
        <v>0</v>
      </c>
      <c r="W708" t="str" cm="1">
        <f t="array" ref="W70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09" spans="1:23" x14ac:dyDescent="0.35">
      <c r="A709" t="s">
        <v>868</v>
      </c>
      <c r="B709" s="7">
        <v>46063</v>
      </c>
      <c r="C709" t="s">
        <v>944</v>
      </c>
      <c r="D709">
        <v>2</v>
      </c>
      <c r="E709" t="s">
        <v>39</v>
      </c>
      <c r="F709" t="s">
        <v>47</v>
      </c>
      <c r="G709" t="s">
        <v>41</v>
      </c>
      <c r="H709" t="s">
        <v>33</v>
      </c>
      <c r="I709" t="s">
        <v>55</v>
      </c>
      <c r="J709" t="s">
        <v>56</v>
      </c>
      <c r="K709" t="s">
        <v>36</v>
      </c>
      <c r="L709">
        <v>5</v>
      </c>
      <c r="M709" s="10">
        <v>0</v>
      </c>
      <c r="N709" s="11">
        <v>9250000</v>
      </c>
      <c r="O709" s="11">
        <v>6600000</v>
      </c>
      <c r="P709" s="11">
        <v>2650000</v>
      </c>
      <c r="Q709" t="s">
        <v>63</v>
      </c>
      <c r="R709" t="b">
        <f>COUNTIF($A$6     : CleanedSalesData[[#This Row],[Order ID]], CleanedSalesData[[#This Row],[Order ID]])&gt;1</f>
        <v>0</v>
      </c>
      <c r="S709" t="b">
        <f>IF(ISBLANK(CleanedSalesData[[#This Row],[Quantity]]), TRUE, FALSE)</f>
        <v>0</v>
      </c>
      <c r="T709" t="b">
        <f>IF(ISBLANK(CleanedSalesData[[#This Row],[Order Date]]), TRUE, FALSE)</f>
        <v>0</v>
      </c>
      <c r="U709" t="b">
        <f>IF(ISBLANK(CleanedSalesData[[#This Row],[Revenue]]), TRUE, FALSE)</f>
        <v>0</v>
      </c>
      <c r="V709" t="b">
        <f>IF(OR(CleanedSalesData[[#This Row],[Order Status]]="Cancelled", CleanedSalesData[[#This Row],[Order Status]]="Returned"), TRUE, FALSE)</f>
        <v>0</v>
      </c>
      <c r="W709" t="str" cm="1">
        <f t="array" ref="W70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0" spans="1:23" x14ac:dyDescent="0.35">
      <c r="A710" t="s">
        <v>869</v>
      </c>
      <c r="B710" s="7">
        <v>46163</v>
      </c>
      <c r="C710" t="s">
        <v>946</v>
      </c>
      <c r="D710">
        <v>5</v>
      </c>
      <c r="E710" t="s">
        <v>30</v>
      </c>
      <c r="F710" t="s">
        <v>70</v>
      </c>
      <c r="G710" t="s">
        <v>32</v>
      </c>
      <c r="H710" t="s">
        <v>33</v>
      </c>
      <c r="I710" t="s">
        <v>60</v>
      </c>
      <c r="J710" t="s">
        <v>61</v>
      </c>
      <c r="K710" t="s">
        <v>62</v>
      </c>
      <c r="L710">
        <v>6</v>
      </c>
      <c r="M710" s="10">
        <v>0.05</v>
      </c>
      <c r="N710" s="11">
        <v>370500</v>
      </c>
      <c r="O710" s="11">
        <v>186000</v>
      </c>
      <c r="P710" s="11">
        <v>184500</v>
      </c>
      <c r="Q710" t="s">
        <v>37</v>
      </c>
      <c r="R710" t="b">
        <f>COUNTIF($A$6     : CleanedSalesData[[#This Row],[Order ID]], CleanedSalesData[[#This Row],[Order ID]])&gt;1</f>
        <v>0</v>
      </c>
      <c r="S710" t="b">
        <f>IF(ISBLANK(CleanedSalesData[[#This Row],[Quantity]]), TRUE, FALSE)</f>
        <v>0</v>
      </c>
      <c r="T710" t="b">
        <f>IF(ISBLANK(CleanedSalesData[[#This Row],[Order Date]]), TRUE, FALSE)</f>
        <v>0</v>
      </c>
      <c r="U710" t="b">
        <f>IF(ISBLANK(CleanedSalesData[[#This Row],[Revenue]]), TRUE, FALSE)</f>
        <v>0</v>
      </c>
      <c r="V710" t="b">
        <f>IF(OR(CleanedSalesData[[#This Row],[Order Status]]="Cancelled", CleanedSalesData[[#This Row],[Order Status]]="Returned"), TRUE, FALSE)</f>
        <v>0</v>
      </c>
      <c r="W710" t="str" cm="1">
        <f t="array" ref="W71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1" spans="1:23" x14ac:dyDescent="0.35">
      <c r="A711" t="s">
        <v>871</v>
      </c>
      <c r="B711" s="7">
        <v>46102</v>
      </c>
      <c r="C711" t="s">
        <v>947</v>
      </c>
      <c r="D711">
        <v>3</v>
      </c>
      <c r="E711" t="s">
        <v>111</v>
      </c>
      <c r="F711" t="s">
        <v>31</v>
      </c>
      <c r="G711" t="s">
        <v>41</v>
      </c>
      <c r="H711" t="s">
        <v>33</v>
      </c>
      <c r="I711" t="s">
        <v>66</v>
      </c>
      <c r="J711" t="s">
        <v>67</v>
      </c>
      <c r="K711" t="s">
        <v>51</v>
      </c>
      <c r="L711">
        <v>6</v>
      </c>
      <c r="M711" s="10">
        <v>0.1</v>
      </c>
      <c r="N711" s="11">
        <v>1674000</v>
      </c>
      <c r="O711" s="11">
        <v>1140000</v>
      </c>
      <c r="P711" s="11">
        <v>534000</v>
      </c>
      <c r="Q711" t="s">
        <v>74</v>
      </c>
      <c r="R711" t="b">
        <f>COUNTIF($A$6     : CleanedSalesData[[#This Row],[Order ID]], CleanedSalesData[[#This Row],[Order ID]])&gt;1</f>
        <v>0</v>
      </c>
      <c r="S711" t="b">
        <f>IF(ISBLANK(CleanedSalesData[[#This Row],[Quantity]]), TRUE, FALSE)</f>
        <v>0</v>
      </c>
      <c r="T711" t="b">
        <f>IF(ISBLANK(CleanedSalesData[[#This Row],[Order Date]]), TRUE, FALSE)</f>
        <v>0</v>
      </c>
      <c r="U711" t="b">
        <f>IF(ISBLANK(CleanedSalesData[[#This Row],[Revenue]]), TRUE, FALSE)</f>
        <v>0</v>
      </c>
      <c r="V711" t="b">
        <f>IF(OR(CleanedSalesData[[#This Row],[Order Status]]="Cancelled", CleanedSalesData[[#This Row],[Order Status]]="Returned"), TRUE, FALSE)</f>
        <v>0</v>
      </c>
      <c r="W711" t="str" cm="1">
        <f t="array" ref="W71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2" spans="1:23" x14ac:dyDescent="0.35">
      <c r="A712" t="s">
        <v>872</v>
      </c>
      <c r="B712" s="7">
        <v>46050</v>
      </c>
      <c r="C712" t="s">
        <v>948</v>
      </c>
      <c r="D712">
        <v>1</v>
      </c>
      <c r="E712" t="s">
        <v>111</v>
      </c>
      <c r="F712" t="s">
        <v>59</v>
      </c>
      <c r="G712" t="s">
        <v>32</v>
      </c>
      <c r="H712" t="s">
        <v>33</v>
      </c>
      <c r="I712" t="s">
        <v>71</v>
      </c>
      <c r="J712" t="s">
        <v>72</v>
      </c>
      <c r="K712" t="s">
        <v>73</v>
      </c>
      <c r="L712">
        <v>7</v>
      </c>
      <c r="M712" s="10">
        <v>0</v>
      </c>
      <c r="N712" s="11">
        <v>875000</v>
      </c>
      <c r="O712" s="11">
        <v>490000</v>
      </c>
      <c r="P712" s="11">
        <v>385000</v>
      </c>
      <c r="Q712" t="s">
        <v>63</v>
      </c>
      <c r="R712" t="b">
        <f>COUNTIF($A$6     : CleanedSalesData[[#This Row],[Order ID]], CleanedSalesData[[#This Row],[Order ID]])&gt;1</f>
        <v>0</v>
      </c>
      <c r="S712" t="b">
        <f>IF(ISBLANK(CleanedSalesData[[#This Row],[Quantity]]), TRUE, FALSE)</f>
        <v>0</v>
      </c>
      <c r="T712" t="b">
        <f>IF(ISBLANK(CleanedSalesData[[#This Row],[Order Date]]), TRUE, FALSE)</f>
        <v>0</v>
      </c>
      <c r="U712" t="b">
        <f>IF(ISBLANK(CleanedSalesData[[#This Row],[Revenue]]), TRUE, FALSE)</f>
        <v>0</v>
      </c>
      <c r="V712" t="b">
        <f>IF(OR(CleanedSalesData[[#This Row],[Order Status]]="Cancelled", CleanedSalesData[[#This Row],[Order Status]]="Returned"), TRUE, FALSE)</f>
        <v>0</v>
      </c>
      <c r="W712" t="str" cm="1">
        <f t="array" ref="W71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3" spans="1:23" x14ac:dyDescent="0.35">
      <c r="A713" t="s">
        <v>873</v>
      </c>
      <c r="B713" s="7">
        <v>32874</v>
      </c>
      <c r="C713" t="s">
        <v>948</v>
      </c>
      <c r="D713">
        <v>1</v>
      </c>
      <c r="E713" t="s">
        <v>111</v>
      </c>
      <c r="F713" t="s">
        <v>47</v>
      </c>
      <c r="G713" t="s">
        <v>41</v>
      </c>
      <c r="H713" t="s">
        <v>33</v>
      </c>
      <c r="I713" t="s">
        <v>78</v>
      </c>
      <c r="J713" t="s">
        <v>79</v>
      </c>
      <c r="K713" t="s">
        <v>62</v>
      </c>
      <c r="L713">
        <v>6</v>
      </c>
      <c r="M713" s="10">
        <v>0.03</v>
      </c>
      <c r="N713" s="11">
        <v>494700</v>
      </c>
      <c r="O713" s="11">
        <v>258000</v>
      </c>
      <c r="P713" s="11">
        <v>236700</v>
      </c>
      <c r="Q713" t="s">
        <v>84</v>
      </c>
      <c r="R713" t="b">
        <f>COUNTIF($A$6     : CleanedSalesData[[#This Row],[Order ID]], CleanedSalesData[[#This Row],[Order ID]])&gt;1</f>
        <v>0</v>
      </c>
      <c r="S713" t="b">
        <f>IF(ISBLANK(CleanedSalesData[[#This Row],[Quantity]]), TRUE, FALSE)</f>
        <v>0</v>
      </c>
      <c r="T713" t="b">
        <f>IF(ISBLANK(CleanedSalesData[[#This Row],[Order Date]]), TRUE, FALSE)</f>
        <v>0</v>
      </c>
      <c r="U713" t="b">
        <f>IF(ISBLANK(CleanedSalesData[[#This Row],[Revenue]]), TRUE, FALSE)</f>
        <v>0</v>
      </c>
      <c r="V713" t="b">
        <f>IF(OR(CleanedSalesData[[#This Row],[Order Status]]="Cancelled", CleanedSalesData[[#This Row],[Order Status]]="Returned"), TRUE, FALSE)</f>
        <v>0</v>
      </c>
      <c r="W713" t="str" cm="1">
        <f t="array" ref="W71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4" spans="1:23" x14ac:dyDescent="0.35">
      <c r="A714" t="s">
        <v>875</v>
      </c>
      <c r="B714" s="7">
        <v>46046</v>
      </c>
      <c r="C714" t="s">
        <v>948</v>
      </c>
      <c r="D714">
        <v>1</v>
      </c>
      <c r="E714" t="s">
        <v>39</v>
      </c>
      <c r="F714" t="s">
        <v>59</v>
      </c>
      <c r="G714" t="s">
        <v>48</v>
      </c>
      <c r="H714" t="s">
        <v>33</v>
      </c>
      <c r="I714" t="s">
        <v>82</v>
      </c>
      <c r="J714" t="s">
        <v>83</v>
      </c>
      <c r="K714" t="s">
        <v>44</v>
      </c>
      <c r="L714">
        <v>8</v>
      </c>
      <c r="M714" s="10">
        <v>0</v>
      </c>
      <c r="N714" s="11">
        <v>11600000</v>
      </c>
      <c r="O714" s="11">
        <v>7840000</v>
      </c>
      <c r="P714" s="11">
        <v>3760000</v>
      </c>
      <c r="Q714" t="s">
        <v>45</v>
      </c>
      <c r="R714" t="b">
        <f>COUNTIF($A$6     : CleanedSalesData[[#This Row],[Order ID]], CleanedSalesData[[#This Row],[Order ID]])&gt;1</f>
        <v>0</v>
      </c>
      <c r="S714" t="b">
        <f>IF(ISBLANK(CleanedSalesData[[#This Row],[Quantity]]), TRUE, FALSE)</f>
        <v>0</v>
      </c>
      <c r="T714" t="b">
        <f>IF(ISBLANK(CleanedSalesData[[#This Row],[Order Date]]), TRUE, FALSE)</f>
        <v>0</v>
      </c>
      <c r="U714" t="b">
        <f>IF(ISBLANK(CleanedSalesData[[#This Row],[Revenue]]), TRUE, FALSE)</f>
        <v>0</v>
      </c>
      <c r="V714" t="b">
        <f>IF(OR(CleanedSalesData[[#This Row],[Order Status]]="Cancelled", CleanedSalesData[[#This Row],[Order Status]]="Returned"), TRUE, FALSE)</f>
        <v>0</v>
      </c>
      <c r="W714" t="str" cm="1">
        <f t="array" ref="W71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5" spans="1:23" x14ac:dyDescent="0.35">
      <c r="A715" t="s">
        <v>876</v>
      </c>
      <c r="B715" s="7">
        <v>46059</v>
      </c>
      <c r="C715" t="s">
        <v>944</v>
      </c>
      <c r="D715">
        <v>2</v>
      </c>
      <c r="E715" t="s">
        <v>111</v>
      </c>
      <c r="F715" t="s">
        <v>70</v>
      </c>
      <c r="G715" t="s">
        <v>81</v>
      </c>
      <c r="H715" t="s">
        <v>33</v>
      </c>
      <c r="I715" t="s">
        <v>877</v>
      </c>
      <c r="J715" t="s">
        <v>87</v>
      </c>
      <c r="K715" t="s">
        <v>36</v>
      </c>
      <c r="L715">
        <v>5</v>
      </c>
      <c r="M715" s="10">
        <v>0.05</v>
      </c>
      <c r="N715" s="11">
        <v>1662500</v>
      </c>
      <c r="O715" s="11">
        <v>1050000</v>
      </c>
      <c r="P715" s="11">
        <v>612500</v>
      </c>
      <c r="Q715" t="s">
        <v>52</v>
      </c>
      <c r="R715" t="b">
        <f>COUNTIF($A$6     : CleanedSalesData[[#This Row],[Order ID]], CleanedSalesData[[#This Row],[Order ID]])&gt;1</f>
        <v>0</v>
      </c>
      <c r="S715" t="b">
        <f>IF(ISBLANK(CleanedSalesData[[#This Row],[Quantity]]), TRUE, FALSE)</f>
        <v>0</v>
      </c>
      <c r="T715" t="b">
        <f>IF(ISBLANK(CleanedSalesData[[#This Row],[Order Date]]), TRUE, FALSE)</f>
        <v>0</v>
      </c>
      <c r="U715" t="b">
        <f>IF(ISBLANK(CleanedSalesData[[#This Row],[Revenue]]), TRUE, FALSE)</f>
        <v>0</v>
      </c>
      <c r="V715" t="b">
        <f>IF(OR(CleanedSalesData[[#This Row],[Order Status]]="Cancelled", CleanedSalesData[[#This Row],[Order Status]]="Returned"), TRUE, FALSE)</f>
        <v>0</v>
      </c>
      <c r="W715" t="str" cm="1">
        <f t="array" ref="W71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6" spans="1:23" x14ac:dyDescent="0.35">
      <c r="A716" t="s">
        <v>878</v>
      </c>
      <c r="B716" s="7">
        <v>46030</v>
      </c>
      <c r="C716" t="s">
        <v>948</v>
      </c>
      <c r="D716">
        <v>1</v>
      </c>
      <c r="E716" t="s">
        <v>30</v>
      </c>
      <c r="F716" t="s">
        <v>59</v>
      </c>
      <c r="G716" t="s">
        <v>48</v>
      </c>
      <c r="H716" t="s">
        <v>33</v>
      </c>
      <c r="I716" t="s">
        <v>34</v>
      </c>
      <c r="J716" t="s">
        <v>35</v>
      </c>
      <c r="K716" t="s">
        <v>36</v>
      </c>
      <c r="L716">
        <v>2</v>
      </c>
      <c r="M716" s="10">
        <v>0.08</v>
      </c>
      <c r="N716" s="11">
        <v>874000</v>
      </c>
      <c r="O716" s="11">
        <v>570000</v>
      </c>
      <c r="P716" s="11">
        <v>304000</v>
      </c>
      <c r="Q716" t="s">
        <v>57</v>
      </c>
      <c r="R716" t="b">
        <f>COUNTIF($A$6     : CleanedSalesData[[#This Row],[Order ID]], CleanedSalesData[[#This Row],[Order ID]])&gt;1</f>
        <v>0</v>
      </c>
      <c r="S716" t="b">
        <f>IF(ISBLANK(CleanedSalesData[[#This Row],[Quantity]]), TRUE, FALSE)</f>
        <v>0</v>
      </c>
      <c r="T716" t="b">
        <f>IF(ISBLANK(CleanedSalesData[[#This Row],[Order Date]]), TRUE, FALSE)</f>
        <v>0</v>
      </c>
      <c r="U716" t="b">
        <f>IF(ISBLANK(CleanedSalesData[[#This Row],[Revenue]]), TRUE, FALSE)</f>
        <v>0</v>
      </c>
      <c r="V716" t="b">
        <f>IF(OR(CleanedSalesData[[#This Row],[Order Status]]="Cancelled", CleanedSalesData[[#This Row],[Order Status]]="Returned"), TRUE, FALSE)</f>
        <v>0</v>
      </c>
      <c r="W716" t="str" cm="1">
        <f t="array" ref="W71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7" spans="1:23" x14ac:dyDescent="0.35">
      <c r="A717" t="s">
        <v>879</v>
      </c>
      <c r="B717" s="7">
        <v>46112</v>
      </c>
      <c r="C717" t="s">
        <v>947</v>
      </c>
      <c r="D717">
        <v>3</v>
      </c>
      <c r="E717" t="s">
        <v>69</v>
      </c>
      <c r="F717" t="s">
        <v>40</v>
      </c>
      <c r="G717" t="s">
        <v>81</v>
      </c>
      <c r="H717" t="s">
        <v>33</v>
      </c>
      <c r="I717" t="s">
        <v>42</v>
      </c>
      <c r="J717" t="s">
        <v>43</v>
      </c>
      <c r="K717" t="s">
        <v>44</v>
      </c>
      <c r="M717" s="10">
        <v>0.1</v>
      </c>
      <c r="N717" s="11">
        <v>742500</v>
      </c>
      <c r="O717" s="11">
        <v>465000</v>
      </c>
      <c r="P717" s="11">
        <v>277500</v>
      </c>
      <c r="Q717" t="s">
        <v>57</v>
      </c>
      <c r="R717" t="b">
        <f>COUNTIF($A$6     : CleanedSalesData[[#This Row],[Order ID]], CleanedSalesData[[#This Row],[Order ID]])&gt;1</f>
        <v>0</v>
      </c>
      <c r="S717" t="b">
        <f>IF(ISBLANK(CleanedSalesData[[#This Row],[Quantity]]), TRUE, FALSE)</f>
        <v>1</v>
      </c>
      <c r="T717" t="b">
        <f>IF(ISBLANK(CleanedSalesData[[#This Row],[Order Date]]), TRUE, FALSE)</f>
        <v>0</v>
      </c>
      <c r="U717" t="b">
        <f>IF(ISBLANK(CleanedSalesData[[#This Row],[Revenue]]), TRUE, FALSE)</f>
        <v>0</v>
      </c>
      <c r="V717" t="b">
        <f>IF(OR(CleanedSalesData[[#This Row],[Order Status]]="Cancelled", CleanedSalesData[[#This Row],[Order Status]]="Returned"), TRUE, FALSE)</f>
        <v>0</v>
      </c>
      <c r="W717" t="str" cm="1">
        <f t="array" ref="W71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Check Quantity</v>
      </c>
    </row>
    <row r="718" spans="1:23" x14ac:dyDescent="0.35">
      <c r="A718" t="s">
        <v>880</v>
      </c>
      <c r="B718" s="7">
        <v>46159</v>
      </c>
      <c r="C718" t="s">
        <v>946</v>
      </c>
      <c r="D718">
        <v>5</v>
      </c>
      <c r="E718" t="s">
        <v>30</v>
      </c>
      <c r="F718" t="s">
        <v>31</v>
      </c>
      <c r="G718" t="s">
        <v>32</v>
      </c>
      <c r="H718" t="s">
        <v>33</v>
      </c>
      <c r="I718" t="s">
        <v>49</v>
      </c>
      <c r="J718" t="s">
        <v>50</v>
      </c>
      <c r="K718" t="s">
        <v>51</v>
      </c>
      <c r="L718">
        <v>8</v>
      </c>
      <c r="M718" s="10">
        <v>0.08</v>
      </c>
      <c r="N718" s="11">
        <v>1803200</v>
      </c>
      <c r="O718" s="11">
        <v>1160000</v>
      </c>
      <c r="P718" s="11">
        <v>643200</v>
      </c>
      <c r="Q718" t="s">
        <v>52</v>
      </c>
      <c r="R718" t="b">
        <f>COUNTIF($A$6     : CleanedSalesData[[#This Row],[Order ID]], CleanedSalesData[[#This Row],[Order ID]])&gt;1</f>
        <v>0</v>
      </c>
      <c r="S718" t="b">
        <f>IF(ISBLANK(CleanedSalesData[[#This Row],[Quantity]]), TRUE, FALSE)</f>
        <v>0</v>
      </c>
      <c r="T718" t="b">
        <f>IF(ISBLANK(CleanedSalesData[[#This Row],[Order Date]]), TRUE, FALSE)</f>
        <v>0</v>
      </c>
      <c r="U718" t="b">
        <f>IF(ISBLANK(CleanedSalesData[[#This Row],[Revenue]]), TRUE, FALSE)</f>
        <v>0</v>
      </c>
      <c r="V718" t="b">
        <f>IF(OR(CleanedSalesData[[#This Row],[Order Status]]="Cancelled", CleanedSalesData[[#This Row],[Order Status]]="Returned"), TRUE, FALSE)</f>
        <v>0</v>
      </c>
      <c r="W718" t="str" cm="1">
        <f t="array" ref="W71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19" spans="1:23" x14ac:dyDescent="0.35">
      <c r="A719" t="s">
        <v>881</v>
      </c>
      <c r="B719" s="7">
        <v>46121</v>
      </c>
      <c r="C719" t="s">
        <v>949</v>
      </c>
      <c r="D719">
        <v>4</v>
      </c>
      <c r="E719" t="s">
        <v>65</v>
      </c>
      <c r="F719" t="s">
        <v>47</v>
      </c>
      <c r="G719" t="s">
        <v>48</v>
      </c>
      <c r="H719" t="s">
        <v>33</v>
      </c>
      <c r="I719" t="s">
        <v>55</v>
      </c>
      <c r="J719" t="s">
        <v>56</v>
      </c>
      <c r="K719" t="s">
        <v>36</v>
      </c>
      <c r="L719">
        <v>2</v>
      </c>
      <c r="M719" s="10">
        <v>0.05</v>
      </c>
      <c r="N719" s="11">
        <v>3515000</v>
      </c>
      <c r="O719" s="11">
        <v>2640000</v>
      </c>
      <c r="P719" s="11">
        <v>875000</v>
      </c>
      <c r="Q719" t="s">
        <v>63</v>
      </c>
      <c r="R719" t="b">
        <f>COUNTIF($A$6     : CleanedSalesData[[#This Row],[Order ID]], CleanedSalesData[[#This Row],[Order ID]])&gt;1</f>
        <v>0</v>
      </c>
      <c r="S719" t="b">
        <f>IF(ISBLANK(CleanedSalesData[[#This Row],[Quantity]]), TRUE, FALSE)</f>
        <v>0</v>
      </c>
      <c r="T719" t="b">
        <f>IF(ISBLANK(CleanedSalesData[[#This Row],[Order Date]]), TRUE, FALSE)</f>
        <v>0</v>
      </c>
      <c r="U719" t="b">
        <f>IF(ISBLANK(CleanedSalesData[[#This Row],[Revenue]]), TRUE, FALSE)</f>
        <v>0</v>
      </c>
      <c r="V719" t="b">
        <f>IF(OR(CleanedSalesData[[#This Row],[Order Status]]="Cancelled", CleanedSalesData[[#This Row],[Order Status]]="Returned"), TRUE, FALSE)</f>
        <v>0</v>
      </c>
      <c r="W719" t="str" cm="1">
        <f t="array" ref="W71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20" spans="1:23" x14ac:dyDescent="0.35">
      <c r="A720" t="s">
        <v>882</v>
      </c>
      <c r="B720" s="7">
        <v>46162</v>
      </c>
      <c r="C720" t="s">
        <v>946</v>
      </c>
      <c r="D720">
        <v>5</v>
      </c>
      <c r="E720" t="s">
        <v>69</v>
      </c>
      <c r="F720" t="s">
        <v>40</v>
      </c>
      <c r="G720" t="s">
        <v>48</v>
      </c>
      <c r="H720" t="s">
        <v>33</v>
      </c>
      <c r="I720" t="s">
        <v>60</v>
      </c>
      <c r="J720" t="s">
        <v>61</v>
      </c>
      <c r="K720" t="s">
        <v>62</v>
      </c>
      <c r="L720">
        <v>4</v>
      </c>
      <c r="M720" s="10">
        <v>0.03</v>
      </c>
      <c r="N720" s="11">
        <v>252200</v>
      </c>
      <c r="O720" s="11">
        <v>124000</v>
      </c>
      <c r="P720" s="11">
        <v>128200</v>
      </c>
      <c r="Q720" t="s">
        <v>52</v>
      </c>
      <c r="R720" t="b">
        <f>COUNTIF($A$6     : CleanedSalesData[[#This Row],[Order ID]], CleanedSalesData[[#This Row],[Order ID]])&gt;1</f>
        <v>0</v>
      </c>
      <c r="S720" t="b">
        <f>IF(ISBLANK(CleanedSalesData[[#This Row],[Quantity]]), TRUE, FALSE)</f>
        <v>0</v>
      </c>
      <c r="T720" t="b">
        <f>IF(ISBLANK(CleanedSalesData[[#This Row],[Order Date]]), TRUE, FALSE)</f>
        <v>0</v>
      </c>
      <c r="U720" t="b">
        <f>IF(ISBLANK(CleanedSalesData[[#This Row],[Revenue]]), TRUE, FALSE)</f>
        <v>0</v>
      </c>
      <c r="V720" t="b">
        <f>IF(OR(CleanedSalesData[[#This Row],[Order Status]]="Cancelled", CleanedSalesData[[#This Row],[Order Status]]="Returned"), TRUE, FALSE)</f>
        <v>0</v>
      </c>
      <c r="W720" t="str" cm="1">
        <f t="array" ref="W72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21" spans="1:23" x14ac:dyDescent="0.35">
      <c r="A721" t="s">
        <v>883</v>
      </c>
      <c r="B721" s="7">
        <v>46106</v>
      </c>
      <c r="C721" t="s">
        <v>947</v>
      </c>
      <c r="D721">
        <v>3</v>
      </c>
      <c r="E721" t="s">
        <v>69</v>
      </c>
      <c r="F721" t="s">
        <v>59</v>
      </c>
      <c r="G721" t="s">
        <v>41</v>
      </c>
      <c r="H721" t="s">
        <v>33</v>
      </c>
      <c r="I721" t="s">
        <v>66</v>
      </c>
      <c r="J721" t="s">
        <v>67</v>
      </c>
      <c r="K721" t="s">
        <v>51</v>
      </c>
      <c r="L721">
        <v>2</v>
      </c>
      <c r="M721" s="10">
        <v>0.08</v>
      </c>
      <c r="N721" s="11">
        <v>570400</v>
      </c>
      <c r="O721" s="11">
        <v>380000</v>
      </c>
      <c r="P721" s="11">
        <v>190400</v>
      </c>
      <c r="Q721" t="s">
        <v>93</v>
      </c>
      <c r="R721" t="b">
        <f>COUNTIF($A$6     : CleanedSalesData[[#This Row],[Order ID]], CleanedSalesData[[#This Row],[Order ID]])&gt;1</f>
        <v>0</v>
      </c>
      <c r="S721" t="b">
        <f>IF(ISBLANK(CleanedSalesData[[#This Row],[Quantity]]), TRUE, FALSE)</f>
        <v>0</v>
      </c>
      <c r="T721" t="b">
        <f>IF(ISBLANK(CleanedSalesData[[#This Row],[Order Date]]), TRUE, FALSE)</f>
        <v>0</v>
      </c>
      <c r="U721" t="b">
        <f>IF(ISBLANK(CleanedSalesData[[#This Row],[Revenue]]), TRUE, FALSE)</f>
        <v>0</v>
      </c>
      <c r="V721" t="b">
        <f>IF(OR(CleanedSalesData[[#This Row],[Order Status]]="Cancelled", CleanedSalesData[[#This Row],[Order Status]]="Returned"), TRUE, FALSE)</f>
        <v>0</v>
      </c>
      <c r="W721" t="str" cm="1">
        <f t="array" ref="W721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22" spans="1:23" x14ac:dyDescent="0.35">
      <c r="A722" t="s">
        <v>884</v>
      </c>
      <c r="B722" s="7">
        <v>46106</v>
      </c>
      <c r="C722" t="s">
        <v>947</v>
      </c>
      <c r="D722">
        <v>3</v>
      </c>
      <c r="E722" t="s">
        <v>30</v>
      </c>
      <c r="F722" t="s">
        <v>40</v>
      </c>
      <c r="G722" t="s">
        <v>32</v>
      </c>
      <c r="H722" t="s">
        <v>33</v>
      </c>
      <c r="I722" t="s">
        <v>71</v>
      </c>
      <c r="J722" t="s">
        <v>72</v>
      </c>
      <c r="K722" t="s">
        <v>73</v>
      </c>
      <c r="L722">
        <v>8</v>
      </c>
      <c r="M722" s="10">
        <v>0.15</v>
      </c>
      <c r="N722" s="11">
        <v>850000</v>
      </c>
      <c r="O722" s="11">
        <v>560000</v>
      </c>
      <c r="P722" s="11">
        <v>290000</v>
      </c>
      <c r="Q722" t="s">
        <v>74</v>
      </c>
      <c r="R722" t="b">
        <f>COUNTIF($A$6     : CleanedSalesData[[#This Row],[Order ID]], CleanedSalesData[[#This Row],[Order ID]])&gt;1</f>
        <v>0</v>
      </c>
      <c r="S722" t="b">
        <f>IF(ISBLANK(CleanedSalesData[[#This Row],[Quantity]]), TRUE, FALSE)</f>
        <v>0</v>
      </c>
      <c r="T722" t="b">
        <f>IF(ISBLANK(CleanedSalesData[[#This Row],[Order Date]]), TRUE, FALSE)</f>
        <v>0</v>
      </c>
      <c r="U722" t="b">
        <f>IF(ISBLANK(CleanedSalesData[[#This Row],[Revenue]]), TRUE, FALSE)</f>
        <v>0</v>
      </c>
      <c r="V722" t="b">
        <f>IF(OR(CleanedSalesData[[#This Row],[Order Status]]="Cancelled", CleanedSalesData[[#This Row],[Order Status]]="Returned"), TRUE, FALSE)</f>
        <v>0</v>
      </c>
      <c r="W722" t="str" cm="1">
        <f t="array" ref="W722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23" spans="1:23" x14ac:dyDescent="0.35">
      <c r="A723" t="s">
        <v>885</v>
      </c>
      <c r="B723" s="7">
        <v>46060</v>
      </c>
      <c r="C723" t="s">
        <v>944</v>
      </c>
      <c r="D723">
        <v>2</v>
      </c>
      <c r="E723" t="s">
        <v>39</v>
      </c>
      <c r="F723" t="s">
        <v>59</v>
      </c>
      <c r="G723" t="s">
        <v>48</v>
      </c>
      <c r="H723" t="s">
        <v>33</v>
      </c>
      <c r="I723" t="s">
        <v>78</v>
      </c>
      <c r="J723" t="s">
        <v>79</v>
      </c>
      <c r="K723" t="s">
        <v>62</v>
      </c>
      <c r="L723">
        <v>3</v>
      </c>
      <c r="M723" s="10">
        <v>0.08</v>
      </c>
      <c r="N723" s="11">
        <v>234600</v>
      </c>
      <c r="O723" s="11">
        <v>129000</v>
      </c>
      <c r="P723" s="11">
        <v>105600</v>
      </c>
      <c r="Q723" t="s">
        <v>45</v>
      </c>
      <c r="R723" t="b">
        <f>COUNTIF($A$6     : CleanedSalesData[[#This Row],[Order ID]], CleanedSalesData[[#This Row],[Order ID]])&gt;1</f>
        <v>0</v>
      </c>
      <c r="S723" t="b">
        <f>IF(ISBLANK(CleanedSalesData[[#This Row],[Quantity]]), TRUE, FALSE)</f>
        <v>0</v>
      </c>
      <c r="T723" t="b">
        <f>IF(ISBLANK(CleanedSalesData[[#This Row],[Order Date]]), TRUE, FALSE)</f>
        <v>0</v>
      </c>
      <c r="U723" t="b">
        <f>IF(ISBLANK(CleanedSalesData[[#This Row],[Revenue]]), TRUE, FALSE)</f>
        <v>0</v>
      </c>
      <c r="V723" t="b">
        <f>IF(OR(CleanedSalesData[[#This Row],[Order Status]]="Cancelled", CleanedSalesData[[#This Row],[Order Status]]="Returned"), TRUE, FALSE)</f>
        <v>0</v>
      </c>
      <c r="W723" t="str" cm="1">
        <f t="array" ref="W723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24" spans="1:23" x14ac:dyDescent="0.35">
      <c r="A724" t="s">
        <v>886</v>
      </c>
      <c r="B724" s="7">
        <v>46197</v>
      </c>
      <c r="C724" t="s">
        <v>945</v>
      </c>
      <c r="D724">
        <v>6</v>
      </c>
      <c r="E724" t="s">
        <v>54</v>
      </c>
      <c r="F724" t="s">
        <v>70</v>
      </c>
      <c r="G724" t="s">
        <v>48</v>
      </c>
      <c r="H724" t="s">
        <v>33</v>
      </c>
      <c r="I724" t="s">
        <v>82</v>
      </c>
      <c r="J724" t="s">
        <v>83</v>
      </c>
      <c r="K724" t="s">
        <v>44</v>
      </c>
      <c r="L724">
        <v>6</v>
      </c>
      <c r="M724" s="10">
        <v>0.05</v>
      </c>
      <c r="N724" s="11">
        <v>8265000</v>
      </c>
      <c r="O724" s="11">
        <v>5880000</v>
      </c>
      <c r="P724" s="11">
        <v>2385000</v>
      </c>
      <c r="Q724" t="s">
        <v>37</v>
      </c>
      <c r="R724" t="b">
        <f>COUNTIF($A$6     : CleanedSalesData[[#This Row],[Order ID]], CleanedSalesData[[#This Row],[Order ID]])&gt;1</f>
        <v>0</v>
      </c>
      <c r="S724" t="b">
        <f>IF(ISBLANK(CleanedSalesData[[#This Row],[Quantity]]), TRUE, FALSE)</f>
        <v>0</v>
      </c>
      <c r="T724" t="b">
        <f>IF(ISBLANK(CleanedSalesData[[#This Row],[Order Date]]), TRUE, FALSE)</f>
        <v>0</v>
      </c>
      <c r="U724" t="b">
        <f>IF(ISBLANK(CleanedSalesData[[#This Row],[Revenue]]), TRUE, FALSE)</f>
        <v>0</v>
      </c>
      <c r="V724" t="b">
        <f>IF(OR(CleanedSalesData[[#This Row],[Order Status]]="Cancelled", CleanedSalesData[[#This Row],[Order Status]]="Returned"), TRUE, FALSE)</f>
        <v>0</v>
      </c>
      <c r="W724" t="str" cm="1">
        <f t="array" ref="W724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Clean</v>
      </c>
    </row>
    <row r="725" spans="1:23" x14ac:dyDescent="0.35">
      <c r="A725" t="s">
        <v>887</v>
      </c>
      <c r="B725" s="7">
        <v>46172</v>
      </c>
      <c r="C725" t="s">
        <v>946</v>
      </c>
      <c r="D725">
        <v>5</v>
      </c>
      <c r="E725" t="s">
        <v>95</v>
      </c>
      <c r="F725" t="s">
        <v>31</v>
      </c>
      <c r="G725" t="s">
        <v>81</v>
      </c>
      <c r="H725" t="s">
        <v>77</v>
      </c>
      <c r="I725" t="s">
        <v>86</v>
      </c>
      <c r="J725" t="s">
        <v>87</v>
      </c>
      <c r="K725" t="s">
        <v>36</v>
      </c>
      <c r="L725">
        <v>1</v>
      </c>
      <c r="M725" s="10">
        <v>0.1</v>
      </c>
      <c r="N725" s="11">
        <v>78750</v>
      </c>
      <c r="O725" s="11">
        <v>210000</v>
      </c>
      <c r="P725" s="11">
        <v>-131250</v>
      </c>
      <c r="Q725" t="s">
        <v>63</v>
      </c>
      <c r="R725" t="b">
        <f>COUNTIF($A$6     : CleanedSalesData[[#This Row],[Order ID]], CleanedSalesData[[#This Row],[Order ID]])&gt;1</f>
        <v>0</v>
      </c>
      <c r="S725" t="b">
        <f>IF(ISBLANK(CleanedSalesData[[#This Row],[Quantity]]), TRUE, FALSE)</f>
        <v>0</v>
      </c>
      <c r="T725" t="b">
        <f>IF(ISBLANK(CleanedSalesData[[#This Row],[Order Date]]), TRUE, FALSE)</f>
        <v>0</v>
      </c>
      <c r="U725" t="b">
        <f>IF(ISBLANK(CleanedSalesData[[#This Row],[Revenue]]), TRUE, FALSE)</f>
        <v>0</v>
      </c>
      <c r="V725" t="b">
        <f>IF(OR(CleanedSalesData[[#This Row],[Order Status]]="Cancelled", CleanedSalesData[[#This Row],[Order Status]]="Returned"), TRUE, FALSE)</f>
        <v>1</v>
      </c>
      <c r="W725" t="str" cm="1">
        <f t="array" ref="W725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Review Status</v>
      </c>
    </row>
    <row r="726" spans="1:23" x14ac:dyDescent="0.35">
      <c r="A726" t="s">
        <v>105</v>
      </c>
      <c r="B726" s="7">
        <v>46094</v>
      </c>
      <c r="C726" t="s">
        <v>947</v>
      </c>
      <c r="D726">
        <v>3</v>
      </c>
      <c r="E726" t="s">
        <v>39</v>
      </c>
      <c r="F726" t="s">
        <v>47</v>
      </c>
      <c r="G726" t="s">
        <v>48</v>
      </c>
      <c r="H726" t="s">
        <v>33</v>
      </c>
      <c r="I726" t="s">
        <v>60</v>
      </c>
      <c r="J726" t="s">
        <v>61</v>
      </c>
      <c r="K726" t="s">
        <v>62</v>
      </c>
      <c r="L726">
        <v>8</v>
      </c>
      <c r="M726" s="10">
        <v>0.03</v>
      </c>
      <c r="N726" s="11">
        <v>504400</v>
      </c>
      <c r="O726" s="11">
        <v>248000</v>
      </c>
      <c r="P726" s="11">
        <v>256400</v>
      </c>
      <c r="Q726" t="s">
        <v>52</v>
      </c>
      <c r="R726" t="b">
        <f>COUNTIF($A$6     : CleanedSalesData[[#This Row],[Order ID]], CleanedSalesData[[#This Row],[Order ID]])&gt;1</f>
        <v>1</v>
      </c>
      <c r="S726" t="b">
        <f>IF(ISBLANK(CleanedSalesData[[#This Row],[Quantity]]), TRUE, FALSE)</f>
        <v>0</v>
      </c>
      <c r="T726" t="b">
        <f>IF(ISBLANK(CleanedSalesData[[#This Row],[Order Date]]), TRUE, FALSE)</f>
        <v>0</v>
      </c>
      <c r="U726" t="b">
        <f>IF(ISBLANK(CleanedSalesData[[#This Row],[Revenue]]), TRUE, FALSE)</f>
        <v>0</v>
      </c>
      <c r="V726" t="b">
        <f>IF(OR(CleanedSalesData[[#This Row],[Order Status]]="Cancelled", CleanedSalesData[[#This Row],[Order Status]]="Returned"), TRUE, FALSE)</f>
        <v>0</v>
      </c>
      <c r="W726" t="str" cm="1">
        <f t="array" ref="W726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Duplicate Order</v>
      </c>
    </row>
    <row r="727" spans="1:23" x14ac:dyDescent="0.35">
      <c r="A727" t="s">
        <v>252</v>
      </c>
      <c r="B727" s="7">
        <v>46056</v>
      </c>
      <c r="C727" t="s">
        <v>944</v>
      </c>
      <c r="D727">
        <v>2</v>
      </c>
      <c r="E727" t="s">
        <v>95</v>
      </c>
      <c r="F727" t="s">
        <v>40</v>
      </c>
      <c r="G727" t="s">
        <v>32</v>
      </c>
      <c r="H727" t="s">
        <v>33</v>
      </c>
      <c r="I727" t="s">
        <v>55</v>
      </c>
      <c r="J727" t="s">
        <v>56</v>
      </c>
      <c r="K727" t="s">
        <v>36</v>
      </c>
      <c r="L727">
        <v>5</v>
      </c>
      <c r="M727" s="10">
        <v>0.03</v>
      </c>
      <c r="N727" s="11">
        <v>8972500</v>
      </c>
      <c r="O727" s="11">
        <v>6600000</v>
      </c>
      <c r="P727" s="11">
        <v>2372500</v>
      </c>
      <c r="Q727" t="s">
        <v>63</v>
      </c>
      <c r="R727" t="b">
        <f>COUNTIF($A$6     : CleanedSalesData[[#This Row],[Order ID]], CleanedSalesData[[#This Row],[Order ID]])&gt;1</f>
        <v>1</v>
      </c>
      <c r="S727" t="b">
        <f>IF(ISBLANK(CleanedSalesData[[#This Row],[Quantity]]), TRUE, FALSE)</f>
        <v>0</v>
      </c>
      <c r="T727" t="b">
        <f>IF(ISBLANK(CleanedSalesData[[#This Row],[Order Date]]), TRUE, FALSE)</f>
        <v>0</v>
      </c>
      <c r="U727" t="b">
        <f>IF(ISBLANK(CleanedSalesData[[#This Row],[Revenue]]), TRUE, FALSE)</f>
        <v>0</v>
      </c>
      <c r="V727" t="b">
        <f>IF(OR(CleanedSalesData[[#This Row],[Order Status]]="Cancelled", CleanedSalesData[[#This Row],[Order Status]]="Returned"), TRUE, FALSE)</f>
        <v>0</v>
      </c>
      <c r="W727" t="str" cm="1">
        <f t="array" ref="W727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Duplicate Order</v>
      </c>
    </row>
    <row r="728" spans="1:23" x14ac:dyDescent="0.35">
      <c r="A728" t="s">
        <v>415</v>
      </c>
      <c r="B728" s="7">
        <v>46150</v>
      </c>
      <c r="C728" t="s">
        <v>946</v>
      </c>
      <c r="D728">
        <v>5</v>
      </c>
      <c r="E728" t="s">
        <v>111</v>
      </c>
      <c r="F728" t="s">
        <v>59</v>
      </c>
      <c r="G728" t="s">
        <v>48</v>
      </c>
      <c r="H728" t="s">
        <v>33</v>
      </c>
      <c r="I728" t="s">
        <v>78</v>
      </c>
      <c r="J728" t="s">
        <v>79</v>
      </c>
      <c r="K728" t="s">
        <v>62</v>
      </c>
      <c r="L728">
        <v>6</v>
      </c>
      <c r="M728" s="10">
        <v>0.05</v>
      </c>
      <c r="N728" s="11">
        <v>484500</v>
      </c>
      <c r="O728" s="11">
        <v>258000</v>
      </c>
      <c r="P728" s="11">
        <v>226500</v>
      </c>
      <c r="Q728" t="s">
        <v>84</v>
      </c>
      <c r="R728" t="b">
        <f>COUNTIF($A$6     : CleanedSalesData[[#This Row],[Order ID]], CleanedSalesData[[#This Row],[Order ID]])&gt;1</f>
        <v>1</v>
      </c>
      <c r="S728" t="b">
        <f>IF(ISBLANK(CleanedSalesData[[#This Row],[Quantity]]), TRUE, FALSE)</f>
        <v>0</v>
      </c>
      <c r="T728" t="b">
        <f>IF(ISBLANK(CleanedSalesData[[#This Row],[Order Date]]), TRUE, FALSE)</f>
        <v>0</v>
      </c>
      <c r="U728" t="b">
        <f>IF(ISBLANK(CleanedSalesData[[#This Row],[Revenue]]), TRUE, FALSE)</f>
        <v>0</v>
      </c>
      <c r="V728" t="b">
        <f>IF(OR(CleanedSalesData[[#This Row],[Order Status]]="Cancelled", CleanedSalesData[[#This Row],[Order Status]]="Returned"), TRUE, FALSE)</f>
        <v>0</v>
      </c>
      <c r="W728" t="str" cm="1">
        <f t="array" ref="W728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Duplicate Order</v>
      </c>
    </row>
    <row r="729" spans="1:23" x14ac:dyDescent="0.35">
      <c r="A729" t="s">
        <v>600</v>
      </c>
      <c r="B729" s="7">
        <v>46058</v>
      </c>
      <c r="C729" t="s">
        <v>944</v>
      </c>
      <c r="D729">
        <v>2</v>
      </c>
      <c r="E729" t="s">
        <v>30</v>
      </c>
      <c r="F729" t="s">
        <v>47</v>
      </c>
      <c r="G729" t="s">
        <v>48</v>
      </c>
      <c r="H729" t="s">
        <v>33</v>
      </c>
      <c r="I729" t="s">
        <v>60</v>
      </c>
      <c r="J729" t="s">
        <v>61</v>
      </c>
      <c r="K729" t="s">
        <v>62</v>
      </c>
      <c r="L729">
        <v>4</v>
      </c>
      <c r="M729" s="10">
        <v>0.05</v>
      </c>
      <c r="N729" s="11">
        <v>247000</v>
      </c>
      <c r="O729" s="11">
        <v>124000</v>
      </c>
      <c r="P729" s="11">
        <v>123000</v>
      </c>
      <c r="Q729" t="s">
        <v>63</v>
      </c>
      <c r="R729" t="b">
        <f>COUNTIF($A$6     : CleanedSalesData[[#This Row],[Order ID]], CleanedSalesData[[#This Row],[Order ID]])&gt;1</f>
        <v>1</v>
      </c>
      <c r="S729" t="b">
        <f>IF(ISBLANK(CleanedSalesData[[#This Row],[Quantity]]), TRUE, FALSE)</f>
        <v>0</v>
      </c>
      <c r="T729" t="b">
        <f>IF(ISBLANK(CleanedSalesData[[#This Row],[Order Date]]), TRUE, FALSE)</f>
        <v>0</v>
      </c>
      <c r="U729" t="b">
        <f>IF(ISBLANK(CleanedSalesData[[#This Row],[Revenue]]), TRUE, FALSE)</f>
        <v>0</v>
      </c>
      <c r="V729" t="b">
        <f>IF(OR(CleanedSalesData[[#This Row],[Order Status]]="Cancelled", CleanedSalesData[[#This Row],[Order Status]]="Returned"), TRUE, FALSE)</f>
        <v>0</v>
      </c>
      <c r="W729" t="str" cm="1">
        <f t="array" ref="W729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Duplicate Order</v>
      </c>
    </row>
    <row r="730" spans="1:23" x14ac:dyDescent="0.35">
      <c r="A730" t="s">
        <v>770</v>
      </c>
      <c r="B730" s="7">
        <v>46093</v>
      </c>
      <c r="C730" t="s">
        <v>947</v>
      </c>
      <c r="D730">
        <v>3</v>
      </c>
      <c r="E730" t="s">
        <v>111</v>
      </c>
      <c r="F730" t="s">
        <v>40</v>
      </c>
      <c r="G730" t="s">
        <v>41</v>
      </c>
      <c r="H730" t="s">
        <v>90</v>
      </c>
      <c r="I730" t="s">
        <v>42</v>
      </c>
      <c r="J730" t="s">
        <v>43</v>
      </c>
      <c r="K730" t="s">
        <v>44</v>
      </c>
      <c r="L730">
        <v>2</v>
      </c>
      <c r="M730" s="10">
        <v>0.08</v>
      </c>
      <c r="N730" s="11">
        <v>506000</v>
      </c>
      <c r="O730" s="11">
        <v>310000</v>
      </c>
      <c r="P730" s="11">
        <v>196000</v>
      </c>
      <c r="Q730" t="s">
        <v>84</v>
      </c>
      <c r="R730" t="b">
        <f>COUNTIF($A$6     : CleanedSalesData[[#This Row],[Order ID]], CleanedSalesData[[#This Row],[Order ID]])&gt;1</f>
        <v>1</v>
      </c>
      <c r="S730" t="b">
        <f>IF(ISBLANK(CleanedSalesData[[#This Row],[Quantity]]), TRUE, FALSE)</f>
        <v>0</v>
      </c>
      <c r="T730" t="b">
        <f>IF(ISBLANK(CleanedSalesData[[#This Row],[Order Date]]), TRUE, FALSE)</f>
        <v>0</v>
      </c>
      <c r="U730" t="b">
        <f>IF(ISBLANK(CleanedSalesData[[#This Row],[Revenue]]), TRUE, FALSE)</f>
        <v>0</v>
      </c>
      <c r="V730" t="b">
        <f>IF(OR(CleanedSalesData[[#This Row],[Order Status]]="Cancelled", CleanedSalesData[[#This Row],[Order Status]]="Returned"), TRUE, FALSE)</f>
        <v>0</v>
      </c>
      <c r="W730" t="str" cm="1">
        <f t="array" ref="W730">_xlfn.IFS(CleanedSalesData[[#This Row],[Cek Duplikat]]=TRUE, "Duplicate Order", CleanedSalesData[[#This Row],[Cek Tanggal]]=TRUE, "Check Date", CleanedSalesData[[#This Row],[Cek Qty]]=TRUE, "Check Quantity", CleanedSalesData[[#This Row],[Cek Revenue]]=TRUE, "Check Revenue", CleanedSalesData[[#This Row],[Cek Status]]=TRUE, "Review Status", TRUE, "Clean")</f>
        <v>Duplicate Order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0"/>
  <sheetViews>
    <sheetView showGridLines="0" workbookViewId="0">
      <pane ySplit="5" topLeftCell="A6" activePane="bottomLeft" state="frozen"/>
      <selection pane="bottomLeft" activeCell="A5" sqref="A5"/>
    </sheetView>
  </sheetViews>
  <sheetFormatPr defaultRowHeight="14.5" x14ac:dyDescent="0.35"/>
  <cols>
    <col min="1" max="1" width="12" customWidth="1"/>
    <col min="2" max="2" width="14" customWidth="1"/>
    <col min="3" max="3" width="22" customWidth="1"/>
    <col min="4" max="4" width="14" customWidth="1"/>
    <col min="5" max="5" width="16" customWidth="1"/>
    <col min="6" max="6" width="15" customWidth="1"/>
    <col min="7" max="7" width="12" customWidth="1"/>
    <col min="8" max="8" width="20" customWidth="1"/>
    <col min="9" max="9" width="18" customWidth="1"/>
    <col min="10" max="10" width="10" customWidth="1"/>
    <col min="11" max="11" width="13" customWidth="1"/>
    <col min="12" max="12" width="16" customWidth="1"/>
    <col min="13" max="14" width="14" customWidth="1"/>
    <col min="15" max="15" width="12" customWidth="1"/>
  </cols>
  <sheetData>
    <row r="1" spans="1:15" ht="30" customHeight="1" x14ac:dyDescent="0.35">
      <c r="A1" s="60" t="s">
        <v>12</v>
      </c>
      <c r="B1" s="59"/>
      <c r="C1" s="59"/>
      <c r="D1" s="59"/>
      <c r="E1" s="59"/>
      <c r="F1" s="59"/>
      <c r="G1" s="59"/>
      <c r="H1" s="59"/>
    </row>
    <row r="2" spans="1:15" x14ac:dyDescent="0.35">
      <c r="A2" s="58" t="s">
        <v>13</v>
      </c>
      <c r="B2" s="59"/>
      <c r="C2" s="59"/>
      <c r="D2" s="59"/>
      <c r="E2" s="59"/>
      <c r="F2" s="59"/>
      <c r="G2" s="59"/>
      <c r="H2" s="59"/>
    </row>
    <row r="5" spans="1:15" x14ac:dyDescent="0.3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</row>
    <row r="6" spans="1:15" x14ac:dyDescent="0.35">
      <c r="A6" s="2" t="s">
        <v>29</v>
      </c>
      <c r="B6" s="4">
        <v>46186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>
        <v>2</v>
      </c>
      <c r="K6" s="5">
        <v>0</v>
      </c>
      <c r="L6" s="6">
        <v>950000</v>
      </c>
      <c r="M6" s="6">
        <v>570000</v>
      </c>
      <c r="N6" s="6">
        <v>380000</v>
      </c>
      <c r="O6" s="2" t="s">
        <v>37</v>
      </c>
    </row>
    <row r="7" spans="1:15" x14ac:dyDescent="0.35">
      <c r="A7" s="2" t="s">
        <v>38</v>
      </c>
      <c r="B7" s="4">
        <v>46196</v>
      </c>
      <c r="C7" s="2" t="s">
        <v>39</v>
      </c>
      <c r="D7" s="2" t="s">
        <v>40</v>
      </c>
      <c r="E7" s="2" t="s">
        <v>41</v>
      </c>
      <c r="F7" s="2" t="s">
        <v>33</v>
      </c>
      <c r="G7" s="2" t="s">
        <v>42</v>
      </c>
      <c r="H7" s="2" t="s">
        <v>43</v>
      </c>
      <c r="I7" s="2" t="s">
        <v>44</v>
      </c>
      <c r="J7" s="2">
        <v>2</v>
      </c>
      <c r="K7" s="5">
        <v>0.1</v>
      </c>
      <c r="L7" s="6">
        <v>495000</v>
      </c>
      <c r="M7" s="6">
        <v>310000</v>
      </c>
      <c r="N7" s="6">
        <v>185000</v>
      </c>
      <c r="O7" s="2" t="s">
        <v>45</v>
      </c>
    </row>
    <row r="8" spans="1:15" x14ac:dyDescent="0.35">
      <c r="A8" s="2" t="s">
        <v>46</v>
      </c>
      <c r="B8" s="4">
        <v>46152</v>
      </c>
      <c r="C8" s="2" t="s">
        <v>39</v>
      </c>
      <c r="D8" s="2" t="s">
        <v>47</v>
      </c>
      <c r="E8" s="2" t="s">
        <v>48</v>
      </c>
      <c r="F8" s="2" t="s">
        <v>33</v>
      </c>
      <c r="G8" s="2" t="s">
        <v>49</v>
      </c>
      <c r="H8" s="2" t="s">
        <v>50</v>
      </c>
      <c r="I8" s="2" t="s">
        <v>51</v>
      </c>
      <c r="J8" s="2">
        <v>1</v>
      </c>
      <c r="K8" s="5">
        <v>0.1</v>
      </c>
      <c r="L8" s="6">
        <v>220500</v>
      </c>
      <c r="M8" s="6">
        <v>145000</v>
      </c>
      <c r="N8" s="6">
        <v>75500</v>
      </c>
      <c r="O8" s="2" t="s">
        <v>52</v>
      </c>
    </row>
    <row r="9" spans="1:15" x14ac:dyDescent="0.35">
      <c r="A9" s="2" t="s">
        <v>53</v>
      </c>
      <c r="B9" s="4">
        <v>46173</v>
      </c>
      <c r="C9" s="2" t="s">
        <v>54</v>
      </c>
      <c r="D9" s="2" t="s">
        <v>31</v>
      </c>
      <c r="E9" s="2" t="s">
        <v>48</v>
      </c>
      <c r="F9" s="2" t="s">
        <v>33</v>
      </c>
      <c r="G9" s="2" t="s">
        <v>55</v>
      </c>
      <c r="H9" s="2" t="s">
        <v>56</v>
      </c>
      <c r="I9" s="2" t="s">
        <v>36</v>
      </c>
      <c r="J9" s="2">
        <v>5</v>
      </c>
      <c r="K9" s="5">
        <v>0</v>
      </c>
      <c r="L9" s="6">
        <v>9250000</v>
      </c>
      <c r="M9" s="6">
        <v>6600000</v>
      </c>
      <c r="N9" s="6">
        <v>2650000</v>
      </c>
      <c r="O9" s="2" t="s">
        <v>57</v>
      </c>
    </row>
    <row r="10" spans="1:15" x14ac:dyDescent="0.35">
      <c r="A10" s="2" t="s">
        <v>58</v>
      </c>
      <c r="B10" s="4">
        <v>46062</v>
      </c>
      <c r="C10" s="2" t="s">
        <v>54</v>
      </c>
      <c r="D10" s="2" t="s">
        <v>59</v>
      </c>
      <c r="E10" s="2" t="s">
        <v>41</v>
      </c>
      <c r="F10" s="2" t="s">
        <v>33</v>
      </c>
      <c r="G10" s="2" t="s">
        <v>60</v>
      </c>
      <c r="H10" s="2" t="s">
        <v>61</v>
      </c>
      <c r="I10" s="2" t="s">
        <v>62</v>
      </c>
      <c r="J10" s="2">
        <v>4</v>
      </c>
      <c r="K10" s="5">
        <v>0.05</v>
      </c>
      <c r="L10" s="6">
        <v>247000</v>
      </c>
      <c r="M10" s="6">
        <v>124000</v>
      </c>
      <c r="N10" s="6">
        <v>123000</v>
      </c>
      <c r="O10" s="2" t="s">
        <v>63</v>
      </c>
    </row>
    <row r="11" spans="1:15" x14ac:dyDescent="0.35">
      <c r="A11" s="2" t="s">
        <v>64</v>
      </c>
      <c r="B11" s="4">
        <v>46177</v>
      </c>
      <c r="C11" s="2" t="s">
        <v>65</v>
      </c>
      <c r="D11" s="2" t="s">
        <v>47</v>
      </c>
      <c r="E11" s="2" t="s">
        <v>41</v>
      </c>
      <c r="F11" s="2" t="s">
        <v>33</v>
      </c>
      <c r="G11" s="2" t="s">
        <v>66</v>
      </c>
      <c r="H11" s="2" t="s">
        <v>67</v>
      </c>
      <c r="I11" s="2" t="s">
        <v>51</v>
      </c>
      <c r="J11" s="2">
        <v>5</v>
      </c>
      <c r="K11" s="5">
        <v>0</v>
      </c>
      <c r="L11" s="6">
        <v>1550000</v>
      </c>
      <c r="M11" s="6">
        <v>950000</v>
      </c>
      <c r="N11" s="6">
        <v>600000</v>
      </c>
      <c r="O11" s="2" t="s">
        <v>37</v>
      </c>
    </row>
    <row r="12" spans="1:15" x14ac:dyDescent="0.35">
      <c r="A12" s="2" t="s">
        <v>68</v>
      </c>
      <c r="B12" s="4">
        <v>46164</v>
      </c>
      <c r="C12" s="2" t="s">
        <v>69</v>
      </c>
      <c r="D12" s="2" t="s">
        <v>70</v>
      </c>
      <c r="E12" s="2" t="s">
        <v>32</v>
      </c>
      <c r="F12" s="2" t="s">
        <v>33</v>
      </c>
      <c r="G12" s="2" t="s">
        <v>71</v>
      </c>
      <c r="H12" s="2" t="s">
        <v>72</v>
      </c>
      <c r="I12" s="2" t="s">
        <v>73</v>
      </c>
      <c r="J12" s="2">
        <v>5</v>
      </c>
      <c r="K12" s="5">
        <v>0.15</v>
      </c>
      <c r="L12" s="6">
        <v>531250</v>
      </c>
      <c r="M12" s="6">
        <v>350000</v>
      </c>
      <c r="N12" s="6">
        <v>181250</v>
      </c>
      <c r="O12" s="2" t="s">
        <v>74</v>
      </c>
    </row>
    <row r="13" spans="1:15" x14ac:dyDescent="0.35">
      <c r="A13" s="2" t="s">
        <v>75</v>
      </c>
      <c r="B13" s="4">
        <v>46192</v>
      </c>
      <c r="C13" s="2" t="s">
        <v>76</v>
      </c>
      <c r="D13" s="2" t="s">
        <v>40</v>
      </c>
      <c r="E13" s="2" t="s">
        <v>48</v>
      </c>
      <c r="F13" s="2" t="s">
        <v>77</v>
      </c>
      <c r="G13" s="2" t="s">
        <v>78</v>
      </c>
      <c r="H13" s="2" t="s">
        <v>79</v>
      </c>
      <c r="I13" s="2" t="s">
        <v>62</v>
      </c>
      <c r="J13" s="2">
        <v>4</v>
      </c>
      <c r="K13" s="5">
        <v>0.05</v>
      </c>
      <c r="L13" s="6">
        <v>0</v>
      </c>
      <c r="M13" s="6">
        <v>172000</v>
      </c>
      <c r="N13" s="6">
        <v>-172000</v>
      </c>
      <c r="O13" s="2" t="s">
        <v>52</v>
      </c>
    </row>
    <row r="14" spans="1:15" x14ac:dyDescent="0.35">
      <c r="A14" s="2" t="s">
        <v>80</v>
      </c>
      <c r="B14" s="4">
        <v>46185</v>
      </c>
      <c r="C14" s="2" t="s">
        <v>69</v>
      </c>
      <c r="D14" s="2" t="s">
        <v>31</v>
      </c>
      <c r="E14" s="2" t="s">
        <v>81</v>
      </c>
      <c r="F14" s="2" t="s">
        <v>33</v>
      </c>
      <c r="G14" s="2" t="s">
        <v>82</v>
      </c>
      <c r="H14" s="2" t="s">
        <v>83</v>
      </c>
      <c r="I14" s="2" t="s">
        <v>44</v>
      </c>
      <c r="J14" s="2">
        <v>6</v>
      </c>
      <c r="K14" s="5">
        <v>0.03</v>
      </c>
      <c r="L14" s="6">
        <v>8439000</v>
      </c>
      <c r="M14" s="6">
        <v>5880000</v>
      </c>
      <c r="N14" s="6">
        <v>2559000</v>
      </c>
      <c r="O14" s="2" t="s">
        <v>84</v>
      </c>
    </row>
    <row r="15" spans="1:15" x14ac:dyDescent="0.35">
      <c r="A15" s="2" t="s">
        <v>85</v>
      </c>
      <c r="B15" s="4">
        <v>46159</v>
      </c>
      <c r="C15" s="2" t="s">
        <v>54</v>
      </c>
      <c r="D15" s="2" t="s">
        <v>70</v>
      </c>
      <c r="E15" s="2" t="s">
        <v>32</v>
      </c>
      <c r="F15" s="2" t="s">
        <v>33</v>
      </c>
      <c r="G15" s="2" t="s">
        <v>86</v>
      </c>
      <c r="H15" s="2" t="s">
        <v>87</v>
      </c>
      <c r="I15" s="2" t="s">
        <v>36</v>
      </c>
      <c r="J15" s="2">
        <v>4</v>
      </c>
      <c r="K15" s="5">
        <v>0.03</v>
      </c>
      <c r="L15" s="6">
        <v>1358000</v>
      </c>
      <c r="M15" s="6">
        <v>840000</v>
      </c>
      <c r="N15" s="6">
        <v>518000</v>
      </c>
      <c r="O15" s="2" t="s">
        <v>74</v>
      </c>
    </row>
    <row r="16" spans="1:15" x14ac:dyDescent="0.35">
      <c r="A16" s="2" t="s">
        <v>88</v>
      </c>
      <c r="B16" s="4">
        <v>46081</v>
      </c>
      <c r="C16" s="2" t="s">
        <v>54</v>
      </c>
      <c r="D16" s="2" t="s">
        <v>40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>
        <v>1</v>
      </c>
      <c r="K16" s="5">
        <v>0.05</v>
      </c>
      <c r="L16" s="6">
        <v>451250</v>
      </c>
      <c r="M16" s="6">
        <v>285000</v>
      </c>
      <c r="N16" s="6">
        <v>166250</v>
      </c>
      <c r="O16" s="2" t="s">
        <v>45</v>
      </c>
    </row>
    <row r="17" spans="1:15" x14ac:dyDescent="0.35">
      <c r="A17" s="2" t="s">
        <v>89</v>
      </c>
      <c r="B17" s="4">
        <v>46190</v>
      </c>
      <c r="C17" s="2" t="s">
        <v>76</v>
      </c>
      <c r="D17" s="2" t="s">
        <v>59</v>
      </c>
      <c r="E17" s="2" t="s">
        <v>32</v>
      </c>
      <c r="F17" s="2" t="s">
        <v>90</v>
      </c>
      <c r="G17" s="2" t="s">
        <v>42</v>
      </c>
      <c r="H17" s="2" t="s">
        <v>43</v>
      </c>
      <c r="I17" s="2" t="s">
        <v>44</v>
      </c>
      <c r="J17" s="2">
        <v>8</v>
      </c>
      <c r="K17" s="5">
        <v>0.08</v>
      </c>
      <c r="L17" s="6">
        <v>2024000</v>
      </c>
      <c r="M17" s="6">
        <v>1240000</v>
      </c>
      <c r="N17" s="6">
        <v>784000</v>
      </c>
      <c r="O17" s="2" t="s">
        <v>84</v>
      </c>
    </row>
    <row r="18" spans="1:15" x14ac:dyDescent="0.35">
      <c r="A18" s="2" t="s">
        <v>91</v>
      </c>
      <c r="B18" s="4">
        <v>46086</v>
      </c>
      <c r="C18" s="2" t="s">
        <v>54</v>
      </c>
      <c r="D18" s="2" t="s">
        <v>47</v>
      </c>
      <c r="E18" s="2" t="s">
        <v>48</v>
      </c>
      <c r="F18" s="2" t="s">
        <v>33</v>
      </c>
      <c r="G18" s="2" t="s">
        <v>49</v>
      </c>
      <c r="H18" s="2" t="s">
        <v>50</v>
      </c>
      <c r="I18" s="2" t="s">
        <v>51</v>
      </c>
      <c r="J18" s="2">
        <v>5</v>
      </c>
      <c r="K18" s="5">
        <v>0.15</v>
      </c>
      <c r="L18" s="6">
        <v>1041250</v>
      </c>
      <c r="M18" s="6">
        <v>725000</v>
      </c>
      <c r="N18" s="6">
        <v>316250</v>
      </c>
      <c r="O18" s="2" t="s">
        <v>45</v>
      </c>
    </row>
    <row r="19" spans="1:15" x14ac:dyDescent="0.35">
      <c r="A19" s="2" t="s">
        <v>92</v>
      </c>
      <c r="B19" s="4">
        <v>46058</v>
      </c>
      <c r="C19" s="2" t="s">
        <v>30</v>
      </c>
      <c r="D19" s="2" t="s">
        <v>40</v>
      </c>
      <c r="E19" s="2" t="s">
        <v>32</v>
      </c>
      <c r="F19" s="2" t="s">
        <v>33</v>
      </c>
      <c r="G19" s="2" t="s">
        <v>55</v>
      </c>
      <c r="H19" s="2" t="s">
        <v>56</v>
      </c>
      <c r="I19" s="2" t="s">
        <v>36</v>
      </c>
      <c r="J19" s="2">
        <v>8</v>
      </c>
      <c r="K19" s="5">
        <v>0</v>
      </c>
      <c r="L19" s="6">
        <v>14800000</v>
      </c>
      <c r="M19" s="6">
        <v>10560000</v>
      </c>
      <c r="N19" s="6">
        <v>4240000</v>
      </c>
      <c r="O19" s="2" t="s">
        <v>93</v>
      </c>
    </row>
    <row r="20" spans="1:15" x14ac:dyDescent="0.35">
      <c r="A20" s="2" t="s">
        <v>94</v>
      </c>
      <c r="B20" s="4">
        <v>46175</v>
      </c>
      <c r="C20" s="2" t="s">
        <v>95</v>
      </c>
      <c r="D20" s="2" t="s">
        <v>59</v>
      </c>
      <c r="E20" s="2" t="s">
        <v>81</v>
      </c>
      <c r="F20" s="2" t="s">
        <v>33</v>
      </c>
      <c r="G20" s="2" t="s">
        <v>60</v>
      </c>
      <c r="H20" s="2" t="s">
        <v>61</v>
      </c>
      <c r="I20" s="2" t="s">
        <v>62</v>
      </c>
      <c r="J20" s="2">
        <v>2</v>
      </c>
      <c r="K20" s="5">
        <v>0.08</v>
      </c>
      <c r="L20" s="6">
        <v>119600</v>
      </c>
      <c r="M20" s="6">
        <v>62000</v>
      </c>
      <c r="N20" s="6">
        <v>57600</v>
      </c>
      <c r="O20" s="2" t="s">
        <v>37</v>
      </c>
    </row>
    <row r="21" spans="1:15" x14ac:dyDescent="0.35">
      <c r="A21" s="2" t="s">
        <v>96</v>
      </c>
      <c r="B21" s="4">
        <v>46197</v>
      </c>
      <c r="C21" s="2" t="s">
        <v>30</v>
      </c>
      <c r="D21" s="2" t="s">
        <v>70</v>
      </c>
      <c r="E21" s="2" t="s">
        <v>48</v>
      </c>
      <c r="F21" s="2" t="s">
        <v>33</v>
      </c>
      <c r="G21" s="2" t="s">
        <v>66</v>
      </c>
      <c r="H21" s="2" t="s">
        <v>67</v>
      </c>
      <c r="I21" s="2" t="s">
        <v>51</v>
      </c>
      <c r="J21" s="2">
        <v>5</v>
      </c>
      <c r="K21" s="5">
        <v>0.15</v>
      </c>
      <c r="L21" s="6">
        <v>1317500</v>
      </c>
      <c r="M21" s="6">
        <v>950000</v>
      </c>
      <c r="N21" s="6">
        <v>367500</v>
      </c>
      <c r="O21" s="2" t="s">
        <v>52</v>
      </c>
    </row>
    <row r="22" spans="1:15" x14ac:dyDescent="0.35">
      <c r="A22" s="2" t="s">
        <v>97</v>
      </c>
      <c r="B22" s="4">
        <v>46023</v>
      </c>
      <c r="C22" s="2" t="s">
        <v>76</v>
      </c>
      <c r="D22" s="2" t="s">
        <v>47</v>
      </c>
      <c r="E22" s="2" t="s">
        <v>41</v>
      </c>
      <c r="F22" s="2" t="s">
        <v>33</v>
      </c>
      <c r="G22" s="2" t="s">
        <v>71</v>
      </c>
      <c r="H22" s="2" t="s">
        <v>72</v>
      </c>
      <c r="I22" s="2" t="s">
        <v>73</v>
      </c>
      <c r="J22" s="2">
        <v>5</v>
      </c>
      <c r="K22" s="5">
        <v>0.1</v>
      </c>
      <c r="L22" s="6">
        <v>562500</v>
      </c>
      <c r="M22" s="6">
        <v>350000</v>
      </c>
      <c r="N22" s="6">
        <v>212500</v>
      </c>
      <c r="O22" s="2" t="s">
        <v>45</v>
      </c>
    </row>
    <row r="23" spans="1:15" x14ac:dyDescent="0.35">
      <c r="A23" s="2" t="s">
        <v>98</v>
      </c>
      <c r="B23" s="4">
        <v>46062</v>
      </c>
      <c r="C23" s="2" t="s">
        <v>54</v>
      </c>
      <c r="D23" s="2" t="s">
        <v>47</v>
      </c>
      <c r="E23" s="2" t="s">
        <v>41</v>
      </c>
      <c r="F23" s="2" t="s">
        <v>33</v>
      </c>
      <c r="G23" s="2" t="s">
        <v>78</v>
      </c>
      <c r="H23" s="2" t="s">
        <v>79</v>
      </c>
      <c r="I23" s="2" t="s">
        <v>62</v>
      </c>
      <c r="J23" s="2">
        <v>6</v>
      </c>
      <c r="K23" s="5">
        <v>0.03</v>
      </c>
      <c r="L23" s="6">
        <v>494700</v>
      </c>
      <c r="M23" s="6">
        <v>258000</v>
      </c>
      <c r="N23" s="6">
        <v>236700</v>
      </c>
      <c r="O23" s="2" t="s">
        <v>52</v>
      </c>
    </row>
    <row r="24" spans="1:15" x14ac:dyDescent="0.35">
      <c r="A24" s="2" t="s">
        <v>99</v>
      </c>
      <c r="B24" s="4">
        <v>46027</v>
      </c>
      <c r="C24" s="2" t="s">
        <v>95</v>
      </c>
      <c r="D24" s="2" t="s">
        <v>70</v>
      </c>
      <c r="E24" s="2" t="s">
        <v>32</v>
      </c>
      <c r="F24" s="2" t="s">
        <v>90</v>
      </c>
      <c r="G24" s="2" t="s">
        <v>82</v>
      </c>
      <c r="H24" s="2" t="s">
        <v>83</v>
      </c>
      <c r="I24" s="2" t="s">
        <v>44</v>
      </c>
      <c r="J24" s="2">
        <v>2</v>
      </c>
      <c r="K24" s="5">
        <v>0.05</v>
      </c>
      <c r="L24" s="6">
        <v>2755000</v>
      </c>
      <c r="M24" s="6">
        <v>1960000</v>
      </c>
      <c r="N24" s="6">
        <v>795000</v>
      </c>
      <c r="O24" s="2" t="s">
        <v>45</v>
      </c>
    </row>
    <row r="25" spans="1:15" x14ac:dyDescent="0.35">
      <c r="A25" s="2" t="s">
        <v>100</v>
      </c>
      <c r="B25" s="4">
        <v>46168</v>
      </c>
      <c r="C25" s="2" t="s">
        <v>30</v>
      </c>
      <c r="D25" s="2" t="s">
        <v>40</v>
      </c>
      <c r="E25" s="2" t="s">
        <v>32</v>
      </c>
      <c r="F25" s="2" t="s">
        <v>33</v>
      </c>
      <c r="G25" s="2" t="s">
        <v>86</v>
      </c>
      <c r="H25" s="2" t="s">
        <v>87</v>
      </c>
      <c r="I25" s="2" t="s">
        <v>36</v>
      </c>
      <c r="J25" s="2">
        <v>2</v>
      </c>
      <c r="K25" s="5">
        <v>0</v>
      </c>
      <c r="L25" s="6">
        <v>700000</v>
      </c>
      <c r="M25" s="6">
        <v>420000</v>
      </c>
      <c r="N25" s="6">
        <v>280000</v>
      </c>
      <c r="O25" s="2" t="s">
        <v>52</v>
      </c>
    </row>
    <row r="26" spans="1:15" x14ac:dyDescent="0.35">
      <c r="A26" s="2" t="s">
        <v>101</v>
      </c>
      <c r="B26" s="4">
        <v>46163</v>
      </c>
      <c r="C26" s="2" t="s">
        <v>39</v>
      </c>
      <c r="D26" s="2" t="s">
        <v>47</v>
      </c>
      <c r="E26" s="2" t="s">
        <v>48</v>
      </c>
      <c r="F26" s="2" t="s">
        <v>33</v>
      </c>
      <c r="G26" s="2" t="s">
        <v>34</v>
      </c>
      <c r="H26" s="2" t="s">
        <v>35</v>
      </c>
      <c r="I26" s="2" t="s">
        <v>36</v>
      </c>
      <c r="J26" s="2">
        <v>3</v>
      </c>
      <c r="K26" s="5">
        <v>0.05</v>
      </c>
      <c r="L26" s="6">
        <v>1353750</v>
      </c>
      <c r="M26" s="6">
        <v>855000</v>
      </c>
      <c r="N26" s="6">
        <v>498750</v>
      </c>
      <c r="O26" s="2" t="s">
        <v>45</v>
      </c>
    </row>
    <row r="27" spans="1:15" x14ac:dyDescent="0.35">
      <c r="A27" s="2" t="s">
        <v>102</v>
      </c>
      <c r="B27" s="4">
        <v>46102</v>
      </c>
      <c r="C27" s="2" t="s">
        <v>69</v>
      </c>
      <c r="D27" s="2" t="s">
        <v>59</v>
      </c>
      <c r="E27" s="2" t="s">
        <v>48</v>
      </c>
      <c r="F27" s="2" t="s">
        <v>33</v>
      </c>
      <c r="G27" s="2" t="s">
        <v>42</v>
      </c>
      <c r="H27" s="2" t="s">
        <v>43</v>
      </c>
      <c r="I27" s="2" t="s">
        <v>44</v>
      </c>
      <c r="J27" s="2">
        <v>7</v>
      </c>
      <c r="K27" s="5">
        <v>0.15</v>
      </c>
      <c r="L27" s="6">
        <v>1636250</v>
      </c>
      <c r="M27" s="6">
        <v>1085000</v>
      </c>
      <c r="N27" s="6">
        <v>551250</v>
      </c>
      <c r="O27" s="2" t="s">
        <v>45</v>
      </c>
    </row>
    <row r="28" spans="1:15" x14ac:dyDescent="0.35">
      <c r="A28" s="2" t="s">
        <v>103</v>
      </c>
      <c r="B28" s="4">
        <v>46080</v>
      </c>
      <c r="C28" s="2" t="s">
        <v>39</v>
      </c>
      <c r="D28" s="2" t="s">
        <v>47</v>
      </c>
      <c r="E28" s="2" t="s">
        <v>32</v>
      </c>
      <c r="F28" s="2" t="s">
        <v>33</v>
      </c>
      <c r="G28" s="2" t="s">
        <v>49</v>
      </c>
      <c r="H28" s="2" t="s">
        <v>50</v>
      </c>
      <c r="I28" s="2" t="s">
        <v>51</v>
      </c>
      <c r="J28" s="2">
        <v>2</v>
      </c>
      <c r="K28" s="5">
        <v>0.05</v>
      </c>
      <c r="L28" s="6">
        <v>465500</v>
      </c>
      <c r="M28" s="6">
        <v>290000</v>
      </c>
      <c r="N28" s="6">
        <v>175500</v>
      </c>
      <c r="O28" s="2" t="s">
        <v>74</v>
      </c>
    </row>
    <row r="29" spans="1:15" x14ac:dyDescent="0.35">
      <c r="A29" s="2" t="s">
        <v>104</v>
      </c>
      <c r="B29" s="4">
        <v>46041</v>
      </c>
      <c r="C29" s="2" t="s">
        <v>69</v>
      </c>
      <c r="D29" s="2" t="s">
        <v>40</v>
      </c>
      <c r="E29" s="2" t="s">
        <v>81</v>
      </c>
      <c r="F29" s="2" t="s">
        <v>33</v>
      </c>
      <c r="G29" s="2" t="s">
        <v>55</v>
      </c>
      <c r="H29" s="2" t="s">
        <v>56</v>
      </c>
      <c r="I29" s="2" t="s">
        <v>36</v>
      </c>
      <c r="J29" s="2">
        <v>1</v>
      </c>
      <c r="K29" s="5">
        <v>0.03</v>
      </c>
      <c r="L29" s="6">
        <v>1794500</v>
      </c>
      <c r="M29" s="6">
        <v>1320000</v>
      </c>
      <c r="N29" s="6">
        <v>474500</v>
      </c>
      <c r="O29" s="2" t="s">
        <v>45</v>
      </c>
    </row>
    <row r="30" spans="1:15" x14ac:dyDescent="0.35">
      <c r="A30" s="2" t="s">
        <v>105</v>
      </c>
      <c r="B30" s="4">
        <v>46094</v>
      </c>
      <c r="C30" s="2" t="s">
        <v>39</v>
      </c>
      <c r="D30" s="2" t="s">
        <v>47</v>
      </c>
      <c r="E30" s="2" t="s">
        <v>48</v>
      </c>
      <c r="F30" s="2" t="s">
        <v>33</v>
      </c>
      <c r="G30" s="2" t="s">
        <v>60</v>
      </c>
      <c r="H30" s="2" t="s">
        <v>61</v>
      </c>
      <c r="I30" s="2" t="s">
        <v>62</v>
      </c>
      <c r="J30" s="2">
        <v>8</v>
      </c>
      <c r="K30" s="5">
        <v>0.03</v>
      </c>
      <c r="L30" s="6">
        <v>504400</v>
      </c>
      <c r="M30" s="6">
        <v>248000</v>
      </c>
      <c r="N30" s="6">
        <v>256400</v>
      </c>
      <c r="O30" s="2" t="s">
        <v>52</v>
      </c>
    </row>
    <row r="31" spans="1:15" x14ac:dyDescent="0.35">
      <c r="A31" s="2" t="s">
        <v>106</v>
      </c>
      <c r="B31" s="4">
        <v>46127</v>
      </c>
      <c r="C31" s="2" t="s">
        <v>65</v>
      </c>
      <c r="D31" s="2" t="s">
        <v>59</v>
      </c>
      <c r="E31" s="2" t="s">
        <v>81</v>
      </c>
      <c r="F31" s="2" t="s">
        <v>33</v>
      </c>
      <c r="G31" s="2" t="s">
        <v>66</v>
      </c>
      <c r="H31" s="2" t="s">
        <v>67</v>
      </c>
      <c r="I31" s="2" t="s">
        <v>51</v>
      </c>
      <c r="J31" s="2">
        <v>4</v>
      </c>
      <c r="K31" s="5">
        <v>0</v>
      </c>
      <c r="L31" s="6">
        <v>1240000</v>
      </c>
      <c r="M31" s="6">
        <v>760000</v>
      </c>
      <c r="N31" s="6">
        <v>480000</v>
      </c>
      <c r="O31" s="2" t="s">
        <v>93</v>
      </c>
    </row>
    <row r="32" spans="1:15" x14ac:dyDescent="0.35">
      <c r="A32" s="2" t="s">
        <v>107</v>
      </c>
      <c r="B32" s="4">
        <v>46142</v>
      </c>
      <c r="C32" s="2" t="s">
        <v>65</v>
      </c>
      <c r="D32" s="2" t="s">
        <v>40</v>
      </c>
      <c r="E32" s="2" t="s">
        <v>41</v>
      </c>
      <c r="F32" s="2" t="s">
        <v>33</v>
      </c>
      <c r="G32" s="2" t="s">
        <v>71</v>
      </c>
      <c r="H32" s="2" t="s">
        <v>72</v>
      </c>
      <c r="I32" s="2" t="s">
        <v>73</v>
      </c>
      <c r="J32" s="2">
        <v>1</v>
      </c>
      <c r="K32" s="5">
        <v>0.15</v>
      </c>
      <c r="L32" s="6">
        <v>106250</v>
      </c>
      <c r="M32" s="6">
        <v>70000</v>
      </c>
      <c r="N32" s="6">
        <v>36250</v>
      </c>
      <c r="O32" s="2" t="s">
        <v>63</v>
      </c>
    </row>
    <row r="33" spans="1:15" x14ac:dyDescent="0.35">
      <c r="A33" s="2" t="s">
        <v>108</v>
      </c>
      <c r="B33" s="4">
        <v>46050</v>
      </c>
      <c r="C33" s="2" t="s">
        <v>65</v>
      </c>
      <c r="D33" s="2" t="s">
        <v>59</v>
      </c>
      <c r="E33" s="2" t="s">
        <v>32</v>
      </c>
      <c r="F33" s="2" t="s">
        <v>33</v>
      </c>
      <c r="G33" s="2" t="s">
        <v>78</v>
      </c>
      <c r="H33" s="2" t="s">
        <v>79</v>
      </c>
      <c r="I33" s="2" t="s">
        <v>62</v>
      </c>
      <c r="J33" s="2">
        <v>4</v>
      </c>
      <c r="K33" s="5">
        <v>0.03</v>
      </c>
      <c r="L33" s="6">
        <v>329800</v>
      </c>
      <c r="M33" s="6">
        <v>172000</v>
      </c>
      <c r="N33" s="6">
        <v>157800</v>
      </c>
      <c r="O33" s="2" t="s">
        <v>84</v>
      </c>
    </row>
    <row r="34" spans="1:15" x14ac:dyDescent="0.35">
      <c r="A34" s="2" t="s">
        <v>109</v>
      </c>
      <c r="B34" s="4">
        <v>46094</v>
      </c>
      <c r="C34" s="2" t="s">
        <v>69</v>
      </c>
      <c r="D34" s="2" t="s">
        <v>40</v>
      </c>
      <c r="E34" s="2" t="s">
        <v>48</v>
      </c>
      <c r="F34" s="2" t="s">
        <v>90</v>
      </c>
      <c r="G34" s="2" t="s">
        <v>82</v>
      </c>
      <c r="H34" s="2" t="s">
        <v>83</v>
      </c>
      <c r="I34" s="2" t="s">
        <v>44</v>
      </c>
      <c r="J34" s="2">
        <v>8</v>
      </c>
      <c r="K34" s="5">
        <v>0.03</v>
      </c>
      <c r="L34" s="6">
        <v>11252000</v>
      </c>
      <c r="M34" s="6">
        <v>7840000</v>
      </c>
      <c r="N34" s="6">
        <v>3412000</v>
      </c>
      <c r="O34" s="2" t="s">
        <v>74</v>
      </c>
    </row>
    <row r="35" spans="1:15" x14ac:dyDescent="0.35">
      <c r="A35" s="2" t="s">
        <v>110</v>
      </c>
      <c r="B35" s="4">
        <v>46189</v>
      </c>
      <c r="C35" s="2" t="s">
        <v>111</v>
      </c>
      <c r="D35" s="2" t="s">
        <v>31</v>
      </c>
      <c r="E35" s="2" t="s">
        <v>48</v>
      </c>
      <c r="F35" s="2" t="s">
        <v>112</v>
      </c>
      <c r="G35" s="2" t="s">
        <v>86</v>
      </c>
      <c r="H35" s="2" t="s">
        <v>87</v>
      </c>
      <c r="I35" s="2" t="s">
        <v>36</v>
      </c>
      <c r="J35" s="2">
        <v>1</v>
      </c>
      <c r="K35" s="5">
        <v>0</v>
      </c>
      <c r="L35" s="6">
        <v>0</v>
      </c>
      <c r="M35" s="6">
        <v>210000</v>
      </c>
      <c r="N35" s="6">
        <v>-210000</v>
      </c>
      <c r="O35" s="2" t="s">
        <v>52</v>
      </c>
    </row>
    <row r="36" spans="1:15" x14ac:dyDescent="0.35">
      <c r="A36" s="2" t="s">
        <v>113</v>
      </c>
      <c r="B36" s="4">
        <v>46077</v>
      </c>
      <c r="C36" s="2" t="s">
        <v>76</v>
      </c>
      <c r="D36" s="2" t="s">
        <v>40</v>
      </c>
      <c r="E36" s="2" t="s">
        <v>48</v>
      </c>
      <c r="F36" s="2" t="s">
        <v>33</v>
      </c>
      <c r="G36" s="2" t="s">
        <v>34</v>
      </c>
      <c r="H36" s="2" t="s">
        <v>35</v>
      </c>
      <c r="I36" s="2" t="s">
        <v>36</v>
      </c>
      <c r="J36" s="2">
        <v>7</v>
      </c>
      <c r="K36" s="5">
        <v>0</v>
      </c>
      <c r="L36" s="6">
        <v>3325000</v>
      </c>
      <c r="M36" s="6">
        <v>1995000</v>
      </c>
      <c r="N36" s="6">
        <v>1330000</v>
      </c>
      <c r="O36" s="2" t="s">
        <v>52</v>
      </c>
    </row>
    <row r="37" spans="1:15" x14ac:dyDescent="0.35">
      <c r="A37" s="2" t="s">
        <v>114</v>
      </c>
      <c r="B37" s="4">
        <v>46096</v>
      </c>
      <c r="C37" s="2" t="s">
        <v>39</v>
      </c>
      <c r="D37" s="2" t="s">
        <v>59</v>
      </c>
      <c r="E37" s="2" t="s">
        <v>32</v>
      </c>
      <c r="F37" s="2" t="s">
        <v>112</v>
      </c>
      <c r="G37" s="2" t="s">
        <v>42</v>
      </c>
      <c r="H37" s="2" t="s">
        <v>43</v>
      </c>
      <c r="I37" s="2" t="s">
        <v>44</v>
      </c>
      <c r="J37" s="2">
        <v>7</v>
      </c>
      <c r="K37" s="5">
        <v>0.15</v>
      </c>
      <c r="L37" s="6">
        <v>818125</v>
      </c>
      <c r="M37" s="6">
        <v>1085000</v>
      </c>
      <c r="N37" s="6">
        <v>-266875</v>
      </c>
      <c r="O37" s="2" t="s">
        <v>57</v>
      </c>
    </row>
    <row r="38" spans="1:15" x14ac:dyDescent="0.35">
      <c r="A38" s="2" t="s">
        <v>115</v>
      </c>
      <c r="B38" s="4">
        <v>46078</v>
      </c>
      <c r="C38" s="2" t="s">
        <v>95</v>
      </c>
      <c r="D38" s="2" t="s">
        <v>40</v>
      </c>
      <c r="E38" s="2" t="s">
        <v>81</v>
      </c>
      <c r="F38" s="2" t="s">
        <v>33</v>
      </c>
      <c r="G38" s="2" t="s">
        <v>49</v>
      </c>
      <c r="H38" s="2" t="s">
        <v>50</v>
      </c>
      <c r="I38" s="2" t="s">
        <v>51</v>
      </c>
      <c r="J38" s="2">
        <v>1</v>
      </c>
      <c r="K38" s="5">
        <v>0.1</v>
      </c>
      <c r="L38" s="6">
        <v>220500</v>
      </c>
      <c r="M38" s="6">
        <v>145000</v>
      </c>
      <c r="N38" s="6">
        <v>75500</v>
      </c>
      <c r="O38" s="2" t="s">
        <v>74</v>
      </c>
    </row>
    <row r="39" spans="1:15" x14ac:dyDescent="0.35">
      <c r="A39" s="2" t="s">
        <v>116</v>
      </c>
      <c r="B39" s="4">
        <v>46172</v>
      </c>
      <c r="C39" s="2" t="s">
        <v>69</v>
      </c>
      <c r="D39" s="2" t="s">
        <v>31</v>
      </c>
      <c r="E39" s="2" t="s">
        <v>41</v>
      </c>
      <c r="F39" s="2" t="s">
        <v>112</v>
      </c>
      <c r="G39" s="2" t="s">
        <v>55</v>
      </c>
      <c r="H39" s="2" t="s">
        <v>56</v>
      </c>
      <c r="I39" s="2" t="s">
        <v>36</v>
      </c>
      <c r="J39" s="2">
        <v>8</v>
      </c>
      <c r="K39" s="5">
        <v>0.1</v>
      </c>
      <c r="L39" s="6">
        <v>6660000</v>
      </c>
      <c r="M39" s="6">
        <v>10560000</v>
      </c>
      <c r="N39" s="6">
        <v>-3900000</v>
      </c>
      <c r="O39" s="2" t="s">
        <v>84</v>
      </c>
    </row>
    <row r="40" spans="1:15" x14ac:dyDescent="0.35">
      <c r="A40" s="2" t="s">
        <v>117</v>
      </c>
      <c r="B40" s="4">
        <v>46040</v>
      </c>
      <c r="C40" s="2" t="s">
        <v>39</v>
      </c>
      <c r="D40" s="2" t="s">
        <v>59</v>
      </c>
      <c r="E40" s="2" t="s">
        <v>41</v>
      </c>
      <c r="F40" s="2" t="s">
        <v>90</v>
      </c>
      <c r="G40" s="2" t="s">
        <v>60</v>
      </c>
      <c r="H40" s="2" t="s">
        <v>61</v>
      </c>
      <c r="I40" s="2" t="s">
        <v>62</v>
      </c>
      <c r="J40" s="2">
        <v>2</v>
      </c>
      <c r="K40" s="5">
        <v>0.15</v>
      </c>
      <c r="L40" s="6">
        <v>110500</v>
      </c>
      <c r="M40" s="6">
        <v>62000</v>
      </c>
      <c r="N40" s="6">
        <v>48500</v>
      </c>
      <c r="O40" s="2" t="s">
        <v>74</v>
      </c>
    </row>
    <row r="41" spans="1:15" x14ac:dyDescent="0.35">
      <c r="A41" s="2" t="s">
        <v>118</v>
      </c>
      <c r="B41" s="4">
        <v>46181</v>
      </c>
      <c r="C41" s="2" t="s">
        <v>76</v>
      </c>
      <c r="D41" s="2" t="s">
        <v>47</v>
      </c>
      <c r="E41" s="2" t="s">
        <v>81</v>
      </c>
      <c r="F41" s="2" t="s">
        <v>33</v>
      </c>
      <c r="G41" s="2" t="s">
        <v>66</v>
      </c>
      <c r="H41" s="2" t="s">
        <v>67</v>
      </c>
      <c r="I41" s="2" t="s">
        <v>51</v>
      </c>
      <c r="J41" s="2">
        <v>2</v>
      </c>
      <c r="K41" s="5">
        <v>0.08</v>
      </c>
      <c r="L41" s="6">
        <v>570400</v>
      </c>
      <c r="M41" s="6">
        <v>380000</v>
      </c>
      <c r="N41" s="6">
        <v>190400</v>
      </c>
      <c r="O41" s="2" t="s">
        <v>45</v>
      </c>
    </row>
    <row r="42" spans="1:15" x14ac:dyDescent="0.35">
      <c r="A42" s="2" t="s">
        <v>119</v>
      </c>
      <c r="B42" s="4">
        <v>46194</v>
      </c>
      <c r="C42" s="2" t="s">
        <v>111</v>
      </c>
      <c r="D42" s="2" t="s">
        <v>120</v>
      </c>
      <c r="E42" s="2" t="s">
        <v>81</v>
      </c>
      <c r="F42" s="2" t="s">
        <v>33</v>
      </c>
      <c r="G42" s="2" t="s">
        <v>71</v>
      </c>
      <c r="H42" s="2" t="s">
        <v>72</v>
      </c>
      <c r="I42" s="2" t="s">
        <v>73</v>
      </c>
      <c r="J42" s="2">
        <v>6</v>
      </c>
      <c r="K42" s="5">
        <v>0.03</v>
      </c>
      <c r="L42" s="6">
        <v>727500</v>
      </c>
      <c r="M42" s="6">
        <v>420000</v>
      </c>
      <c r="N42" s="6">
        <v>307500</v>
      </c>
      <c r="O42" s="2" t="s">
        <v>63</v>
      </c>
    </row>
    <row r="43" spans="1:15" x14ac:dyDescent="0.35">
      <c r="A43" s="2" t="s">
        <v>121</v>
      </c>
      <c r="B43" s="4">
        <v>46041</v>
      </c>
      <c r="C43" s="2" t="s">
        <v>69</v>
      </c>
      <c r="D43" s="2" t="s">
        <v>47</v>
      </c>
      <c r="E43" s="2" t="s">
        <v>41</v>
      </c>
      <c r="F43" s="2" t="s">
        <v>122</v>
      </c>
      <c r="G43" s="2" t="s">
        <v>78</v>
      </c>
      <c r="H43" s="2" t="s">
        <v>79</v>
      </c>
      <c r="I43" s="2" t="s">
        <v>62</v>
      </c>
      <c r="J43" s="2">
        <v>1</v>
      </c>
      <c r="K43" s="5">
        <v>0.08</v>
      </c>
      <c r="L43" s="6">
        <v>78200</v>
      </c>
      <c r="M43" s="6">
        <v>43000</v>
      </c>
      <c r="N43" s="6">
        <v>35200</v>
      </c>
      <c r="O43" s="2" t="s">
        <v>45</v>
      </c>
    </row>
    <row r="44" spans="1:15" x14ac:dyDescent="0.35">
      <c r="A44" s="2" t="s">
        <v>123</v>
      </c>
      <c r="B44" s="4">
        <v>46152</v>
      </c>
      <c r="C44" s="2" t="s">
        <v>76</v>
      </c>
      <c r="D44" s="2" t="s">
        <v>31</v>
      </c>
      <c r="E44" s="2" t="s">
        <v>81</v>
      </c>
      <c r="F44" s="2" t="s">
        <v>112</v>
      </c>
      <c r="G44" s="2" t="s">
        <v>82</v>
      </c>
      <c r="H44" s="2" t="s">
        <v>83</v>
      </c>
      <c r="I44" s="2" t="s">
        <v>44</v>
      </c>
      <c r="J44" s="2">
        <v>5</v>
      </c>
      <c r="K44" s="5">
        <v>0.03</v>
      </c>
      <c r="L44" s="6">
        <v>0</v>
      </c>
      <c r="M44" s="6">
        <v>4900000</v>
      </c>
      <c r="N44" s="6">
        <v>-4900000</v>
      </c>
      <c r="O44" s="2" t="s">
        <v>84</v>
      </c>
    </row>
    <row r="45" spans="1:15" x14ac:dyDescent="0.35">
      <c r="A45" s="2" t="s">
        <v>124</v>
      </c>
      <c r="B45" s="4">
        <v>46135</v>
      </c>
      <c r="C45" s="2" t="s">
        <v>76</v>
      </c>
      <c r="D45" s="2" t="s">
        <v>47</v>
      </c>
      <c r="E45" s="2" t="s">
        <v>41</v>
      </c>
      <c r="F45" s="2" t="s">
        <v>77</v>
      </c>
      <c r="G45" s="2" t="s">
        <v>86</v>
      </c>
      <c r="H45" s="2" t="s">
        <v>87</v>
      </c>
      <c r="I45" s="2" t="s">
        <v>125</v>
      </c>
      <c r="J45" s="2">
        <v>5</v>
      </c>
      <c r="K45" s="5">
        <v>0.1</v>
      </c>
      <c r="L45" s="6">
        <v>787500</v>
      </c>
      <c r="M45" s="6">
        <v>1050000</v>
      </c>
      <c r="N45" s="6">
        <v>-262500</v>
      </c>
      <c r="O45" s="2" t="s">
        <v>37</v>
      </c>
    </row>
    <row r="46" spans="1:15" x14ac:dyDescent="0.35">
      <c r="A46" s="2" t="s">
        <v>126</v>
      </c>
      <c r="B46" s="4">
        <v>46057</v>
      </c>
      <c r="C46" s="2" t="s">
        <v>76</v>
      </c>
      <c r="D46" s="2" t="s">
        <v>47</v>
      </c>
      <c r="E46" s="2" t="s">
        <v>32</v>
      </c>
      <c r="F46" s="2" t="s">
        <v>90</v>
      </c>
      <c r="G46" s="2" t="s">
        <v>34</v>
      </c>
      <c r="H46" s="2" t="s">
        <v>35</v>
      </c>
      <c r="I46" s="2" t="s">
        <v>36</v>
      </c>
      <c r="J46" s="2">
        <v>5</v>
      </c>
      <c r="K46" s="5">
        <v>0</v>
      </c>
      <c r="L46" s="6" t="s">
        <v>127</v>
      </c>
      <c r="M46" s="6">
        <v>1425000</v>
      </c>
      <c r="N46" s="6">
        <v>950000</v>
      </c>
      <c r="O46" s="2" t="s">
        <v>57</v>
      </c>
    </row>
    <row r="47" spans="1:15" x14ac:dyDescent="0.35">
      <c r="A47" s="2" t="s">
        <v>128</v>
      </c>
      <c r="B47" s="4">
        <v>46177</v>
      </c>
      <c r="C47" s="2" t="s">
        <v>76</v>
      </c>
      <c r="D47" s="2" t="s">
        <v>70</v>
      </c>
      <c r="E47" s="2" t="s">
        <v>48</v>
      </c>
      <c r="F47" s="2" t="s">
        <v>33</v>
      </c>
      <c r="G47" s="2" t="s">
        <v>42</v>
      </c>
      <c r="H47" s="2" t="s">
        <v>43</v>
      </c>
      <c r="I47" s="2" t="s">
        <v>44</v>
      </c>
      <c r="J47" s="2">
        <v>4</v>
      </c>
      <c r="K47" s="5">
        <v>0.15</v>
      </c>
      <c r="L47" s="6">
        <v>935000</v>
      </c>
      <c r="M47" s="6">
        <v>620000</v>
      </c>
      <c r="N47" s="6">
        <v>315000</v>
      </c>
      <c r="O47" s="2" t="s">
        <v>74</v>
      </c>
    </row>
    <row r="48" spans="1:15" x14ac:dyDescent="0.35">
      <c r="A48" s="2" t="s">
        <v>129</v>
      </c>
      <c r="B48" s="4">
        <v>46046</v>
      </c>
      <c r="C48" s="2" t="s">
        <v>76</v>
      </c>
      <c r="D48" s="2" t="s">
        <v>70</v>
      </c>
      <c r="E48" s="2" t="s">
        <v>130</v>
      </c>
      <c r="F48" s="2" t="s">
        <v>33</v>
      </c>
      <c r="G48" s="2" t="s">
        <v>49</v>
      </c>
      <c r="H48" s="2" t="s">
        <v>50</v>
      </c>
      <c r="I48" s="2" t="s">
        <v>51</v>
      </c>
      <c r="J48" s="2">
        <v>7</v>
      </c>
      <c r="K48" s="5">
        <v>0.05</v>
      </c>
      <c r="L48" s="6">
        <v>1629250</v>
      </c>
      <c r="M48" s="6">
        <v>1015000</v>
      </c>
      <c r="N48" s="6">
        <v>614250</v>
      </c>
      <c r="O48" s="2" t="s">
        <v>84</v>
      </c>
    </row>
    <row r="49" spans="1:15" x14ac:dyDescent="0.35">
      <c r="A49" s="2" t="s">
        <v>131</v>
      </c>
      <c r="B49" s="4">
        <v>46136</v>
      </c>
      <c r="C49" s="2" t="s">
        <v>95</v>
      </c>
      <c r="D49" s="2" t="s">
        <v>40</v>
      </c>
      <c r="E49" s="2" t="s">
        <v>32</v>
      </c>
      <c r="F49" s="2" t="s">
        <v>33</v>
      </c>
      <c r="G49" s="2" t="s">
        <v>55</v>
      </c>
      <c r="H49" s="2" t="s">
        <v>56</v>
      </c>
      <c r="I49" s="2" t="s">
        <v>36</v>
      </c>
      <c r="J49" s="2">
        <v>7</v>
      </c>
      <c r="K49" s="5">
        <v>0.1</v>
      </c>
      <c r="L49" s="6">
        <v>11655000</v>
      </c>
      <c r="M49" s="6">
        <v>9240000</v>
      </c>
      <c r="N49" s="6">
        <v>2415000</v>
      </c>
      <c r="O49" s="2" t="s">
        <v>63</v>
      </c>
    </row>
    <row r="50" spans="1:15" x14ac:dyDescent="0.35">
      <c r="A50" s="2" t="s">
        <v>132</v>
      </c>
      <c r="B50" s="4">
        <v>46172</v>
      </c>
      <c r="C50" s="2" t="s">
        <v>95</v>
      </c>
      <c r="D50" s="2" t="s">
        <v>70</v>
      </c>
      <c r="E50" s="2" t="s">
        <v>81</v>
      </c>
      <c r="F50" s="2" t="s">
        <v>33</v>
      </c>
      <c r="G50" s="2" t="s">
        <v>60</v>
      </c>
      <c r="H50" s="2" t="s">
        <v>61</v>
      </c>
      <c r="I50" s="2" t="s">
        <v>62</v>
      </c>
      <c r="J50" s="2">
        <v>3</v>
      </c>
      <c r="K50" s="5">
        <v>0.08</v>
      </c>
      <c r="L50" s="6">
        <v>179400</v>
      </c>
      <c r="M50" s="6">
        <v>93000</v>
      </c>
      <c r="N50" s="6">
        <v>86400</v>
      </c>
      <c r="O50" s="2" t="s">
        <v>63</v>
      </c>
    </row>
    <row r="51" spans="1:15" x14ac:dyDescent="0.35">
      <c r="A51" s="2" t="s">
        <v>133</v>
      </c>
      <c r="B51" s="4">
        <v>46076</v>
      </c>
      <c r="C51" s="2" t="s">
        <v>30</v>
      </c>
      <c r="D51" s="2" t="s">
        <v>47</v>
      </c>
      <c r="E51" s="2" t="s">
        <v>48</v>
      </c>
      <c r="F51" s="2" t="s">
        <v>33</v>
      </c>
      <c r="G51" s="2" t="s">
        <v>66</v>
      </c>
      <c r="H51" s="2" t="s">
        <v>67</v>
      </c>
      <c r="I51" s="2" t="s">
        <v>51</v>
      </c>
      <c r="J51" s="2">
        <v>4</v>
      </c>
      <c r="K51" s="5">
        <v>0.15</v>
      </c>
      <c r="L51" s="6">
        <v>1054000</v>
      </c>
      <c r="M51" s="6">
        <v>760000</v>
      </c>
      <c r="N51" s="6">
        <v>294000</v>
      </c>
      <c r="O51" s="2" t="s">
        <v>45</v>
      </c>
    </row>
    <row r="52" spans="1:15" x14ac:dyDescent="0.35">
      <c r="A52" s="2" t="s">
        <v>134</v>
      </c>
      <c r="B52" s="2" t="s">
        <v>135</v>
      </c>
      <c r="C52" s="2" t="s">
        <v>39</v>
      </c>
      <c r="D52" s="2" t="s">
        <v>70</v>
      </c>
      <c r="E52" s="2" t="s">
        <v>48</v>
      </c>
      <c r="F52" s="2" t="s">
        <v>33</v>
      </c>
      <c r="G52" s="2" t="s">
        <v>71</v>
      </c>
      <c r="H52" s="2" t="s">
        <v>72</v>
      </c>
      <c r="I52" s="2" t="s">
        <v>73</v>
      </c>
      <c r="J52" s="2">
        <v>3</v>
      </c>
      <c r="K52" s="5">
        <v>0.08</v>
      </c>
      <c r="L52" s="6">
        <v>345000</v>
      </c>
      <c r="M52" s="6">
        <v>210000</v>
      </c>
      <c r="N52" s="6">
        <v>135000</v>
      </c>
      <c r="O52" s="2" t="s">
        <v>57</v>
      </c>
    </row>
    <row r="53" spans="1:15" x14ac:dyDescent="0.35">
      <c r="A53" s="2" t="s">
        <v>136</v>
      </c>
      <c r="B53" s="4">
        <v>46063</v>
      </c>
      <c r="C53" s="2" t="s">
        <v>39</v>
      </c>
      <c r="D53" s="2" t="s">
        <v>59</v>
      </c>
      <c r="E53" s="2" t="s">
        <v>32</v>
      </c>
      <c r="F53" s="2" t="s">
        <v>90</v>
      </c>
      <c r="G53" s="2" t="s">
        <v>78</v>
      </c>
      <c r="H53" s="2" t="s">
        <v>79</v>
      </c>
      <c r="I53" s="2" t="s">
        <v>62</v>
      </c>
      <c r="J53" s="2">
        <v>2</v>
      </c>
      <c r="K53" s="5">
        <v>0.08</v>
      </c>
      <c r="L53" s="6">
        <v>156400</v>
      </c>
      <c r="M53" s="6">
        <v>86000</v>
      </c>
      <c r="N53" s="6">
        <v>70400</v>
      </c>
      <c r="O53" s="2" t="s">
        <v>52</v>
      </c>
    </row>
    <row r="54" spans="1:15" x14ac:dyDescent="0.35">
      <c r="A54" s="2" t="s">
        <v>137</v>
      </c>
      <c r="B54" s="4">
        <v>46112</v>
      </c>
      <c r="C54" s="2" t="s">
        <v>54</v>
      </c>
      <c r="D54" s="2" t="s">
        <v>31</v>
      </c>
      <c r="E54" s="2" t="s">
        <v>48</v>
      </c>
      <c r="F54" s="2" t="s">
        <v>33</v>
      </c>
      <c r="G54" s="2" t="s">
        <v>82</v>
      </c>
      <c r="H54" s="2" t="s">
        <v>83</v>
      </c>
      <c r="I54" s="2" t="s">
        <v>44</v>
      </c>
      <c r="J54" s="2">
        <v>5</v>
      </c>
      <c r="K54" s="5">
        <v>0.03</v>
      </c>
      <c r="L54" s="6">
        <v>7032500</v>
      </c>
      <c r="M54" s="6">
        <v>4900000</v>
      </c>
      <c r="N54" s="6">
        <v>2132500</v>
      </c>
      <c r="O54" s="2" t="s">
        <v>57</v>
      </c>
    </row>
    <row r="55" spans="1:15" x14ac:dyDescent="0.35">
      <c r="A55" s="2" t="s">
        <v>138</v>
      </c>
      <c r="B55" s="4">
        <v>46040</v>
      </c>
      <c r="C55" s="2" t="s">
        <v>95</v>
      </c>
      <c r="D55" s="2" t="s">
        <v>59</v>
      </c>
      <c r="E55" s="2" t="s">
        <v>81</v>
      </c>
      <c r="F55" s="2" t="s">
        <v>33</v>
      </c>
      <c r="G55" s="2" t="s">
        <v>86</v>
      </c>
      <c r="H55" s="2" t="s">
        <v>87</v>
      </c>
      <c r="I55" s="2" t="s">
        <v>36</v>
      </c>
      <c r="J55" s="2">
        <v>5</v>
      </c>
      <c r="K55" s="5">
        <v>0.05</v>
      </c>
      <c r="L55" s="6">
        <v>1662500</v>
      </c>
      <c r="M55" s="6">
        <v>1050000</v>
      </c>
      <c r="N55" s="6">
        <v>612500</v>
      </c>
      <c r="O55" s="2" t="s">
        <v>37</v>
      </c>
    </row>
    <row r="56" spans="1:15" x14ac:dyDescent="0.35">
      <c r="A56" s="2" t="s">
        <v>139</v>
      </c>
      <c r="B56" s="4">
        <v>46089</v>
      </c>
      <c r="C56" s="2" t="s">
        <v>65</v>
      </c>
      <c r="D56" s="2" t="s">
        <v>40</v>
      </c>
      <c r="E56" s="2" t="s">
        <v>41</v>
      </c>
      <c r="F56" s="2" t="s">
        <v>77</v>
      </c>
      <c r="G56" s="2" t="s">
        <v>34</v>
      </c>
      <c r="H56" s="2" t="s">
        <v>35</v>
      </c>
      <c r="I56" s="2" t="s">
        <v>36</v>
      </c>
      <c r="J56" s="2">
        <v>3</v>
      </c>
      <c r="K56" s="5">
        <v>0.1</v>
      </c>
      <c r="L56" s="6">
        <v>320625</v>
      </c>
      <c r="M56" s="6">
        <v>855000</v>
      </c>
      <c r="N56" s="6">
        <v>-534375</v>
      </c>
      <c r="O56" s="2" t="s">
        <v>63</v>
      </c>
    </row>
    <row r="57" spans="1:15" x14ac:dyDescent="0.35">
      <c r="A57" s="2" t="s">
        <v>140</v>
      </c>
      <c r="B57" s="4">
        <v>46103</v>
      </c>
      <c r="C57" s="2" t="s">
        <v>76</v>
      </c>
      <c r="D57" s="2" t="s">
        <v>141</v>
      </c>
      <c r="E57" s="2" t="s">
        <v>32</v>
      </c>
      <c r="F57" s="2" t="s">
        <v>77</v>
      </c>
      <c r="G57" s="2" t="s">
        <v>42</v>
      </c>
      <c r="H57" s="2" t="s">
        <v>43</v>
      </c>
      <c r="I57" s="2" t="s">
        <v>44</v>
      </c>
      <c r="J57" s="2">
        <v>7</v>
      </c>
      <c r="K57" s="5">
        <v>0.1</v>
      </c>
      <c r="L57" s="6">
        <v>0</v>
      </c>
      <c r="M57" s="6">
        <v>1085000</v>
      </c>
      <c r="N57" s="6">
        <v>-1085000</v>
      </c>
      <c r="O57" s="2" t="s">
        <v>74</v>
      </c>
    </row>
    <row r="58" spans="1:15" x14ac:dyDescent="0.35">
      <c r="A58" s="2" t="s">
        <v>142</v>
      </c>
      <c r="B58" s="4">
        <v>46134</v>
      </c>
      <c r="C58" s="2" t="s">
        <v>65</v>
      </c>
      <c r="D58" s="2" t="s">
        <v>31</v>
      </c>
      <c r="E58" s="2" t="s">
        <v>81</v>
      </c>
      <c r="F58" s="2" t="s">
        <v>112</v>
      </c>
      <c r="G58" s="2" t="s">
        <v>49</v>
      </c>
      <c r="H58" s="2" t="s">
        <v>50</v>
      </c>
      <c r="I58" s="2" t="s">
        <v>51</v>
      </c>
      <c r="J58" s="2">
        <v>1</v>
      </c>
      <c r="K58" s="5">
        <v>0.1</v>
      </c>
      <c r="L58" s="6">
        <v>110250</v>
      </c>
      <c r="M58" s="6">
        <v>145000</v>
      </c>
      <c r="N58" s="6">
        <v>-34750</v>
      </c>
      <c r="O58" s="2" t="s">
        <v>37</v>
      </c>
    </row>
    <row r="59" spans="1:15" x14ac:dyDescent="0.35">
      <c r="A59" s="2" t="s">
        <v>143</v>
      </c>
      <c r="B59" s="4">
        <v>46193</v>
      </c>
      <c r="C59" s="2" t="s">
        <v>76</v>
      </c>
      <c r="D59" s="2" t="s">
        <v>40</v>
      </c>
      <c r="E59" s="2" t="s">
        <v>81</v>
      </c>
      <c r="F59" s="2" t="s">
        <v>33</v>
      </c>
      <c r="G59" s="2" t="s">
        <v>55</v>
      </c>
      <c r="H59" s="2" t="s">
        <v>56</v>
      </c>
      <c r="I59" s="2" t="s">
        <v>36</v>
      </c>
      <c r="J59" s="2">
        <v>6</v>
      </c>
      <c r="K59" s="5">
        <v>0.1</v>
      </c>
      <c r="L59" s="6">
        <v>9990000</v>
      </c>
      <c r="M59" s="6">
        <v>7920000</v>
      </c>
      <c r="N59" s="6">
        <v>2070000</v>
      </c>
      <c r="O59" s="2" t="s">
        <v>93</v>
      </c>
    </row>
    <row r="60" spans="1:15" x14ac:dyDescent="0.35">
      <c r="A60" s="2" t="s">
        <v>144</v>
      </c>
      <c r="B60" s="4">
        <v>46106</v>
      </c>
      <c r="C60" s="2" t="s">
        <v>65</v>
      </c>
      <c r="D60" s="2" t="s">
        <v>31</v>
      </c>
      <c r="E60" s="2" t="s">
        <v>32</v>
      </c>
      <c r="F60" s="2" t="s">
        <v>33</v>
      </c>
      <c r="G60" s="2" t="s">
        <v>60</v>
      </c>
      <c r="H60" s="2" t="s">
        <v>61</v>
      </c>
      <c r="I60" s="2" t="s">
        <v>62</v>
      </c>
      <c r="J60" s="2">
        <v>7</v>
      </c>
      <c r="K60" s="5">
        <v>0.15</v>
      </c>
      <c r="L60" s="6">
        <v>386750</v>
      </c>
      <c r="M60" s="6">
        <v>217000</v>
      </c>
      <c r="N60" s="6">
        <v>169750</v>
      </c>
      <c r="O60" s="2" t="s">
        <v>93</v>
      </c>
    </row>
    <row r="61" spans="1:15" x14ac:dyDescent="0.35">
      <c r="A61" s="2" t="s">
        <v>145</v>
      </c>
      <c r="B61" s="4">
        <v>46196</v>
      </c>
      <c r="C61" s="2" t="s">
        <v>76</v>
      </c>
      <c r="D61" s="2" t="s">
        <v>59</v>
      </c>
      <c r="E61" s="2" t="s">
        <v>41</v>
      </c>
      <c r="F61" s="2" t="s">
        <v>146</v>
      </c>
      <c r="G61" s="2" t="s">
        <v>66</v>
      </c>
      <c r="H61" s="2" t="s">
        <v>67</v>
      </c>
      <c r="I61" s="2" t="s">
        <v>51</v>
      </c>
      <c r="J61" s="2">
        <v>3</v>
      </c>
      <c r="K61" s="5">
        <v>0.1</v>
      </c>
      <c r="L61" s="6">
        <v>837000</v>
      </c>
      <c r="M61" s="6">
        <v>570000</v>
      </c>
      <c r="N61" s="6">
        <v>267000</v>
      </c>
      <c r="O61" s="2" t="s">
        <v>57</v>
      </c>
    </row>
    <row r="62" spans="1:15" x14ac:dyDescent="0.35">
      <c r="A62" s="2" t="s">
        <v>147</v>
      </c>
      <c r="B62" s="4">
        <v>46076</v>
      </c>
      <c r="C62" s="2" t="s">
        <v>111</v>
      </c>
      <c r="D62" s="2" t="s">
        <v>70</v>
      </c>
      <c r="E62" s="2" t="s">
        <v>48</v>
      </c>
      <c r="F62" s="2" t="s">
        <v>33</v>
      </c>
      <c r="G62" s="2" t="s">
        <v>71</v>
      </c>
      <c r="H62" s="2" t="s">
        <v>72</v>
      </c>
      <c r="I62" s="2" t="s">
        <v>73</v>
      </c>
      <c r="J62" s="2">
        <v>7</v>
      </c>
      <c r="K62" s="5">
        <v>0.1</v>
      </c>
      <c r="L62" s="6">
        <v>787500</v>
      </c>
      <c r="M62" s="6">
        <v>490000</v>
      </c>
      <c r="N62" s="6">
        <v>297500</v>
      </c>
      <c r="O62" s="2" t="s">
        <v>52</v>
      </c>
    </row>
    <row r="63" spans="1:15" x14ac:dyDescent="0.35">
      <c r="A63" s="2" t="s">
        <v>148</v>
      </c>
      <c r="B63" s="4">
        <v>46195</v>
      </c>
      <c r="C63" s="2" t="s">
        <v>76</v>
      </c>
      <c r="D63" s="2" t="s">
        <v>31</v>
      </c>
      <c r="E63" s="2" t="s">
        <v>41</v>
      </c>
      <c r="F63" s="2" t="s">
        <v>33</v>
      </c>
      <c r="G63" s="2" t="s">
        <v>78</v>
      </c>
      <c r="H63" s="2" t="s">
        <v>79</v>
      </c>
      <c r="I63" s="2" t="s">
        <v>149</v>
      </c>
      <c r="J63" s="2">
        <v>4</v>
      </c>
      <c r="K63" s="5">
        <v>0.1</v>
      </c>
      <c r="L63" s="6">
        <v>306000</v>
      </c>
      <c r="M63" s="6">
        <v>172000</v>
      </c>
      <c r="N63" s="6">
        <v>134000</v>
      </c>
      <c r="O63" s="2" t="s">
        <v>63</v>
      </c>
    </row>
    <row r="64" spans="1:15" x14ac:dyDescent="0.35">
      <c r="A64" s="2" t="s">
        <v>150</v>
      </c>
      <c r="B64" s="2" t="s">
        <v>151</v>
      </c>
      <c r="C64" s="2" t="s">
        <v>95</v>
      </c>
      <c r="D64" s="2" t="s">
        <v>31</v>
      </c>
      <c r="E64" s="2" t="s">
        <v>32</v>
      </c>
      <c r="F64" s="2" t="s">
        <v>33</v>
      </c>
      <c r="G64" s="2" t="s">
        <v>82</v>
      </c>
      <c r="H64" s="2" t="s">
        <v>83</v>
      </c>
      <c r="I64" s="2" t="s">
        <v>44</v>
      </c>
      <c r="J64" s="2">
        <v>4</v>
      </c>
      <c r="K64" s="5">
        <v>0.15</v>
      </c>
      <c r="L64" s="6">
        <v>4930000</v>
      </c>
      <c r="M64" s="6">
        <v>3920000</v>
      </c>
      <c r="N64" s="6">
        <v>1010000</v>
      </c>
      <c r="O64" s="2" t="s">
        <v>74</v>
      </c>
    </row>
    <row r="65" spans="1:15" x14ac:dyDescent="0.35">
      <c r="A65" s="2" t="s">
        <v>152</v>
      </c>
      <c r="B65" s="4">
        <v>46085</v>
      </c>
      <c r="C65" s="2" t="s">
        <v>65</v>
      </c>
      <c r="D65" s="2" t="s">
        <v>40</v>
      </c>
      <c r="E65" s="2" t="s">
        <v>48</v>
      </c>
      <c r="F65" s="2" t="s">
        <v>90</v>
      </c>
      <c r="G65" s="2" t="s">
        <v>86</v>
      </c>
      <c r="H65" s="2" t="s">
        <v>87</v>
      </c>
      <c r="I65" s="2" t="s">
        <v>36</v>
      </c>
      <c r="J65" s="2">
        <v>8</v>
      </c>
      <c r="K65" s="5">
        <v>0.1</v>
      </c>
      <c r="L65" s="6">
        <v>2520000</v>
      </c>
      <c r="M65" s="6">
        <v>1680000</v>
      </c>
      <c r="N65" s="6">
        <v>840000</v>
      </c>
      <c r="O65" s="2" t="s">
        <v>45</v>
      </c>
    </row>
    <row r="66" spans="1:15" x14ac:dyDescent="0.35">
      <c r="A66" s="2" t="s">
        <v>153</v>
      </c>
      <c r="B66" s="4">
        <v>46201</v>
      </c>
      <c r="C66" s="2" t="s">
        <v>69</v>
      </c>
      <c r="D66" s="2" t="s">
        <v>31</v>
      </c>
      <c r="E66" s="2" t="s">
        <v>154</v>
      </c>
      <c r="F66" s="2" t="s">
        <v>33</v>
      </c>
      <c r="G66" s="2" t="s">
        <v>34</v>
      </c>
      <c r="H66" s="2" t="s">
        <v>35</v>
      </c>
      <c r="I66" s="2" t="s">
        <v>36</v>
      </c>
      <c r="J66" s="2">
        <v>7</v>
      </c>
      <c r="K66" s="5">
        <v>0.08</v>
      </c>
      <c r="L66" s="6">
        <v>3059000</v>
      </c>
      <c r="M66" s="6">
        <v>1995000</v>
      </c>
      <c r="N66" s="6">
        <v>1064000</v>
      </c>
      <c r="O66" s="2" t="s">
        <v>93</v>
      </c>
    </row>
    <row r="67" spans="1:15" x14ac:dyDescent="0.35">
      <c r="A67" s="2" t="s">
        <v>155</v>
      </c>
      <c r="B67" s="4">
        <v>46079</v>
      </c>
      <c r="C67" s="2" t="s">
        <v>69</v>
      </c>
      <c r="D67" s="2" t="s">
        <v>40</v>
      </c>
      <c r="E67" s="2" t="s">
        <v>32</v>
      </c>
      <c r="F67" s="2" t="s">
        <v>33</v>
      </c>
      <c r="G67" s="2" t="s">
        <v>42</v>
      </c>
      <c r="H67" s="2" t="s">
        <v>43</v>
      </c>
      <c r="I67" s="2" t="s">
        <v>44</v>
      </c>
      <c r="J67" s="2">
        <v>3</v>
      </c>
      <c r="K67" s="5">
        <v>0.15</v>
      </c>
      <c r="L67" s="6">
        <v>701250</v>
      </c>
      <c r="M67" s="6">
        <v>465000</v>
      </c>
      <c r="N67" s="6">
        <v>236250</v>
      </c>
      <c r="O67" s="2" t="s">
        <v>52</v>
      </c>
    </row>
    <row r="68" spans="1:15" x14ac:dyDescent="0.35">
      <c r="A68" s="2" t="s">
        <v>156</v>
      </c>
      <c r="B68" s="4">
        <v>46057</v>
      </c>
      <c r="C68" s="2" t="s">
        <v>111</v>
      </c>
      <c r="D68" s="2" t="s">
        <v>47</v>
      </c>
      <c r="E68" s="2" t="s">
        <v>81</v>
      </c>
      <c r="F68" s="2" t="s">
        <v>33</v>
      </c>
      <c r="G68" s="2" t="s">
        <v>49</v>
      </c>
      <c r="H68" s="2" t="s">
        <v>50</v>
      </c>
      <c r="I68" s="2" t="s">
        <v>51</v>
      </c>
      <c r="J68" s="2">
        <v>8</v>
      </c>
      <c r="K68" s="5">
        <v>0.15</v>
      </c>
      <c r="L68" s="6">
        <v>1666000</v>
      </c>
      <c r="M68" s="6">
        <v>1160000</v>
      </c>
      <c r="N68" s="6">
        <v>506000</v>
      </c>
      <c r="O68" s="2" t="s">
        <v>93</v>
      </c>
    </row>
    <row r="69" spans="1:15" x14ac:dyDescent="0.35">
      <c r="A69" s="2" t="s">
        <v>157</v>
      </c>
      <c r="B69" s="4">
        <v>46163</v>
      </c>
      <c r="C69" s="2" t="s">
        <v>76</v>
      </c>
      <c r="D69" s="2" t="s">
        <v>59</v>
      </c>
      <c r="E69" s="2" t="s">
        <v>48</v>
      </c>
      <c r="F69" s="2" t="s">
        <v>33</v>
      </c>
      <c r="G69" s="2" t="s">
        <v>55</v>
      </c>
      <c r="H69" s="2" t="s">
        <v>56</v>
      </c>
      <c r="I69" s="2" t="s">
        <v>36</v>
      </c>
      <c r="J69" s="2">
        <v>8</v>
      </c>
      <c r="K69" s="5">
        <v>0.03</v>
      </c>
      <c r="L69" s="6">
        <v>14356000</v>
      </c>
      <c r="M69" s="6">
        <v>10560000</v>
      </c>
      <c r="N69" s="6">
        <v>3796000</v>
      </c>
      <c r="O69" s="2" t="s">
        <v>45</v>
      </c>
    </row>
    <row r="70" spans="1:15" x14ac:dyDescent="0.35">
      <c r="A70" s="2" t="s">
        <v>158</v>
      </c>
      <c r="B70" s="4">
        <v>46186</v>
      </c>
      <c r="C70" s="2" t="s">
        <v>111</v>
      </c>
      <c r="D70" s="2" t="s">
        <v>31</v>
      </c>
      <c r="E70" s="2" t="s">
        <v>81</v>
      </c>
      <c r="F70" s="2" t="s">
        <v>33</v>
      </c>
      <c r="G70" s="2" t="s">
        <v>60</v>
      </c>
      <c r="H70" s="2" t="s">
        <v>61</v>
      </c>
      <c r="I70" s="2" t="s">
        <v>62</v>
      </c>
      <c r="J70" s="2">
        <v>5</v>
      </c>
      <c r="K70" s="5">
        <v>0.1</v>
      </c>
      <c r="L70" s="6">
        <v>292500</v>
      </c>
      <c r="M70" s="6">
        <v>155000</v>
      </c>
      <c r="N70" s="6">
        <v>137500</v>
      </c>
      <c r="O70" s="2" t="s">
        <v>37</v>
      </c>
    </row>
    <row r="71" spans="1:15" x14ac:dyDescent="0.35">
      <c r="A71" s="2" t="s">
        <v>159</v>
      </c>
      <c r="B71" s="4">
        <v>46096</v>
      </c>
      <c r="C71" s="2" t="s">
        <v>30</v>
      </c>
      <c r="D71" s="2" t="s">
        <v>47</v>
      </c>
      <c r="E71" s="2" t="s">
        <v>41</v>
      </c>
      <c r="F71" s="2" t="s">
        <v>33</v>
      </c>
      <c r="G71" s="2" t="s">
        <v>66</v>
      </c>
      <c r="H71" s="2" t="s">
        <v>67</v>
      </c>
      <c r="I71" s="2" t="s">
        <v>51</v>
      </c>
      <c r="J71" s="2">
        <v>4</v>
      </c>
      <c r="K71" s="5">
        <v>0.05</v>
      </c>
      <c r="L71" s="6">
        <v>1178000</v>
      </c>
      <c r="M71" s="6">
        <v>760000</v>
      </c>
      <c r="N71" s="6">
        <v>418000</v>
      </c>
      <c r="O71" s="2" t="s">
        <v>84</v>
      </c>
    </row>
    <row r="72" spans="1:15" x14ac:dyDescent="0.35">
      <c r="A72" s="2" t="s">
        <v>160</v>
      </c>
      <c r="B72" s="4">
        <v>46082</v>
      </c>
      <c r="C72" s="2" t="s">
        <v>65</v>
      </c>
      <c r="D72" s="2" t="s">
        <v>31</v>
      </c>
      <c r="E72" s="2" t="s">
        <v>41</v>
      </c>
      <c r="F72" s="2" t="s">
        <v>33</v>
      </c>
      <c r="G72" s="2" t="s">
        <v>71</v>
      </c>
      <c r="H72" s="2" t="s">
        <v>72</v>
      </c>
      <c r="I72" s="2" t="s">
        <v>73</v>
      </c>
      <c r="J72" s="2">
        <v>7</v>
      </c>
      <c r="K72" s="5">
        <v>0.15</v>
      </c>
      <c r="L72" s="6"/>
      <c r="M72" s="6">
        <v>490000</v>
      </c>
      <c r="N72" s="6">
        <v>253750</v>
      </c>
      <c r="O72" s="2" t="s">
        <v>93</v>
      </c>
    </row>
    <row r="73" spans="1:15" x14ac:dyDescent="0.35">
      <c r="A73" s="2" t="s">
        <v>161</v>
      </c>
      <c r="B73" s="4">
        <v>46107</v>
      </c>
      <c r="C73" s="2" t="s">
        <v>95</v>
      </c>
      <c r="D73" s="2" t="s">
        <v>59</v>
      </c>
      <c r="E73" s="2" t="s">
        <v>48</v>
      </c>
      <c r="F73" s="2" t="s">
        <v>33</v>
      </c>
      <c r="G73" s="2" t="s">
        <v>78</v>
      </c>
      <c r="H73" s="2" t="s">
        <v>79</v>
      </c>
      <c r="I73" s="2" t="s">
        <v>62</v>
      </c>
      <c r="J73" s="2">
        <v>8</v>
      </c>
      <c r="K73" s="5">
        <v>0.08</v>
      </c>
      <c r="L73" s="6">
        <v>625600</v>
      </c>
      <c r="M73" s="6">
        <v>344000</v>
      </c>
      <c r="N73" s="6">
        <v>281600</v>
      </c>
      <c r="O73" s="2" t="s">
        <v>93</v>
      </c>
    </row>
    <row r="74" spans="1:15" x14ac:dyDescent="0.35">
      <c r="A74" s="2" t="s">
        <v>162</v>
      </c>
      <c r="B74" s="4">
        <v>46145</v>
      </c>
      <c r="C74" s="2" t="s">
        <v>39</v>
      </c>
      <c r="D74" s="2" t="s">
        <v>59</v>
      </c>
      <c r="E74" s="2" t="s">
        <v>48</v>
      </c>
      <c r="F74" s="2" t="s">
        <v>33</v>
      </c>
      <c r="G74" s="2" t="s">
        <v>82</v>
      </c>
      <c r="H74" s="2" t="s">
        <v>83</v>
      </c>
      <c r="I74" s="2" t="s">
        <v>44</v>
      </c>
      <c r="J74" s="2">
        <v>1</v>
      </c>
      <c r="K74" s="5">
        <v>0.05</v>
      </c>
      <c r="L74" s="6">
        <v>1377500</v>
      </c>
      <c r="M74" s="6">
        <v>980000</v>
      </c>
      <c r="N74" s="6">
        <v>397500</v>
      </c>
      <c r="O74" s="2" t="s">
        <v>52</v>
      </c>
    </row>
    <row r="75" spans="1:15" x14ac:dyDescent="0.35">
      <c r="A75" s="2" t="s">
        <v>163</v>
      </c>
      <c r="B75" s="4">
        <v>46079</v>
      </c>
      <c r="C75" s="2" t="s">
        <v>65</v>
      </c>
      <c r="D75" s="2" t="s">
        <v>59</v>
      </c>
      <c r="E75" s="2" t="s">
        <v>81</v>
      </c>
      <c r="F75" s="2" t="s">
        <v>33</v>
      </c>
      <c r="G75" s="2" t="s">
        <v>86</v>
      </c>
      <c r="H75" s="2" t="s">
        <v>87</v>
      </c>
      <c r="I75" s="2" t="s">
        <v>36</v>
      </c>
      <c r="J75" s="2">
        <v>5</v>
      </c>
      <c r="K75" s="5">
        <v>0.08</v>
      </c>
      <c r="L75" s="6">
        <v>1610000</v>
      </c>
      <c r="M75" s="6">
        <v>1050000</v>
      </c>
      <c r="N75" s="6">
        <v>560000</v>
      </c>
      <c r="O75" s="2" t="s">
        <v>84</v>
      </c>
    </row>
    <row r="76" spans="1:15" x14ac:dyDescent="0.35">
      <c r="A76" s="2" t="s">
        <v>164</v>
      </c>
      <c r="B76" s="4">
        <v>46142</v>
      </c>
      <c r="C76" s="2" t="s">
        <v>69</v>
      </c>
      <c r="D76" s="2" t="s">
        <v>59</v>
      </c>
      <c r="E76" s="2" t="s">
        <v>41</v>
      </c>
      <c r="F76" s="2" t="s">
        <v>33</v>
      </c>
      <c r="G76" s="2" t="s">
        <v>165</v>
      </c>
      <c r="H76" s="2" t="s">
        <v>35</v>
      </c>
      <c r="I76" s="2" t="s">
        <v>36</v>
      </c>
      <c r="J76" s="2">
        <v>3</v>
      </c>
      <c r="K76" s="5">
        <v>0.1</v>
      </c>
      <c r="L76" s="6">
        <v>1282500</v>
      </c>
      <c r="M76" s="6">
        <v>855000</v>
      </c>
      <c r="N76" s="6">
        <v>427500</v>
      </c>
      <c r="O76" s="2" t="s">
        <v>93</v>
      </c>
    </row>
    <row r="77" spans="1:15" x14ac:dyDescent="0.35">
      <c r="A77" s="2" t="s">
        <v>166</v>
      </c>
      <c r="B77" s="4">
        <v>46057</v>
      </c>
      <c r="C77" s="2" t="s">
        <v>39</v>
      </c>
      <c r="D77" s="2" t="s">
        <v>59</v>
      </c>
      <c r="E77" s="2" t="s">
        <v>81</v>
      </c>
      <c r="F77" s="2" t="s">
        <v>33</v>
      </c>
      <c r="G77" s="2" t="s">
        <v>42</v>
      </c>
      <c r="H77" s="2" t="s">
        <v>43</v>
      </c>
      <c r="I77" s="2" t="s">
        <v>44</v>
      </c>
      <c r="J77" s="2">
        <v>8</v>
      </c>
      <c r="K77" s="5">
        <v>0.03</v>
      </c>
      <c r="L77" s="6">
        <v>2134000</v>
      </c>
      <c r="M77" s="6">
        <v>1240000</v>
      </c>
      <c r="N77" s="6">
        <v>894000</v>
      </c>
      <c r="O77" s="2" t="s">
        <v>52</v>
      </c>
    </row>
    <row r="78" spans="1:15" x14ac:dyDescent="0.35">
      <c r="A78" s="2" t="s">
        <v>167</v>
      </c>
      <c r="B78" s="4">
        <v>46106</v>
      </c>
      <c r="C78" s="2" t="s">
        <v>69</v>
      </c>
      <c r="D78" s="2" t="s">
        <v>59</v>
      </c>
      <c r="E78" s="2" t="s">
        <v>81</v>
      </c>
      <c r="F78" s="2" t="s">
        <v>33</v>
      </c>
      <c r="G78" s="2" t="s">
        <v>49</v>
      </c>
      <c r="H78" s="2" t="s">
        <v>50</v>
      </c>
      <c r="I78" s="2" t="s">
        <v>51</v>
      </c>
      <c r="J78" s="2">
        <v>6</v>
      </c>
      <c r="K78" s="5">
        <v>0.08</v>
      </c>
      <c r="L78" s="6">
        <v>1352400</v>
      </c>
      <c r="M78" s="6">
        <v>870000</v>
      </c>
      <c r="N78" s="6">
        <v>482400</v>
      </c>
      <c r="O78" s="2" t="s">
        <v>52</v>
      </c>
    </row>
    <row r="79" spans="1:15" x14ac:dyDescent="0.35">
      <c r="A79" s="2" t="s">
        <v>168</v>
      </c>
      <c r="B79" s="4">
        <v>46027</v>
      </c>
      <c r="C79" s="2" t="s">
        <v>95</v>
      </c>
      <c r="D79" s="2" t="s">
        <v>169</v>
      </c>
      <c r="E79" s="2" t="s">
        <v>41</v>
      </c>
      <c r="F79" s="2" t="s">
        <v>33</v>
      </c>
      <c r="G79" s="2" t="s">
        <v>55</v>
      </c>
      <c r="H79" s="2" t="s">
        <v>56</v>
      </c>
      <c r="I79" s="2" t="s">
        <v>36</v>
      </c>
      <c r="J79" s="2">
        <v>1</v>
      </c>
      <c r="K79" s="5">
        <v>0.05</v>
      </c>
      <c r="L79" s="6">
        <v>1757500</v>
      </c>
      <c r="M79" s="6">
        <v>1320000</v>
      </c>
      <c r="N79" s="6">
        <v>437500</v>
      </c>
      <c r="O79" s="2" t="s">
        <v>45</v>
      </c>
    </row>
    <row r="80" spans="1:15" x14ac:dyDescent="0.35">
      <c r="A80" s="2" t="s">
        <v>170</v>
      </c>
      <c r="B80" s="4">
        <v>46074</v>
      </c>
      <c r="C80" s="2" t="s">
        <v>69</v>
      </c>
      <c r="D80" s="2" t="s">
        <v>31</v>
      </c>
      <c r="E80" s="2" t="s">
        <v>48</v>
      </c>
      <c r="F80" s="2" t="s">
        <v>33</v>
      </c>
      <c r="G80" s="2" t="s">
        <v>60</v>
      </c>
      <c r="H80" s="2" t="s">
        <v>61</v>
      </c>
      <c r="I80" s="2" t="s">
        <v>62</v>
      </c>
      <c r="J80" s="2">
        <v>1</v>
      </c>
      <c r="K80" s="5">
        <v>0.1</v>
      </c>
      <c r="L80" s="6">
        <v>58500</v>
      </c>
      <c r="M80" s="6">
        <v>31000</v>
      </c>
      <c r="N80" s="6">
        <v>27500</v>
      </c>
      <c r="O80" s="2" t="s">
        <v>45</v>
      </c>
    </row>
    <row r="81" spans="1:15" x14ac:dyDescent="0.35">
      <c r="A81" s="2" t="s">
        <v>171</v>
      </c>
      <c r="B81" s="4">
        <v>46142</v>
      </c>
      <c r="C81" s="2" t="s">
        <v>30</v>
      </c>
      <c r="D81" s="2" t="s">
        <v>47</v>
      </c>
      <c r="E81" s="2" t="s">
        <v>41</v>
      </c>
      <c r="F81" s="2" t="s">
        <v>33</v>
      </c>
      <c r="G81" s="2" t="s">
        <v>66</v>
      </c>
      <c r="H81" s="2" t="s">
        <v>67</v>
      </c>
      <c r="I81" s="2" t="s">
        <v>51</v>
      </c>
      <c r="J81" s="2">
        <v>5</v>
      </c>
      <c r="K81" s="5">
        <v>0.05</v>
      </c>
      <c r="L81" s="6">
        <v>1472500</v>
      </c>
      <c r="M81" s="6">
        <v>950000</v>
      </c>
      <c r="N81" s="6">
        <v>522500</v>
      </c>
      <c r="O81" s="2" t="s">
        <v>57</v>
      </c>
    </row>
    <row r="82" spans="1:15" x14ac:dyDescent="0.35">
      <c r="A82" s="2" t="s">
        <v>172</v>
      </c>
      <c r="B82" s="4">
        <v>46050</v>
      </c>
      <c r="C82" s="2" t="s">
        <v>39</v>
      </c>
      <c r="D82" s="2" t="s">
        <v>59</v>
      </c>
      <c r="E82" s="2" t="s">
        <v>48</v>
      </c>
      <c r="F82" s="2" t="s">
        <v>33</v>
      </c>
      <c r="G82" s="2" t="s">
        <v>71</v>
      </c>
      <c r="H82" s="2" t="s">
        <v>72</v>
      </c>
      <c r="I82" s="2" t="s">
        <v>73</v>
      </c>
      <c r="J82" s="2">
        <v>1</v>
      </c>
      <c r="K82" s="5">
        <v>0.05</v>
      </c>
      <c r="L82" s="6">
        <v>118750</v>
      </c>
      <c r="M82" s="6">
        <v>70000</v>
      </c>
      <c r="N82" s="6">
        <v>48750</v>
      </c>
      <c r="O82" s="2" t="s">
        <v>37</v>
      </c>
    </row>
    <row r="83" spans="1:15" x14ac:dyDescent="0.35">
      <c r="A83" s="2" t="s">
        <v>173</v>
      </c>
      <c r="B83" s="4">
        <v>46174</v>
      </c>
      <c r="C83" s="2" t="s">
        <v>95</v>
      </c>
      <c r="D83" s="2" t="s">
        <v>70</v>
      </c>
      <c r="E83" s="2" t="s">
        <v>41</v>
      </c>
      <c r="F83" s="2" t="s">
        <v>33</v>
      </c>
      <c r="G83" s="2" t="s">
        <v>78</v>
      </c>
      <c r="H83" s="2" t="s">
        <v>79</v>
      </c>
      <c r="I83" s="2" t="s">
        <v>62</v>
      </c>
      <c r="J83" s="2">
        <v>4</v>
      </c>
      <c r="K83" s="5">
        <v>0</v>
      </c>
      <c r="L83" s="6">
        <v>340000</v>
      </c>
      <c r="M83" s="6">
        <v>172000</v>
      </c>
      <c r="N83" s="6">
        <v>168000</v>
      </c>
      <c r="O83" s="2" t="s">
        <v>63</v>
      </c>
    </row>
    <row r="84" spans="1:15" x14ac:dyDescent="0.35">
      <c r="A84" s="2" t="s">
        <v>174</v>
      </c>
      <c r="B84" s="4">
        <v>46159</v>
      </c>
      <c r="C84" s="2" t="s">
        <v>95</v>
      </c>
      <c r="D84" s="2" t="s">
        <v>47</v>
      </c>
      <c r="E84" s="2" t="s">
        <v>81</v>
      </c>
      <c r="F84" s="2" t="s">
        <v>33</v>
      </c>
      <c r="G84" s="2" t="s">
        <v>82</v>
      </c>
      <c r="H84" s="2" t="s">
        <v>83</v>
      </c>
      <c r="I84" s="2" t="s">
        <v>44</v>
      </c>
      <c r="J84" s="2">
        <v>7</v>
      </c>
      <c r="K84" s="5">
        <v>0.15</v>
      </c>
      <c r="L84" s="6">
        <v>8627500</v>
      </c>
      <c r="M84" s="6">
        <v>6860000</v>
      </c>
      <c r="N84" s="6">
        <v>1767500</v>
      </c>
      <c r="O84" s="2" t="s">
        <v>93</v>
      </c>
    </row>
    <row r="85" spans="1:15" x14ac:dyDescent="0.35">
      <c r="A85" s="2" t="s">
        <v>175</v>
      </c>
      <c r="B85" s="4">
        <v>46148</v>
      </c>
      <c r="C85" s="2" t="s">
        <v>65</v>
      </c>
      <c r="D85" s="2" t="s">
        <v>59</v>
      </c>
      <c r="E85" s="2" t="s">
        <v>32</v>
      </c>
      <c r="F85" s="2" t="s">
        <v>77</v>
      </c>
      <c r="G85" s="2" t="s">
        <v>86</v>
      </c>
      <c r="H85" s="2" t="s">
        <v>87</v>
      </c>
      <c r="I85" s="2" t="s">
        <v>36</v>
      </c>
      <c r="J85" s="2">
        <v>2</v>
      </c>
      <c r="K85" s="5">
        <v>0.08</v>
      </c>
      <c r="L85" s="6">
        <v>322000</v>
      </c>
      <c r="M85" s="6">
        <v>420000</v>
      </c>
      <c r="N85" s="6">
        <v>-98000</v>
      </c>
      <c r="O85" s="2" t="s">
        <v>84</v>
      </c>
    </row>
    <row r="86" spans="1:15" x14ac:dyDescent="0.35">
      <c r="A86" s="2" t="s">
        <v>176</v>
      </c>
      <c r="B86" s="4">
        <v>46156</v>
      </c>
      <c r="C86" s="2" t="s">
        <v>111</v>
      </c>
      <c r="D86" s="2" t="s">
        <v>47</v>
      </c>
      <c r="E86" s="2" t="s">
        <v>48</v>
      </c>
      <c r="F86" s="2" t="s">
        <v>177</v>
      </c>
      <c r="G86" s="2" t="s">
        <v>34</v>
      </c>
      <c r="H86" s="2" t="s">
        <v>35</v>
      </c>
      <c r="I86" s="2" t="s">
        <v>36</v>
      </c>
      <c r="J86" s="2">
        <v>5</v>
      </c>
      <c r="K86" s="5">
        <v>0.1</v>
      </c>
      <c r="L86" s="6">
        <v>2137500</v>
      </c>
      <c r="M86" s="6">
        <v>1425000</v>
      </c>
      <c r="N86" s="6">
        <v>712500</v>
      </c>
      <c r="O86" s="2" t="s">
        <v>93</v>
      </c>
    </row>
    <row r="87" spans="1:15" x14ac:dyDescent="0.35">
      <c r="A87" s="2" t="s">
        <v>178</v>
      </c>
      <c r="B87" s="4">
        <v>46174</v>
      </c>
      <c r="C87" s="2" t="s">
        <v>111</v>
      </c>
      <c r="D87" s="2" t="s">
        <v>40</v>
      </c>
      <c r="E87" s="2" t="s">
        <v>81</v>
      </c>
      <c r="F87" s="2" t="s">
        <v>90</v>
      </c>
      <c r="G87" s="2" t="s">
        <v>42</v>
      </c>
      <c r="H87" s="2" t="s">
        <v>43</v>
      </c>
      <c r="I87" s="2" t="s">
        <v>44</v>
      </c>
      <c r="J87" s="2">
        <v>5</v>
      </c>
      <c r="K87" s="5">
        <v>0.05</v>
      </c>
      <c r="L87" s="6" t="s">
        <v>179</v>
      </c>
      <c r="M87" s="6">
        <v>775000</v>
      </c>
      <c r="N87" s="6">
        <v>531250</v>
      </c>
      <c r="O87" s="2" t="s">
        <v>45</v>
      </c>
    </row>
    <row r="88" spans="1:15" x14ac:dyDescent="0.35">
      <c r="A88" s="2" t="s">
        <v>180</v>
      </c>
      <c r="B88" s="2"/>
      <c r="C88" s="2" t="s">
        <v>111</v>
      </c>
      <c r="D88" s="2" t="s">
        <v>70</v>
      </c>
      <c r="E88" s="2" t="s">
        <v>32</v>
      </c>
      <c r="F88" s="2" t="s">
        <v>33</v>
      </c>
      <c r="G88" s="2" t="s">
        <v>49</v>
      </c>
      <c r="H88" s="2" t="s">
        <v>50</v>
      </c>
      <c r="I88" s="2" t="s">
        <v>181</v>
      </c>
      <c r="J88" s="2">
        <v>7</v>
      </c>
      <c r="K88" s="5">
        <v>0.05</v>
      </c>
      <c r="L88" s="6">
        <v>1629250</v>
      </c>
      <c r="M88" s="6">
        <v>1015000</v>
      </c>
      <c r="N88" s="6">
        <v>614250</v>
      </c>
      <c r="O88" s="2" t="s">
        <v>45</v>
      </c>
    </row>
    <row r="89" spans="1:15" x14ac:dyDescent="0.35">
      <c r="A89" s="2" t="s">
        <v>182</v>
      </c>
      <c r="B89" s="4">
        <v>46113</v>
      </c>
      <c r="C89" s="2" t="s">
        <v>95</v>
      </c>
      <c r="D89" s="2" t="s">
        <v>47</v>
      </c>
      <c r="E89" s="2" t="s">
        <v>81</v>
      </c>
      <c r="F89" s="2" t="s">
        <v>33</v>
      </c>
      <c r="G89" s="2" t="s">
        <v>55</v>
      </c>
      <c r="H89" s="2" t="s">
        <v>56</v>
      </c>
      <c r="I89" s="2" t="s">
        <v>36</v>
      </c>
      <c r="J89" s="2">
        <v>5</v>
      </c>
      <c r="K89" s="5">
        <v>0.05</v>
      </c>
      <c r="L89" s="6">
        <v>8787500</v>
      </c>
      <c r="M89" s="6">
        <v>6600000</v>
      </c>
      <c r="N89" s="6">
        <v>2187500</v>
      </c>
      <c r="O89" s="2" t="s">
        <v>45</v>
      </c>
    </row>
    <row r="90" spans="1:15" x14ac:dyDescent="0.35">
      <c r="A90" s="2" t="s">
        <v>183</v>
      </c>
      <c r="B90" s="4">
        <v>46044</v>
      </c>
      <c r="C90" s="2" t="s">
        <v>111</v>
      </c>
      <c r="D90" s="2" t="s">
        <v>47</v>
      </c>
      <c r="E90" s="2" t="s">
        <v>32</v>
      </c>
      <c r="F90" s="2" t="s">
        <v>33</v>
      </c>
      <c r="G90" s="2" t="s">
        <v>60</v>
      </c>
      <c r="H90" s="2" t="s">
        <v>61</v>
      </c>
      <c r="I90" s="2" t="s">
        <v>62</v>
      </c>
      <c r="J90" s="2">
        <v>4</v>
      </c>
      <c r="K90" s="5">
        <v>0.15</v>
      </c>
      <c r="L90" s="6">
        <v>221000</v>
      </c>
      <c r="M90" s="6">
        <v>124000</v>
      </c>
      <c r="N90" s="6">
        <v>97000</v>
      </c>
      <c r="O90" s="2" t="s">
        <v>52</v>
      </c>
    </row>
    <row r="91" spans="1:15" x14ac:dyDescent="0.35">
      <c r="A91" s="2" t="s">
        <v>184</v>
      </c>
      <c r="B91" s="4">
        <v>46137</v>
      </c>
      <c r="C91" s="2" t="s">
        <v>76</v>
      </c>
      <c r="D91" s="2" t="s">
        <v>59</v>
      </c>
      <c r="E91" s="2" t="s">
        <v>130</v>
      </c>
      <c r="F91" s="2" t="s">
        <v>33</v>
      </c>
      <c r="G91" s="2" t="s">
        <v>66</v>
      </c>
      <c r="H91" s="2" t="s">
        <v>67</v>
      </c>
      <c r="I91" s="2" t="s">
        <v>51</v>
      </c>
      <c r="J91" s="2">
        <v>1</v>
      </c>
      <c r="K91" s="5">
        <v>0</v>
      </c>
      <c r="L91" s="6">
        <v>310000</v>
      </c>
      <c r="M91" s="6">
        <v>190000</v>
      </c>
      <c r="N91" s="6">
        <v>120000</v>
      </c>
      <c r="O91" s="2" t="s">
        <v>63</v>
      </c>
    </row>
    <row r="92" spans="1:15" x14ac:dyDescent="0.35">
      <c r="A92" s="2" t="s">
        <v>185</v>
      </c>
      <c r="B92" s="4">
        <v>46144</v>
      </c>
      <c r="C92" s="2" t="s">
        <v>111</v>
      </c>
      <c r="D92" s="2" t="s">
        <v>70</v>
      </c>
      <c r="E92" s="2" t="s">
        <v>81</v>
      </c>
      <c r="F92" s="2" t="s">
        <v>77</v>
      </c>
      <c r="G92" s="2" t="s">
        <v>71</v>
      </c>
      <c r="H92" s="2" t="s">
        <v>72</v>
      </c>
      <c r="I92" s="2" t="s">
        <v>73</v>
      </c>
      <c r="J92" s="2">
        <v>6</v>
      </c>
      <c r="K92" s="5">
        <v>0.08</v>
      </c>
      <c r="L92" s="6">
        <v>345000</v>
      </c>
      <c r="M92" s="6">
        <v>420000</v>
      </c>
      <c r="N92" s="6">
        <v>-75000</v>
      </c>
      <c r="O92" s="2" t="s">
        <v>57</v>
      </c>
    </row>
    <row r="93" spans="1:15" x14ac:dyDescent="0.35">
      <c r="A93" s="2" t="s">
        <v>186</v>
      </c>
      <c r="B93" s="4">
        <v>46101</v>
      </c>
      <c r="C93" s="2" t="s">
        <v>69</v>
      </c>
      <c r="D93" s="2" t="s">
        <v>31</v>
      </c>
      <c r="E93" s="2" t="s">
        <v>81</v>
      </c>
      <c r="F93" s="2" t="s">
        <v>33</v>
      </c>
      <c r="G93" s="2" t="s">
        <v>78</v>
      </c>
      <c r="H93" s="2" t="s">
        <v>79</v>
      </c>
      <c r="I93" s="2" t="s">
        <v>62</v>
      </c>
      <c r="J93" s="2">
        <v>5</v>
      </c>
      <c r="K93" s="5">
        <v>0.03</v>
      </c>
      <c r="L93" s="6">
        <v>412250</v>
      </c>
      <c r="M93" s="6">
        <v>215000</v>
      </c>
      <c r="N93" s="6">
        <v>197250</v>
      </c>
      <c r="O93" s="2" t="s">
        <v>84</v>
      </c>
    </row>
    <row r="94" spans="1:15" x14ac:dyDescent="0.35">
      <c r="A94" s="2" t="s">
        <v>187</v>
      </c>
      <c r="B94" s="4">
        <v>46072</v>
      </c>
      <c r="C94" s="2" t="s">
        <v>69</v>
      </c>
      <c r="D94" s="2" t="s">
        <v>47</v>
      </c>
      <c r="E94" s="2" t="s">
        <v>81</v>
      </c>
      <c r="F94" s="2" t="s">
        <v>33</v>
      </c>
      <c r="G94" s="2" t="s">
        <v>82</v>
      </c>
      <c r="H94" s="2" t="s">
        <v>83</v>
      </c>
      <c r="I94" s="2" t="s">
        <v>44</v>
      </c>
      <c r="J94" s="2"/>
      <c r="K94" s="5">
        <v>0.15</v>
      </c>
      <c r="L94" s="6">
        <v>4930000</v>
      </c>
      <c r="M94" s="6">
        <v>3920000</v>
      </c>
      <c r="N94" s="6">
        <v>1010000</v>
      </c>
      <c r="O94" s="2" t="s">
        <v>45</v>
      </c>
    </row>
    <row r="95" spans="1:15" x14ac:dyDescent="0.35">
      <c r="A95" s="2" t="s">
        <v>188</v>
      </c>
      <c r="B95" s="4">
        <v>46098</v>
      </c>
      <c r="C95" s="2" t="s">
        <v>76</v>
      </c>
      <c r="D95" s="2" t="s">
        <v>40</v>
      </c>
      <c r="E95" s="2" t="s">
        <v>32</v>
      </c>
      <c r="F95" s="2" t="s">
        <v>33</v>
      </c>
      <c r="G95" s="2" t="s">
        <v>86</v>
      </c>
      <c r="H95" s="2" t="s">
        <v>87</v>
      </c>
      <c r="I95" s="2" t="s">
        <v>36</v>
      </c>
      <c r="J95" s="2">
        <v>4</v>
      </c>
      <c r="K95" s="5">
        <v>0.05</v>
      </c>
      <c r="L95" s="6">
        <v>1330000</v>
      </c>
      <c r="M95" s="6">
        <v>840000</v>
      </c>
      <c r="N95" s="6">
        <v>490000</v>
      </c>
      <c r="O95" s="2" t="s">
        <v>74</v>
      </c>
    </row>
    <row r="96" spans="1:15" x14ac:dyDescent="0.35">
      <c r="A96" s="2" t="s">
        <v>189</v>
      </c>
      <c r="B96" s="4">
        <v>46036</v>
      </c>
      <c r="C96" s="2" t="s">
        <v>95</v>
      </c>
      <c r="D96" s="2" t="s">
        <v>59</v>
      </c>
      <c r="E96" s="2" t="s">
        <v>41</v>
      </c>
      <c r="F96" s="2" t="s">
        <v>112</v>
      </c>
      <c r="G96" s="2" t="s">
        <v>34</v>
      </c>
      <c r="H96" s="2" t="s">
        <v>35</v>
      </c>
      <c r="I96" s="2" t="s">
        <v>36</v>
      </c>
      <c r="J96" s="2">
        <v>5</v>
      </c>
      <c r="K96" s="5">
        <v>0.15</v>
      </c>
      <c r="L96" s="6">
        <v>1009375</v>
      </c>
      <c r="M96" s="6">
        <v>1425000</v>
      </c>
      <c r="N96" s="6">
        <v>-415625</v>
      </c>
      <c r="O96" s="2" t="s">
        <v>57</v>
      </c>
    </row>
    <row r="97" spans="1:15" x14ac:dyDescent="0.35">
      <c r="A97" s="2" t="s">
        <v>190</v>
      </c>
      <c r="B97" s="4">
        <v>46143</v>
      </c>
      <c r="C97" s="2" t="s">
        <v>111</v>
      </c>
      <c r="D97" s="2" t="s">
        <v>40</v>
      </c>
      <c r="E97" s="2" t="s">
        <v>81</v>
      </c>
      <c r="F97" s="2" t="s">
        <v>33</v>
      </c>
      <c r="G97" s="2" t="s">
        <v>42</v>
      </c>
      <c r="H97" s="2" t="s">
        <v>43</v>
      </c>
      <c r="I97" s="2" t="s">
        <v>44</v>
      </c>
      <c r="J97" s="2">
        <v>8</v>
      </c>
      <c r="K97" s="5">
        <v>0.08</v>
      </c>
      <c r="L97" s="6">
        <v>2024000</v>
      </c>
      <c r="M97" s="6">
        <v>1240000</v>
      </c>
      <c r="N97" s="6">
        <v>784000</v>
      </c>
      <c r="O97" s="2" t="s">
        <v>37</v>
      </c>
    </row>
    <row r="98" spans="1:15" x14ac:dyDescent="0.35">
      <c r="A98" s="2" t="s">
        <v>191</v>
      </c>
      <c r="B98" s="4">
        <v>46039</v>
      </c>
      <c r="C98" s="2" t="s">
        <v>30</v>
      </c>
      <c r="D98" s="2" t="s">
        <v>40</v>
      </c>
      <c r="E98" s="2" t="s">
        <v>32</v>
      </c>
      <c r="F98" s="2" t="s">
        <v>33</v>
      </c>
      <c r="G98" s="2" t="s">
        <v>49</v>
      </c>
      <c r="H98" s="2" t="s">
        <v>50</v>
      </c>
      <c r="I98" s="2" t="s">
        <v>51</v>
      </c>
      <c r="J98" s="2">
        <v>7</v>
      </c>
      <c r="K98" s="5">
        <v>0.08</v>
      </c>
      <c r="L98" s="6">
        <v>1577800</v>
      </c>
      <c r="M98" s="6">
        <v>1015000</v>
      </c>
      <c r="N98" s="6">
        <v>562800</v>
      </c>
      <c r="O98" s="2" t="s">
        <v>57</v>
      </c>
    </row>
    <row r="99" spans="1:15" x14ac:dyDescent="0.35">
      <c r="A99" s="2" t="s">
        <v>192</v>
      </c>
      <c r="B99" s="2" t="s">
        <v>193</v>
      </c>
      <c r="C99" s="2" t="s">
        <v>65</v>
      </c>
      <c r="D99" s="2" t="s">
        <v>59</v>
      </c>
      <c r="E99" s="2" t="s">
        <v>32</v>
      </c>
      <c r="F99" s="2" t="s">
        <v>33</v>
      </c>
      <c r="G99" s="2" t="s">
        <v>55</v>
      </c>
      <c r="H99" s="2" t="s">
        <v>56</v>
      </c>
      <c r="I99" s="2" t="s">
        <v>36</v>
      </c>
      <c r="J99" s="2">
        <v>4</v>
      </c>
      <c r="K99" s="5">
        <v>0</v>
      </c>
      <c r="L99" s="6">
        <v>7400000</v>
      </c>
      <c r="M99" s="6">
        <v>5280000</v>
      </c>
      <c r="N99" s="6">
        <v>2120000</v>
      </c>
      <c r="O99" s="2" t="s">
        <v>52</v>
      </c>
    </row>
    <row r="100" spans="1:15" x14ac:dyDescent="0.35">
      <c r="A100" s="2" t="s">
        <v>194</v>
      </c>
      <c r="B100" s="4">
        <v>46136</v>
      </c>
      <c r="C100" s="2" t="s">
        <v>69</v>
      </c>
      <c r="D100" s="2" t="s">
        <v>47</v>
      </c>
      <c r="E100" s="2" t="s">
        <v>41</v>
      </c>
      <c r="F100" s="2" t="s">
        <v>77</v>
      </c>
      <c r="G100" s="2" t="s">
        <v>60</v>
      </c>
      <c r="H100" s="2" t="s">
        <v>61</v>
      </c>
      <c r="I100" s="2" t="s">
        <v>62</v>
      </c>
      <c r="J100" s="2">
        <v>5</v>
      </c>
      <c r="K100" s="5">
        <v>0.1</v>
      </c>
      <c r="L100" s="6">
        <v>73125</v>
      </c>
      <c r="M100" s="6">
        <v>155000</v>
      </c>
      <c r="N100" s="6">
        <v>-81875</v>
      </c>
      <c r="O100" s="2" t="s">
        <v>45</v>
      </c>
    </row>
    <row r="101" spans="1:15" x14ac:dyDescent="0.35">
      <c r="A101" s="2" t="s">
        <v>195</v>
      </c>
      <c r="B101" s="4">
        <v>46183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66</v>
      </c>
      <c r="H101" s="2" t="s">
        <v>67</v>
      </c>
      <c r="I101" s="2" t="s">
        <v>51</v>
      </c>
      <c r="J101" s="2">
        <v>4</v>
      </c>
      <c r="K101" s="5">
        <v>0.05</v>
      </c>
      <c r="L101" s="6">
        <v>1178000</v>
      </c>
      <c r="M101" s="6">
        <v>760000</v>
      </c>
      <c r="N101" s="6">
        <v>418000</v>
      </c>
      <c r="O101" s="2" t="s">
        <v>37</v>
      </c>
    </row>
    <row r="102" spans="1:15" x14ac:dyDescent="0.35">
      <c r="A102" s="2" t="s">
        <v>196</v>
      </c>
      <c r="B102" s="4">
        <v>46063</v>
      </c>
      <c r="C102" s="2" t="s">
        <v>76</v>
      </c>
      <c r="D102" s="2" t="s">
        <v>47</v>
      </c>
      <c r="E102" s="2" t="s">
        <v>48</v>
      </c>
      <c r="F102" s="2" t="s">
        <v>33</v>
      </c>
      <c r="G102" s="2" t="s">
        <v>71</v>
      </c>
      <c r="H102" s="2" t="s">
        <v>72</v>
      </c>
      <c r="I102" s="2" t="s">
        <v>73</v>
      </c>
      <c r="J102" s="2">
        <v>1</v>
      </c>
      <c r="K102" s="5">
        <v>0.08</v>
      </c>
      <c r="L102" s="6">
        <v>115000</v>
      </c>
      <c r="M102" s="6">
        <v>70000</v>
      </c>
      <c r="N102" s="6">
        <v>45000</v>
      </c>
      <c r="O102" s="2" t="s">
        <v>74</v>
      </c>
    </row>
    <row r="103" spans="1:15" x14ac:dyDescent="0.35">
      <c r="A103" s="2" t="s">
        <v>197</v>
      </c>
      <c r="B103" s="4">
        <v>46082</v>
      </c>
      <c r="C103" s="2" t="s">
        <v>39</v>
      </c>
      <c r="D103" s="2" t="s">
        <v>59</v>
      </c>
      <c r="E103" s="2" t="s">
        <v>41</v>
      </c>
      <c r="F103" s="2" t="s">
        <v>33</v>
      </c>
      <c r="G103" s="2" t="s">
        <v>78</v>
      </c>
      <c r="H103" s="2" t="s">
        <v>79</v>
      </c>
      <c r="I103" s="2" t="s">
        <v>62</v>
      </c>
      <c r="J103" s="2">
        <v>5</v>
      </c>
      <c r="K103" s="5">
        <v>0.15</v>
      </c>
      <c r="L103" s="6">
        <v>361250</v>
      </c>
      <c r="M103" s="6">
        <v>215000</v>
      </c>
      <c r="N103" s="6">
        <v>146250</v>
      </c>
      <c r="O103" s="2" t="s">
        <v>57</v>
      </c>
    </row>
    <row r="104" spans="1:15" x14ac:dyDescent="0.35">
      <c r="A104" s="2" t="s">
        <v>198</v>
      </c>
      <c r="B104" s="4">
        <v>46183</v>
      </c>
      <c r="C104" s="2" t="s">
        <v>76</v>
      </c>
      <c r="D104" s="2" t="s">
        <v>31</v>
      </c>
      <c r="E104" s="2" t="s">
        <v>32</v>
      </c>
      <c r="F104" s="2" t="s">
        <v>33</v>
      </c>
      <c r="G104" s="2" t="s">
        <v>82</v>
      </c>
      <c r="H104" s="2" t="s">
        <v>83</v>
      </c>
      <c r="I104" s="2" t="s">
        <v>44</v>
      </c>
      <c r="J104" s="2">
        <v>4</v>
      </c>
      <c r="K104" s="5">
        <v>0.08</v>
      </c>
      <c r="L104" s="6">
        <v>5336000</v>
      </c>
      <c r="M104" s="6">
        <v>3920000</v>
      </c>
      <c r="N104" s="6">
        <v>1416000</v>
      </c>
      <c r="O104" s="2" t="s">
        <v>84</v>
      </c>
    </row>
    <row r="105" spans="1:15" x14ac:dyDescent="0.35">
      <c r="A105" s="2" t="s">
        <v>199</v>
      </c>
      <c r="B105" s="4">
        <v>46041</v>
      </c>
      <c r="C105" s="2" t="s">
        <v>111</v>
      </c>
      <c r="D105" s="2" t="s">
        <v>47</v>
      </c>
      <c r="E105" s="2" t="s">
        <v>81</v>
      </c>
      <c r="F105" s="2" t="s">
        <v>90</v>
      </c>
      <c r="G105" s="2" t="s">
        <v>86</v>
      </c>
      <c r="H105" s="2" t="s">
        <v>87</v>
      </c>
      <c r="I105" s="2" t="s">
        <v>36</v>
      </c>
      <c r="J105" s="2">
        <v>1</v>
      </c>
      <c r="K105" s="5">
        <v>0.03</v>
      </c>
      <c r="L105" s="6">
        <v>339500</v>
      </c>
      <c r="M105" s="6">
        <v>210000</v>
      </c>
      <c r="N105" s="6">
        <v>129500</v>
      </c>
      <c r="O105" s="2" t="s">
        <v>37</v>
      </c>
    </row>
    <row r="106" spans="1:15" x14ac:dyDescent="0.35">
      <c r="A106" s="2" t="s">
        <v>200</v>
      </c>
      <c r="B106" s="4">
        <v>46142</v>
      </c>
      <c r="C106" s="2" t="s">
        <v>111</v>
      </c>
      <c r="D106" s="2" t="s">
        <v>70</v>
      </c>
      <c r="E106" s="2" t="s">
        <v>48</v>
      </c>
      <c r="F106" s="2" t="s">
        <v>33</v>
      </c>
      <c r="G106" s="2" t="s">
        <v>34</v>
      </c>
      <c r="H106" s="2" t="s">
        <v>35</v>
      </c>
      <c r="I106" s="2" t="s">
        <v>36</v>
      </c>
      <c r="J106" s="2">
        <v>5</v>
      </c>
      <c r="K106" s="5">
        <v>0.15</v>
      </c>
      <c r="L106" s="6">
        <v>2018750</v>
      </c>
      <c r="M106" s="6">
        <v>1425000</v>
      </c>
      <c r="N106" s="6">
        <v>593750</v>
      </c>
      <c r="O106" s="2" t="s">
        <v>37</v>
      </c>
    </row>
    <row r="107" spans="1:15" x14ac:dyDescent="0.35">
      <c r="A107" s="2" t="s">
        <v>201</v>
      </c>
      <c r="B107" s="4">
        <v>46176</v>
      </c>
      <c r="C107" s="2" t="s">
        <v>95</v>
      </c>
      <c r="D107" s="2" t="s">
        <v>47</v>
      </c>
      <c r="E107" s="2" t="s">
        <v>81</v>
      </c>
      <c r="F107" s="2" t="s">
        <v>33</v>
      </c>
      <c r="G107" s="2" t="s">
        <v>42</v>
      </c>
      <c r="H107" s="2" t="s">
        <v>43</v>
      </c>
      <c r="I107" s="2" t="s">
        <v>44</v>
      </c>
      <c r="J107" s="2">
        <v>1</v>
      </c>
      <c r="K107" s="5">
        <v>0.08</v>
      </c>
      <c r="L107" s="6">
        <v>253000</v>
      </c>
      <c r="M107" s="6">
        <v>155000</v>
      </c>
      <c r="N107" s="6">
        <v>98000</v>
      </c>
      <c r="O107" s="2" t="s">
        <v>37</v>
      </c>
    </row>
    <row r="108" spans="1:15" x14ac:dyDescent="0.35">
      <c r="A108" s="2" t="s">
        <v>202</v>
      </c>
      <c r="B108" s="4">
        <v>46081</v>
      </c>
      <c r="C108" s="2" t="s">
        <v>30</v>
      </c>
      <c r="D108" s="2" t="s">
        <v>47</v>
      </c>
      <c r="E108" s="2" t="s">
        <v>41</v>
      </c>
      <c r="F108" s="2" t="s">
        <v>90</v>
      </c>
      <c r="G108" s="2" t="s">
        <v>49</v>
      </c>
      <c r="H108" s="2" t="s">
        <v>50</v>
      </c>
      <c r="I108" s="2" t="s">
        <v>51</v>
      </c>
      <c r="J108" s="2">
        <v>1</v>
      </c>
      <c r="K108" s="5">
        <v>0.15</v>
      </c>
      <c r="L108" s="6">
        <v>208250</v>
      </c>
      <c r="M108" s="6">
        <v>145000</v>
      </c>
      <c r="N108" s="6">
        <v>63250</v>
      </c>
      <c r="O108" s="2" t="s">
        <v>52</v>
      </c>
    </row>
    <row r="109" spans="1:15" x14ac:dyDescent="0.35">
      <c r="A109" s="2" t="s">
        <v>203</v>
      </c>
      <c r="B109" s="4">
        <v>46155</v>
      </c>
      <c r="C109" s="2" t="s">
        <v>111</v>
      </c>
      <c r="D109" s="2" t="s">
        <v>204</v>
      </c>
      <c r="E109" s="2" t="s">
        <v>48</v>
      </c>
      <c r="F109" s="2" t="s">
        <v>33</v>
      </c>
      <c r="G109" s="2" t="s">
        <v>55</v>
      </c>
      <c r="H109" s="2" t="s">
        <v>56</v>
      </c>
      <c r="I109" s="2" t="s">
        <v>36</v>
      </c>
      <c r="J109" s="2">
        <v>8</v>
      </c>
      <c r="K109" s="5">
        <v>0.05</v>
      </c>
      <c r="L109" s="6">
        <v>14060000</v>
      </c>
      <c r="M109" s="6">
        <v>10560000</v>
      </c>
      <c r="N109" s="6">
        <v>3500000</v>
      </c>
      <c r="O109" s="2" t="s">
        <v>37</v>
      </c>
    </row>
    <row r="110" spans="1:15" x14ac:dyDescent="0.35">
      <c r="A110" s="2" t="s">
        <v>205</v>
      </c>
      <c r="B110" s="4">
        <v>46143</v>
      </c>
      <c r="C110" s="2" t="s">
        <v>54</v>
      </c>
      <c r="D110" s="2" t="s">
        <v>40</v>
      </c>
      <c r="E110" s="2" t="s">
        <v>32</v>
      </c>
      <c r="F110" s="2" t="s">
        <v>33</v>
      </c>
      <c r="G110" s="2" t="s">
        <v>60</v>
      </c>
      <c r="H110" s="2" t="s">
        <v>61</v>
      </c>
      <c r="I110" s="2" t="s">
        <v>62</v>
      </c>
      <c r="J110" s="2">
        <v>6</v>
      </c>
      <c r="K110" s="5">
        <v>0.08</v>
      </c>
      <c r="L110" s="6">
        <v>358800</v>
      </c>
      <c r="M110" s="6">
        <v>186000</v>
      </c>
      <c r="N110" s="6">
        <v>172800</v>
      </c>
      <c r="O110" s="2" t="s">
        <v>93</v>
      </c>
    </row>
    <row r="111" spans="1:15" x14ac:dyDescent="0.35">
      <c r="A111" s="2" t="s">
        <v>206</v>
      </c>
      <c r="B111" s="4">
        <v>46200</v>
      </c>
      <c r="C111" s="2" t="s">
        <v>111</v>
      </c>
      <c r="D111" s="2" t="s">
        <v>59</v>
      </c>
      <c r="E111" s="2" t="s">
        <v>41</v>
      </c>
      <c r="F111" s="2" t="s">
        <v>33</v>
      </c>
      <c r="G111" s="2" t="s">
        <v>66</v>
      </c>
      <c r="H111" s="2" t="s">
        <v>67</v>
      </c>
      <c r="I111" s="2" t="s">
        <v>51</v>
      </c>
      <c r="J111" s="2">
        <v>8</v>
      </c>
      <c r="K111" s="5">
        <v>0.05</v>
      </c>
      <c r="L111" s="6">
        <v>2356000</v>
      </c>
      <c r="M111" s="6">
        <v>1520000</v>
      </c>
      <c r="N111" s="6">
        <v>836000</v>
      </c>
      <c r="O111" s="2" t="s">
        <v>37</v>
      </c>
    </row>
    <row r="112" spans="1:15" x14ac:dyDescent="0.35">
      <c r="A112" s="2" t="s">
        <v>207</v>
      </c>
      <c r="B112" s="4">
        <v>46103</v>
      </c>
      <c r="C112" s="2" t="s">
        <v>111</v>
      </c>
      <c r="D112" s="2" t="s">
        <v>59</v>
      </c>
      <c r="E112" s="2" t="s">
        <v>41</v>
      </c>
      <c r="F112" s="2" t="s">
        <v>33</v>
      </c>
      <c r="G112" s="2" t="s">
        <v>71</v>
      </c>
      <c r="H112" s="2" t="s">
        <v>72</v>
      </c>
      <c r="I112" s="2" t="s">
        <v>73</v>
      </c>
      <c r="J112" s="2">
        <v>5</v>
      </c>
      <c r="K112" s="5">
        <v>0.05</v>
      </c>
      <c r="L112" s="6">
        <v>593750</v>
      </c>
      <c r="M112" s="6">
        <v>350000</v>
      </c>
      <c r="N112" s="6">
        <v>243750</v>
      </c>
      <c r="O112" s="2" t="s">
        <v>93</v>
      </c>
    </row>
    <row r="113" spans="1:15" x14ac:dyDescent="0.35">
      <c r="A113" s="2" t="s">
        <v>208</v>
      </c>
      <c r="B113" s="4">
        <v>46036</v>
      </c>
      <c r="C113" s="2" t="s">
        <v>95</v>
      </c>
      <c r="D113" s="2" t="s">
        <v>59</v>
      </c>
      <c r="E113" s="2" t="s">
        <v>48</v>
      </c>
      <c r="F113" s="2" t="s">
        <v>33</v>
      </c>
      <c r="G113" s="2" t="s">
        <v>78</v>
      </c>
      <c r="H113" s="2" t="s">
        <v>79</v>
      </c>
      <c r="I113" s="2" t="s">
        <v>62</v>
      </c>
      <c r="J113" s="2">
        <v>4</v>
      </c>
      <c r="K113" s="5">
        <v>0.1</v>
      </c>
      <c r="L113" s="6">
        <v>306000</v>
      </c>
      <c r="M113" s="6">
        <v>172000</v>
      </c>
      <c r="N113" s="6">
        <v>134000</v>
      </c>
      <c r="O113" s="2" t="s">
        <v>45</v>
      </c>
    </row>
    <row r="114" spans="1:15" x14ac:dyDescent="0.35">
      <c r="A114" s="2" t="s">
        <v>209</v>
      </c>
      <c r="B114" s="4">
        <v>46091</v>
      </c>
      <c r="C114" s="2" t="s">
        <v>95</v>
      </c>
      <c r="D114" s="2" t="s">
        <v>59</v>
      </c>
      <c r="E114" s="2" t="s">
        <v>41</v>
      </c>
      <c r="F114" s="2" t="s">
        <v>33</v>
      </c>
      <c r="G114" s="2" t="s">
        <v>82</v>
      </c>
      <c r="H114" s="2" t="s">
        <v>83</v>
      </c>
      <c r="I114" s="2" t="s">
        <v>44</v>
      </c>
      <c r="J114" s="2">
        <v>3</v>
      </c>
      <c r="K114" s="5">
        <v>0.05</v>
      </c>
      <c r="L114" s="6">
        <v>4132500</v>
      </c>
      <c r="M114" s="6">
        <v>2940000</v>
      </c>
      <c r="N114" s="6">
        <v>1192500</v>
      </c>
      <c r="O114" s="2" t="s">
        <v>45</v>
      </c>
    </row>
    <row r="115" spans="1:15" x14ac:dyDescent="0.35">
      <c r="A115" s="2" t="s">
        <v>210</v>
      </c>
      <c r="B115" s="4">
        <v>46063</v>
      </c>
      <c r="C115" s="2" t="s">
        <v>39</v>
      </c>
      <c r="D115" s="2" t="s">
        <v>59</v>
      </c>
      <c r="E115" s="2" t="s">
        <v>41</v>
      </c>
      <c r="F115" s="2" t="s">
        <v>33</v>
      </c>
      <c r="G115" s="2" t="s">
        <v>86</v>
      </c>
      <c r="H115" s="2" t="s">
        <v>87</v>
      </c>
      <c r="I115" s="2" t="s">
        <v>36</v>
      </c>
      <c r="J115" s="2">
        <v>5</v>
      </c>
      <c r="K115" s="5">
        <v>0.1</v>
      </c>
      <c r="L115" s="6">
        <v>1575000</v>
      </c>
      <c r="M115" s="6">
        <v>1050000</v>
      </c>
      <c r="N115" s="6">
        <v>525000</v>
      </c>
      <c r="O115" s="2" t="s">
        <v>37</v>
      </c>
    </row>
    <row r="116" spans="1:15" x14ac:dyDescent="0.35">
      <c r="A116" s="2" t="s">
        <v>211</v>
      </c>
      <c r="B116" s="4">
        <v>46141</v>
      </c>
      <c r="C116" s="2" t="s">
        <v>76</v>
      </c>
      <c r="D116" s="2" t="s">
        <v>59</v>
      </c>
      <c r="E116" s="2" t="s">
        <v>81</v>
      </c>
      <c r="F116" s="2" t="s">
        <v>90</v>
      </c>
      <c r="G116" s="2" t="s">
        <v>34</v>
      </c>
      <c r="H116" s="2" t="s">
        <v>35</v>
      </c>
      <c r="I116" s="2" t="s">
        <v>36</v>
      </c>
      <c r="J116" s="2">
        <v>2</v>
      </c>
      <c r="K116" s="5">
        <v>0.15</v>
      </c>
      <c r="L116" s="6">
        <v>807500</v>
      </c>
      <c r="M116" s="6">
        <v>570000</v>
      </c>
      <c r="N116" s="6">
        <v>237500</v>
      </c>
      <c r="O116" s="2" t="s">
        <v>93</v>
      </c>
    </row>
    <row r="117" spans="1:15" x14ac:dyDescent="0.35">
      <c r="A117" s="2" t="s">
        <v>212</v>
      </c>
      <c r="B117" s="4">
        <v>46146</v>
      </c>
      <c r="C117" s="2" t="s">
        <v>39</v>
      </c>
      <c r="D117" s="2" t="s">
        <v>31</v>
      </c>
      <c r="E117" s="2" t="s">
        <v>48</v>
      </c>
      <c r="F117" s="2" t="s">
        <v>33</v>
      </c>
      <c r="G117" s="2" t="s">
        <v>42</v>
      </c>
      <c r="H117" s="2" t="s">
        <v>43</v>
      </c>
      <c r="I117" s="2" t="s">
        <v>44</v>
      </c>
      <c r="J117" s="2">
        <v>8</v>
      </c>
      <c r="K117" s="5">
        <v>0.03</v>
      </c>
      <c r="L117" s="6">
        <v>2134000</v>
      </c>
      <c r="M117" s="6">
        <v>1240000</v>
      </c>
      <c r="N117" s="6">
        <v>894000</v>
      </c>
      <c r="O117" s="2" t="s">
        <v>84</v>
      </c>
    </row>
    <row r="118" spans="1:15" x14ac:dyDescent="0.35">
      <c r="A118" s="2" t="s">
        <v>213</v>
      </c>
      <c r="B118" s="4">
        <v>46040</v>
      </c>
      <c r="C118" s="2" t="s">
        <v>95</v>
      </c>
      <c r="D118" s="2" t="s">
        <v>47</v>
      </c>
      <c r="E118" s="2" t="s">
        <v>81</v>
      </c>
      <c r="F118" s="2" t="s">
        <v>33</v>
      </c>
      <c r="G118" s="2" t="s">
        <v>49</v>
      </c>
      <c r="H118" s="2" t="s">
        <v>50</v>
      </c>
      <c r="I118" s="2" t="s">
        <v>51</v>
      </c>
      <c r="J118" s="2">
        <v>5</v>
      </c>
      <c r="K118" s="5">
        <v>0.08</v>
      </c>
      <c r="L118" s="6">
        <v>1127000</v>
      </c>
      <c r="M118" s="6">
        <v>725000</v>
      </c>
      <c r="N118" s="6">
        <v>402000</v>
      </c>
      <c r="O118" s="2" t="s">
        <v>57</v>
      </c>
    </row>
    <row r="119" spans="1:15" x14ac:dyDescent="0.35">
      <c r="A119" s="2" t="s">
        <v>214</v>
      </c>
      <c r="B119" s="4">
        <v>46099</v>
      </c>
      <c r="C119" s="2" t="s">
        <v>54</v>
      </c>
      <c r="D119" s="2" t="s">
        <v>59</v>
      </c>
      <c r="E119" s="2" t="s">
        <v>81</v>
      </c>
      <c r="F119" s="2" t="s">
        <v>33</v>
      </c>
      <c r="G119" s="2" t="s">
        <v>55</v>
      </c>
      <c r="H119" s="2" t="s">
        <v>56</v>
      </c>
      <c r="I119" s="2" t="s">
        <v>36</v>
      </c>
      <c r="J119" s="2">
        <v>8</v>
      </c>
      <c r="K119" s="5">
        <v>0.03</v>
      </c>
      <c r="L119" s="6">
        <v>14356000</v>
      </c>
      <c r="M119" s="6">
        <v>10560000</v>
      </c>
      <c r="N119" s="6">
        <v>3796000</v>
      </c>
      <c r="O119" s="2" t="s">
        <v>93</v>
      </c>
    </row>
    <row r="120" spans="1:15" x14ac:dyDescent="0.35">
      <c r="A120" s="2" t="s">
        <v>215</v>
      </c>
      <c r="B120" s="4">
        <v>46139</v>
      </c>
      <c r="C120" s="2" t="s">
        <v>39</v>
      </c>
      <c r="D120" s="2" t="s">
        <v>47</v>
      </c>
      <c r="E120" s="2" t="s">
        <v>48</v>
      </c>
      <c r="F120" s="2" t="s">
        <v>77</v>
      </c>
      <c r="G120" s="2" t="s">
        <v>60</v>
      </c>
      <c r="H120" s="2" t="s">
        <v>61</v>
      </c>
      <c r="I120" s="2" t="s">
        <v>62</v>
      </c>
      <c r="J120" s="2">
        <v>6</v>
      </c>
      <c r="K120" s="5">
        <v>0.03</v>
      </c>
      <c r="L120" s="6">
        <v>0</v>
      </c>
      <c r="M120" s="6">
        <v>186000</v>
      </c>
      <c r="N120" s="6">
        <v>-186000</v>
      </c>
      <c r="O120" s="2" t="s">
        <v>93</v>
      </c>
    </row>
    <row r="121" spans="1:15" x14ac:dyDescent="0.35">
      <c r="A121" s="2" t="s">
        <v>216</v>
      </c>
      <c r="B121" s="4">
        <v>46034</v>
      </c>
      <c r="C121" s="2" t="s">
        <v>30</v>
      </c>
      <c r="D121" s="2" t="s">
        <v>59</v>
      </c>
      <c r="E121" s="2" t="s">
        <v>48</v>
      </c>
      <c r="F121" s="2" t="s">
        <v>33</v>
      </c>
      <c r="G121" s="2" t="s">
        <v>66</v>
      </c>
      <c r="H121" s="2" t="s">
        <v>67</v>
      </c>
      <c r="I121" s="2" t="s">
        <v>51</v>
      </c>
      <c r="J121" s="2">
        <v>6</v>
      </c>
      <c r="K121" s="5">
        <v>0.15</v>
      </c>
      <c r="L121" s="6">
        <v>1581000</v>
      </c>
      <c r="M121" s="6">
        <v>1140000</v>
      </c>
      <c r="N121" s="6">
        <v>441000</v>
      </c>
      <c r="O121" s="2" t="s">
        <v>52</v>
      </c>
    </row>
    <row r="122" spans="1:15" x14ac:dyDescent="0.35">
      <c r="A122" s="2" t="s">
        <v>217</v>
      </c>
      <c r="B122" s="4">
        <v>46032</v>
      </c>
      <c r="C122" s="2" t="s">
        <v>69</v>
      </c>
      <c r="D122" s="2" t="s">
        <v>40</v>
      </c>
      <c r="E122" s="2" t="s">
        <v>48</v>
      </c>
      <c r="F122" s="2" t="s">
        <v>218</v>
      </c>
      <c r="G122" s="2" t="s">
        <v>71</v>
      </c>
      <c r="H122" s="2" t="s">
        <v>72</v>
      </c>
      <c r="I122" s="2" t="s">
        <v>73</v>
      </c>
      <c r="J122" s="2">
        <v>3</v>
      </c>
      <c r="K122" s="5">
        <v>0.1</v>
      </c>
      <c r="L122" s="6">
        <v>84375</v>
      </c>
      <c r="M122" s="6">
        <v>210000</v>
      </c>
      <c r="N122" s="6">
        <v>-125625</v>
      </c>
      <c r="O122" s="2" t="s">
        <v>52</v>
      </c>
    </row>
    <row r="123" spans="1:15" x14ac:dyDescent="0.35">
      <c r="A123" s="2" t="s">
        <v>219</v>
      </c>
      <c r="B123" s="2" t="s">
        <v>220</v>
      </c>
      <c r="C123" s="2" t="s">
        <v>111</v>
      </c>
      <c r="D123" s="2" t="s">
        <v>31</v>
      </c>
      <c r="E123" s="2" t="s">
        <v>41</v>
      </c>
      <c r="F123" s="2" t="s">
        <v>90</v>
      </c>
      <c r="G123" s="2" t="s">
        <v>78</v>
      </c>
      <c r="H123" s="2" t="s">
        <v>79</v>
      </c>
      <c r="I123" s="2" t="s">
        <v>62</v>
      </c>
      <c r="J123" s="2">
        <v>3</v>
      </c>
      <c r="K123" s="5">
        <v>0.08</v>
      </c>
      <c r="L123" s="6">
        <v>234600</v>
      </c>
      <c r="M123" s="6">
        <v>129000</v>
      </c>
      <c r="N123" s="6">
        <v>105600</v>
      </c>
      <c r="O123" s="2" t="s">
        <v>57</v>
      </c>
    </row>
    <row r="124" spans="1:15" x14ac:dyDescent="0.35">
      <c r="A124" s="2" t="s">
        <v>221</v>
      </c>
      <c r="B124" s="4">
        <v>46109</v>
      </c>
      <c r="C124" s="2" t="s">
        <v>54</v>
      </c>
      <c r="D124" s="2" t="s">
        <v>70</v>
      </c>
      <c r="E124" s="2" t="s">
        <v>48</v>
      </c>
      <c r="F124" s="2" t="s">
        <v>33</v>
      </c>
      <c r="G124" s="2" t="s">
        <v>82</v>
      </c>
      <c r="H124" s="2" t="s">
        <v>83</v>
      </c>
      <c r="I124" s="2" t="s">
        <v>222</v>
      </c>
      <c r="J124" s="2">
        <v>7</v>
      </c>
      <c r="K124" s="5">
        <v>0.15</v>
      </c>
      <c r="L124" s="6">
        <v>8627500</v>
      </c>
      <c r="M124" s="6">
        <v>6860000</v>
      </c>
      <c r="N124" s="6">
        <v>1767500</v>
      </c>
      <c r="O124" s="2" t="s">
        <v>52</v>
      </c>
    </row>
    <row r="125" spans="1:15" x14ac:dyDescent="0.35">
      <c r="A125" s="2" t="s">
        <v>223</v>
      </c>
      <c r="B125" s="4">
        <v>46161</v>
      </c>
      <c r="C125" s="2" t="s">
        <v>69</v>
      </c>
      <c r="D125" s="2" t="s">
        <v>70</v>
      </c>
      <c r="E125" s="2" t="s">
        <v>32</v>
      </c>
      <c r="F125" s="2" t="s">
        <v>33</v>
      </c>
      <c r="G125" s="2" t="s">
        <v>86</v>
      </c>
      <c r="H125" s="2" t="s">
        <v>87</v>
      </c>
      <c r="I125" s="2" t="s">
        <v>36</v>
      </c>
      <c r="J125" s="2">
        <v>1</v>
      </c>
      <c r="K125" s="5">
        <v>0.1</v>
      </c>
      <c r="L125" s="6">
        <v>315000</v>
      </c>
      <c r="M125" s="6">
        <v>210000</v>
      </c>
      <c r="N125" s="6">
        <v>105000</v>
      </c>
      <c r="O125" s="2" t="s">
        <v>93</v>
      </c>
    </row>
    <row r="126" spans="1:15" x14ac:dyDescent="0.35">
      <c r="A126" s="2" t="s">
        <v>224</v>
      </c>
      <c r="B126" s="4">
        <v>46048</v>
      </c>
      <c r="C126" s="2" t="s">
        <v>95</v>
      </c>
      <c r="D126" s="2" t="s">
        <v>70</v>
      </c>
      <c r="E126" s="2" t="s">
        <v>41</v>
      </c>
      <c r="F126" s="2" t="s">
        <v>33</v>
      </c>
      <c r="G126" s="2" t="s">
        <v>34</v>
      </c>
      <c r="H126" s="2" t="s">
        <v>35</v>
      </c>
      <c r="I126" s="2" t="s">
        <v>36</v>
      </c>
      <c r="J126" s="2">
        <v>2</v>
      </c>
      <c r="K126" s="5">
        <v>0.08</v>
      </c>
      <c r="L126" s="6">
        <v>874000</v>
      </c>
      <c r="M126" s="6">
        <v>570000</v>
      </c>
      <c r="N126" s="6">
        <v>304000</v>
      </c>
      <c r="O126" s="2" t="s">
        <v>63</v>
      </c>
    </row>
    <row r="127" spans="1:15" x14ac:dyDescent="0.35">
      <c r="A127" s="2" t="s">
        <v>225</v>
      </c>
      <c r="B127" s="4">
        <v>46037</v>
      </c>
      <c r="C127" s="2" t="s">
        <v>65</v>
      </c>
      <c r="D127" s="2" t="s">
        <v>31</v>
      </c>
      <c r="E127" s="2" t="s">
        <v>226</v>
      </c>
      <c r="F127" s="2" t="s">
        <v>33</v>
      </c>
      <c r="G127" s="2" t="s">
        <v>42</v>
      </c>
      <c r="H127" s="2" t="s">
        <v>43</v>
      </c>
      <c r="I127" s="2" t="s">
        <v>44</v>
      </c>
      <c r="J127" s="2">
        <v>5</v>
      </c>
      <c r="K127" s="5">
        <v>0.05</v>
      </c>
      <c r="L127" s="6">
        <v>1306250</v>
      </c>
      <c r="M127" s="6">
        <v>775000</v>
      </c>
      <c r="N127" s="6">
        <v>531250</v>
      </c>
      <c r="O127" s="2" t="s">
        <v>84</v>
      </c>
    </row>
    <row r="128" spans="1:15" x14ac:dyDescent="0.35">
      <c r="A128" s="2" t="s">
        <v>227</v>
      </c>
      <c r="B128" s="4">
        <v>46066</v>
      </c>
      <c r="C128" s="2" t="s">
        <v>111</v>
      </c>
      <c r="D128" s="2" t="s">
        <v>59</v>
      </c>
      <c r="E128" s="2" t="s">
        <v>32</v>
      </c>
      <c r="F128" s="2" t="s">
        <v>33</v>
      </c>
      <c r="G128" s="2" t="s">
        <v>49</v>
      </c>
      <c r="H128" s="2" t="s">
        <v>50</v>
      </c>
      <c r="I128" s="2" t="s">
        <v>51</v>
      </c>
      <c r="J128" s="2">
        <v>3</v>
      </c>
      <c r="K128" s="5">
        <v>0</v>
      </c>
      <c r="L128" s="6" t="s">
        <v>228</v>
      </c>
      <c r="M128" s="6">
        <v>435000</v>
      </c>
      <c r="N128" s="6">
        <v>300000</v>
      </c>
      <c r="O128" s="2" t="s">
        <v>84</v>
      </c>
    </row>
    <row r="129" spans="1:15" x14ac:dyDescent="0.35">
      <c r="A129" s="2" t="s">
        <v>229</v>
      </c>
      <c r="B129" s="4">
        <v>46082</v>
      </c>
      <c r="C129" s="2" t="s">
        <v>111</v>
      </c>
      <c r="D129" s="2" t="s">
        <v>70</v>
      </c>
      <c r="E129" s="2" t="s">
        <v>41</v>
      </c>
      <c r="F129" s="2" t="s">
        <v>122</v>
      </c>
      <c r="G129" s="2" t="s">
        <v>55</v>
      </c>
      <c r="H129" s="2" t="s">
        <v>56</v>
      </c>
      <c r="I129" s="2" t="s">
        <v>36</v>
      </c>
      <c r="J129" s="2">
        <v>8</v>
      </c>
      <c r="K129" s="5">
        <v>0.15</v>
      </c>
      <c r="L129" s="6">
        <v>12580000</v>
      </c>
      <c r="M129" s="6">
        <v>10560000</v>
      </c>
      <c r="N129" s="6">
        <v>2020000</v>
      </c>
      <c r="O129" s="2" t="s">
        <v>57</v>
      </c>
    </row>
    <row r="130" spans="1:15" x14ac:dyDescent="0.35">
      <c r="A130" s="2" t="s">
        <v>230</v>
      </c>
      <c r="B130" s="4">
        <v>46196</v>
      </c>
      <c r="C130" s="2" t="s">
        <v>65</v>
      </c>
      <c r="D130" s="2" t="s">
        <v>70</v>
      </c>
      <c r="E130" s="2" t="s">
        <v>81</v>
      </c>
      <c r="F130" s="2" t="s">
        <v>33</v>
      </c>
      <c r="G130" s="2" t="s">
        <v>60</v>
      </c>
      <c r="H130" s="2" t="s">
        <v>61</v>
      </c>
      <c r="I130" s="2" t="s">
        <v>62</v>
      </c>
      <c r="J130" s="2">
        <v>3</v>
      </c>
      <c r="K130" s="5">
        <v>0</v>
      </c>
      <c r="L130" s="6">
        <v>195000</v>
      </c>
      <c r="M130" s="6">
        <v>93000</v>
      </c>
      <c r="N130" s="6">
        <v>102000</v>
      </c>
      <c r="O130" s="2" t="s">
        <v>57</v>
      </c>
    </row>
    <row r="131" spans="1:15" x14ac:dyDescent="0.35">
      <c r="A131" s="2" t="s">
        <v>231</v>
      </c>
      <c r="B131" s="4">
        <v>46139</v>
      </c>
      <c r="C131" s="2" t="s">
        <v>65</v>
      </c>
      <c r="D131" s="2" t="s">
        <v>40</v>
      </c>
      <c r="E131" s="2" t="s">
        <v>32</v>
      </c>
      <c r="F131" s="2" t="s">
        <v>77</v>
      </c>
      <c r="G131" s="2" t="s">
        <v>66</v>
      </c>
      <c r="H131" s="2" t="s">
        <v>67</v>
      </c>
      <c r="I131" s="2" t="s">
        <v>181</v>
      </c>
      <c r="J131" s="2">
        <v>5</v>
      </c>
      <c r="K131" s="5">
        <v>0.03</v>
      </c>
      <c r="L131" s="6">
        <v>375875</v>
      </c>
      <c r="M131" s="6">
        <v>950000</v>
      </c>
      <c r="N131" s="6">
        <v>-574125</v>
      </c>
      <c r="O131" s="2" t="s">
        <v>63</v>
      </c>
    </row>
    <row r="132" spans="1:15" x14ac:dyDescent="0.35">
      <c r="A132" s="2" t="s">
        <v>232</v>
      </c>
      <c r="B132" s="4">
        <v>46170</v>
      </c>
      <c r="C132" s="2" t="s">
        <v>95</v>
      </c>
      <c r="D132" s="2" t="s">
        <v>59</v>
      </c>
      <c r="E132" s="2" t="s">
        <v>81</v>
      </c>
      <c r="F132" s="2" t="s">
        <v>33</v>
      </c>
      <c r="G132" s="2" t="s">
        <v>71</v>
      </c>
      <c r="H132" s="2" t="s">
        <v>72</v>
      </c>
      <c r="I132" s="2" t="s">
        <v>73</v>
      </c>
      <c r="J132" s="2">
        <v>5</v>
      </c>
      <c r="K132" s="5">
        <v>0.15</v>
      </c>
      <c r="L132" s="6">
        <v>531250</v>
      </c>
      <c r="M132" s="6">
        <v>350000</v>
      </c>
      <c r="N132" s="6">
        <v>181250</v>
      </c>
      <c r="O132" s="2" t="s">
        <v>74</v>
      </c>
    </row>
    <row r="133" spans="1:15" x14ac:dyDescent="0.35">
      <c r="A133" s="2" t="s">
        <v>233</v>
      </c>
      <c r="B133" s="4">
        <v>46178</v>
      </c>
      <c r="C133" s="2" t="s">
        <v>39</v>
      </c>
      <c r="D133" s="2" t="s">
        <v>31</v>
      </c>
      <c r="E133" s="2" t="s">
        <v>81</v>
      </c>
      <c r="F133" s="2" t="s">
        <v>33</v>
      </c>
      <c r="G133" s="2" t="s">
        <v>78</v>
      </c>
      <c r="H133" s="2" t="s">
        <v>79</v>
      </c>
      <c r="I133" s="2" t="s">
        <v>62</v>
      </c>
      <c r="J133" s="2">
        <v>8</v>
      </c>
      <c r="K133" s="5">
        <v>0.05</v>
      </c>
      <c r="L133" s="6">
        <v>646000</v>
      </c>
      <c r="M133" s="6">
        <v>344000</v>
      </c>
      <c r="N133" s="6">
        <v>302000</v>
      </c>
      <c r="O133" s="2" t="s">
        <v>45</v>
      </c>
    </row>
    <row r="134" spans="1:15" x14ac:dyDescent="0.35">
      <c r="A134" s="2" t="s">
        <v>234</v>
      </c>
      <c r="B134" s="4">
        <v>46181</v>
      </c>
      <c r="C134" s="2" t="s">
        <v>95</v>
      </c>
      <c r="D134" s="2" t="s">
        <v>31</v>
      </c>
      <c r="E134" s="2" t="s">
        <v>235</v>
      </c>
      <c r="F134" s="2" t="s">
        <v>33</v>
      </c>
      <c r="G134" s="2" t="s">
        <v>82</v>
      </c>
      <c r="H134" s="2" t="s">
        <v>83</v>
      </c>
      <c r="I134" s="2" t="s">
        <v>44</v>
      </c>
      <c r="J134" s="2">
        <v>5</v>
      </c>
      <c r="K134" s="5">
        <v>0.15</v>
      </c>
      <c r="L134" s="6">
        <v>6162500</v>
      </c>
      <c r="M134" s="6">
        <v>4900000</v>
      </c>
      <c r="N134" s="6">
        <v>1262500</v>
      </c>
      <c r="O134" s="2" t="s">
        <v>57</v>
      </c>
    </row>
    <row r="135" spans="1:15" x14ac:dyDescent="0.35">
      <c r="A135" s="2" t="s">
        <v>236</v>
      </c>
      <c r="B135" s="4">
        <v>46135</v>
      </c>
      <c r="C135" s="2" t="s">
        <v>76</v>
      </c>
      <c r="D135" s="2" t="s">
        <v>31</v>
      </c>
      <c r="E135" s="2" t="s">
        <v>41</v>
      </c>
      <c r="F135" s="2" t="s">
        <v>33</v>
      </c>
      <c r="G135" s="2" t="s">
        <v>86</v>
      </c>
      <c r="H135" s="2" t="s">
        <v>87</v>
      </c>
      <c r="I135" s="2" t="s">
        <v>36</v>
      </c>
      <c r="J135" s="2">
        <v>1</v>
      </c>
      <c r="K135" s="5">
        <v>0.1</v>
      </c>
      <c r="L135" s="6">
        <v>315000</v>
      </c>
      <c r="M135" s="6">
        <v>210000</v>
      </c>
      <c r="N135" s="6">
        <v>105000</v>
      </c>
      <c r="O135" s="2" t="s">
        <v>63</v>
      </c>
    </row>
    <row r="136" spans="1:15" x14ac:dyDescent="0.35">
      <c r="A136" s="2" t="s">
        <v>237</v>
      </c>
      <c r="B136" s="4">
        <v>46129</v>
      </c>
      <c r="C136" s="2" t="s">
        <v>76</v>
      </c>
      <c r="D136" s="2" t="s">
        <v>47</v>
      </c>
      <c r="E136" s="2" t="s">
        <v>81</v>
      </c>
      <c r="F136" s="2" t="s">
        <v>33</v>
      </c>
      <c r="G136" s="2" t="s">
        <v>34</v>
      </c>
      <c r="H136" s="2" t="s">
        <v>35</v>
      </c>
      <c r="I136" s="2" t="s">
        <v>36</v>
      </c>
      <c r="J136" s="2">
        <v>3</v>
      </c>
      <c r="K136" s="5">
        <v>0.03</v>
      </c>
      <c r="L136" s="6">
        <v>1382250</v>
      </c>
      <c r="M136" s="6">
        <v>855000</v>
      </c>
      <c r="N136" s="6">
        <v>527250</v>
      </c>
      <c r="O136" s="2" t="s">
        <v>84</v>
      </c>
    </row>
    <row r="137" spans="1:15" x14ac:dyDescent="0.35">
      <c r="A137" s="2" t="s">
        <v>238</v>
      </c>
      <c r="B137" s="4">
        <v>46088</v>
      </c>
      <c r="C137" s="2" t="s">
        <v>111</v>
      </c>
      <c r="D137" s="2" t="s">
        <v>70</v>
      </c>
      <c r="E137" s="2" t="s">
        <v>41</v>
      </c>
      <c r="F137" s="2" t="s">
        <v>33</v>
      </c>
      <c r="G137" s="2" t="s">
        <v>42</v>
      </c>
      <c r="H137" s="2" t="s">
        <v>43</v>
      </c>
      <c r="I137" s="2" t="s">
        <v>44</v>
      </c>
      <c r="J137" s="2">
        <v>8</v>
      </c>
      <c r="K137" s="5">
        <v>0.05</v>
      </c>
      <c r="L137" s="6">
        <v>2090000</v>
      </c>
      <c r="M137" s="6">
        <v>1240000</v>
      </c>
      <c r="N137" s="6">
        <v>850000</v>
      </c>
      <c r="O137" s="2" t="s">
        <v>37</v>
      </c>
    </row>
    <row r="138" spans="1:15" x14ac:dyDescent="0.35">
      <c r="A138" s="2" t="s">
        <v>239</v>
      </c>
      <c r="B138" s="4">
        <v>46059</v>
      </c>
      <c r="C138" s="2" t="s">
        <v>69</v>
      </c>
      <c r="D138" s="2" t="s">
        <v>59</v>
      </c>
      <c r="E138" s="2" t="s">
        <v>81</v>
      </c>
      <c r="F138" s="2" t="s">
        <v>33</v>
      </c>
      <c r="G138" s="2" t="s">
        <v>49</v>
      </c>
      <c r="H138" s="2" t="s">
        <v>50</v>
      </c>
      <c r="I138" s="2" t="s">
        <v>51</v>
      </c>
      <c r="J138" s="2">
        <v>4</v>
      </c>
      <c r="K138" s="5">
        <v>0.15</v>
      </c>
      <c r="L138" s="6">
        <v>833000</v>
      </c>
      <c r="M138" s="6">
        <v>580000</v>
      </c>
      <c r="N138" s="6">
        <v>253000</v>
      </c>
      <c r="O138" s="2" t="s">
        <v>93</v>
      </c>
    </row>
    <row r="139" spans="1:15" x14ac:dyDescent="0.35">
      <c r="A139" s="2" t="s">
        <v>240</v>
      </c>
      <c r="B139" s="4">
        <v>46026</v>
      </c>
      <c r="C139" s="2" t="s">
        <v>65</v>
      </c>
      <c r="D139" s="2" t="s">
        <v>70</v>
      </c>
      <c r="E139" s="2" t="s">
        <v>81</v>
      </c>
      <c r="F139" s="2" t="s">
        <v>33</v>
      </c>
      <c r="G139" s="2" t="s">
        <v>55</v>
      </c>
      <c r="H139" s="2" t="s">
        <v>56</v>
      </c>
      <c r="I139" s="2" t="s">
        <v>36</v>
      </c>
      <c r="J139" s="2">
        <v>5</v>
      </c>
      <c r="K139" s="5">
        <v>0.1</v>
      </c>
      <c r="L139" s="6"/>
      <c r="M139" s="6">
        <v>6600000</v>
      </c>
      <c r="N139" s="6">
        <v>1725000</v>
      </c>
      <c r="O139" s="2" t="s">
        <v>63</v>
      </c>
    </row>
    <row r="140" spans="1:15" x14ac:dyDescent="0.35">
      <c r="A140" s="2" t="s">
        <v>241</v>
      </c>
      <c r="B140" s="4">
        <v>46050</v>
      </c>
      <c r="C140" s="2" t="s">
        <v>39</v>
      </c>
      <c r="D140" s="2" t="s">
        <v>47</v>
      </c>
      <c r="E140" s="2" t="s">
        <v>81</v>
      </c>
      <c r="F140" s="2" t="s">
        <v>33</v>
      </c>
      <c r="G140" s="2" t="s">
        <v>60</v>
      </c>
      <c r="H140" s="2" t="s">
        <v>61</v>
      </c>
      <c r="I140" s="2" t="s">
        <v>62</v>
      </c>
      <c r="J140" s="2">
        <v>4</v>
      </c>
      <c r="K140" s="5">
        <v>0.08</v>
      </c>
      <c r="L140" s="6">
        <v>239200</v>
      </c>
      <c r="M140" s="6">
        <v>124000</v>
      </c>
      <c r="N140" s="6">
        <v>115200</v>
      </c>
      <c r="O140" s="2" t="s">
        <v>37</v>
      </c>
    </row>
    <row r="141" spans="1:15" x14ac:dyDescent="0.35">
      <c r="A141" s="2" t="s">
        <v>242</v>
      </c>
      <c r="B141" s="4">
        <v>46185</v>
      </c>
      <c r="C141" s="2" t="s">
        <v>30</v>
      </c>
      <c r="D141" s="2" t="s">
        <v>59</v>
      </c>
      <c r="E141" s="2" t="s">
        <v>41</v>
      </c>
      <c r="F141" s="2" t="s">
        <v>33</v>
      </c>
      <c r="G141" s="2" t="s">
        <v>66</v>
      </c>
      <c r="H141" s="2" t="s">
        <v>67</v>
      </c>
      <c r="I141" s="2" t="s">
        <v>51</v>
      </c>
      <c r="J141" s="2">
        <v>8</v>
      </c>
      <c r="K141" s="5">
        <v>0.15</v>
      </c>
      <c r="L141" s="6">
        <v>2108000</v>
      </c>
      <c r="M141" s="6">
        <v>1520000</v>
      </c>
      <c r="N141" s="6">
        <v>588000</v>
      </c>
      <c r="O141" s="2" t="s">
        <v>74</v>
      </c>
    </row>
    <row r="142" spans="1:15" x14ac:dyDescent="0.35">
      <c r="A142" s="2" t="s">
        <v>243</v>
      </c>
      <c r="B142" s="4">
        <v>46032</v>
      </c>
      <c r="C142" s="2" t="s">
        <v>65</v>
      </c>
      <c r="D142" s="2" t="s">
        <v>31</v>
      </c>
      <c r="E142" s="2" t="s">
        <v>32</v>
      </c>
      <c r="F142" s="2" t="s">
        <v>33</v>
      </c>
      <c r="G142" s="2" t="s">
        <v>71</v>
      </c>
      <c r="H142" s="2" t="s">
        <v>72</v>
      </c>
      <c r="I142" s="2" t="s">
        <v>73</v>
      </c>
      <c r="J142" s="2">
        <v>5</v>
      </c>
      <c r="K142" s="5">
        <v>0.08</v>
      </c>
      <c r="L142" s="6">
        <v>575000</v>
      </c>
      <c r="M142" s="6">
        <v>350000</v>
      </c>
      <c r="N142" s="6">
        <v>225000</v>
      </c>
      <c r="O142" s="2" t="s">
        <v>52</v>
      </c>
    </row>
    <row r="143" spans="1:15" x14ac:dyDescent="0.35">
      <c r="A143" s="2" t="s">
        <v>244</v>
      </c>
      <c r="B143" s="4">
        <v>46117</v>
      </c>
      <c r="C143" s="2" t="s">
        <v>69</v>
      </c>
      <c r="D143" s="2" t="s">
        <v>31</v>
      </c>
      <c r="E143" s="2" t="s">
        <v>48</v>
      </c>
      <c r="F143" s="2" t="s">
        <v>33</v>
      </c>
      <c r="G143" s="2" t="s">
        <v>78</v>
      </c>
      <c r="H143" s="2" t="s">
        <v>79</v>
      </c>
      <c r="I143" s="2" t="s">
        <v>62</v>
      </c>
      <c r="J143" s="2">
        <v>7</v>
      </c>
      <c r="K143" s="5">
        <v>0.1</v>
      </c>
      <c r="L143" s="6">
        <v>535500</v>
      </c>
      <c r="M143" s="6">
        <v>301000</v>
      </c>
      <c r="N143" s="6">
        <v>234500</v>
      </c>
      <c r="O143" s="2" t="s">
        <v>52</v>
      </c>
    </row>
    <row r="144" spans="1:15" x14ac:dyDescent="0.35">
      <c r="A144" s="2" t="s">
        <v>245</v>
      </c>
      <c r="B144" s="4">
        <v>46180</v>
      </c>
      <c r="C144" s="2" t="s">
        <v>111</v>
      </c>
      <c r="D144" s="2" t="s">
        <v>70</v>
      </c>
      <c r="E144" s="2" t="s">
        <v>32</v>
      </c>
      <c r="F144" s="2" t="s">
        <v>33</v>
      </c>
      <c r="G144" s="2" t="s">
        <v>82</v>
      </c>
      <c r="H144" s="2" t="s">
        <v>83</v>
      </c>
      <c r="I144" s="2" t="s">
        <v>44</v>
      </c>
      <c r="J144" s="2">
        <v>7</v>
      </c>
      <c r="K144" s="5">
        <v>0.05</v>
      </c>
      <c r="L144" s="6">
        <v>9642500</v>
      </c>
      <c r="M144" s="6">
        <v>6860000</v>
      </c>
      <c r="N144" s="6">
        <v>2782500</v>
      </c>
      <c r="O144" s="2" t="s">
        <v>52</v>
      </c>
    </row>
    <row r="145" spans="1:15" x14ac:dyDescent="0.35">
      <c r="A145" s="2" t="s">
        <v>246</v>
      </c>
      <c r="B145" s="4">
        <v>46083</v>
      </c>
      <c r="C145" s="2" t="s">
        <v>95</v>
      </c>
      <c r="D145" s="2" t="s">
        <v>47</v>
      </c>
      <c r="E145" s="2" t="s">
        <v>81</v>
      </c>
      <c r="F145" s="2" t="s">
        <v>77</v>
      </c>
      <c r="G145" s="2" t="s">
        <v>86</v>
      </c>
      <c r="H145" s="2" t="s">
        <v>87</v>
      </c>
      <c r="I145" s="2" t="s">
        <v>36</v>
      </c>
      <c r="J145" s="2">
        <v>6</v>
      </c>
      <c r="K145" s="5">
        <v>0</v>
      </c>
      <c r="L145" s="6">
        <v>525000</v>
      </c>
      <c r="M145" s="6">
        <v>1260000</v>
      </c>
      <c r="N145" s="6">
        <v>-735000</v>
      </c>
      <c r="O145" s="2" t="s">
        <v>93</v>
      </c>
    </row>
    <row r="146" spans="1:15" x14ac:dyDescent="0.35">
      <c r="A146" s="2" t="s">
        <v>247</v>
      </c>
      <c r="B146" s="2" t="s">
        <v>248</v>
      </c>
      <c r="C146" s="2" t="s">
        <v>95</v>
      </c>
      <c r="D146" s="2" t="s">
        <v>40</v>
      </c>
      <c r="E146" s="2" t="s">
        <v>32</v>
      </c>
      <c r="F146" s="2" t="s">
        <v>112</v>
      </c>
      <c r="G146" s="2" t="s">
        <v>34</v>
      </c>
      <c r="H146" s="2" t="s">
        <v>35</v>
      </c>
      <c r="I146" s="2" t="s">
        <v>36</v>
      </c>
      <c r="J146" s="2">
        <v>4</v>
      </c>
      <c r="K146" s="5">
        <v>0</v>
      </c>
      <c r="L146" s="6">
        <v>475000</v>
      </c>
      <c r="M146" s="6">
        <v>1140000</v>
      </c>
      <c r="N146" s="6">
        <v>-665000</v>
      </c>
      <c r="O146" s="2" t="s">
        <v>74</v>
      </c>
    </row>
    <row r="147" spans="1:15" x14ac:dyDescent="0.35">
      <c r="A147" s="2" t="s">
        <v>249</v>
      </c>
      <c r="B147" s="4">
        <v>46108</v>
      </c>
      <c r="C147" s="2" t="s">
        <v>39</v>
      </c>
      <c r="D147" s="2" t="s">
        <v>31</v>
      </c>
      <c r="E147" s="2" t="s">
        <v>41</v>
      </c>
      <c r="F147" s="2" t="s">
        <v>90</v>
      </c>
      <c r="G147" s="2" t="s">
        <v>250</v>
      </c>
      <c r="H147" s="2" t="s">
        <v>43</v>
      </c>
      <c r="I147" s="2" t="s">
        <v>44</v>
      </c>
      <c r="J147" s="2">
        <v>4</v>
      </c>
      <c r="K147" s="5">
        <v>0.03</v>
      </c>
      <c r="L147" s="6">
        <v>1067000</v>
      </c>
      <c r="M147" s="6">
        <v>620000</v>
      </c>
      <c r="N147" s="6">
        <v>447000</v>
      </c>
      <c r="O147" s="2" t="s">
        <v>45</v>
      </c>
    </row>
    <row r="148" spans="1:15" x14ac:dyDescent="0.35">
      <c r="A148" s="2" t="s">
        <v>251</v>
      </c>
      <c r="B148" s="4">
        <v>46082</v>
      </c>
      <c r="C148" s="2" t="s">
        <v>76</v>
      </c>
      <c r="D148" s="2" t="s">
        <v>47</v>
      </c>
      <c r="E148" s="2" t="s">
        <v>41</v>
      </c>
      <c r="F148" s="2" t="s">
        <v>90</v>
      </c>
      <c r="G148" s="2" t="s">
        <v>49</v>
      </c>
      <c r="H148" s="2" t="s">
        <v>50</v>
      </c>
      <c r="I148" s="2" t="s">
        <v>51</v>
      </c>
      <c r="J148" s="2">
        <v>6</v>
      </c>
      <c r="K148" s="5">
        <v>0.03</v>
      </c>
      <c r="L148" s="6">
        <v>1425900</v>
      </c>
      <c r="M148" s="6">
        <v>870000</v>
      </c>
      <c r="N148" s="6">
        <v>555900</v>
      </c>
      <c r="O148" s="2" t="s">
        <v>84</v>
      </c>
    </row>
    <row r="149" spans="1:15" x14ac:dyDescent="0.35">
      <c r="A149" s="2" t="s">
        <v>252</v>
      </c>
      <c r="B149" s="4">
        <v>46056</v>
      </c>
      <c r="C149" s="2" t="s">
        <v>95</v>
      </c>
      <c r="D149" s="2" t="s">
        <v>40</v>
      </c>
      <c r="E149" s="2" t="s">
        <v>32</v>
      </c>
      <c r="F149" s="2" t="s">
        <v>33</v>
      </c>
      <c r="G149" s="2" t="s">
        <v>55</v>
      </c>
      <c r="H149" s="2" t="s">
        <v>56</v>
      </c>
      <c r="I149" s="2" t="s">
        <v>36</v>
      </c>
      <c r="J149" s="2">
        <v>5</v>
      </c>
      <c r="K149" s="5">
        <v>0.03</v>
      </c>
      <c r="L149" s="6">
        <v>8972500</v>
      </c>
      <c r="M149" s="6">
        <v>6600000</v>
      </c>
      <c r="N149" s="6">
        <v>2372500</v>
      </c>
      <c r="O149" s="2" t="s">
        <v>63</v>
      </c>
    </row>
    <row r="150" spans="1:15" x14ac:dyDescent="0.35">
      <c r="A150" s="2" t="s">
        <v>253</v>
      </c>
      <c r="B150" s="4">
        <v>46083</v>
      </c>
      <c r="C150" s="2" t="s">
        <v>65</v>
      </c>
      <c r="D150" s="2" t="s">
        <v>40</v>
      </c>
      <c r="E150" s="2" t="s">
        <v>32</v>
      </c>
      <c r="F150" s="2" t="s">
        <v>33</v>
      </c>
      <c r="G150" s="2" t="s">
        <v>60</v>
      </c>
      <c r="H150" s="2" t="s">
        <v>61</v>
      </c>
      <c r="I150" s="2" t="s">
        <v>62</v>
      </c>
      <c r="J150" s="2">
        <v>6</v>
      </c>
      <c r="K150" s="5">
        <v>0</v>
      </c>
      <c r="L150" s="6">
        <v>390000</v>
      </c>
      <c r="M150" s="6">
        <v>186000</v>
      </c>
      <c r="N150" s="6">
        <v>204000</v>
      </c>
      <c r="O150" s="2" t="s">
        <v>37</v>
      </c>
    </row>
    <row r="151" spans="1:15" x14ac:dyDescent="0.35">
      <c r="A151" s="2" t="s">
        <v>254</v>
      </c>
      <c r="B151" s="4">
        <v>46039</v>
      </c>
      <c r="C151" s="2" t="s">
        <v>111</v>
      </c>
      <c r="D151" s="2" t="s">
        <v>47</v>
      </c>
      <c r="E151" s="2" t="s">
        <v>41</v>
      </c>
      <c r="F151" s="2" t="s">
        <v>33</v>
      </c>
      <c r="G151" s="2" t="s">
        <v>66</v>
      </c>
      <c r="H151" s="2" t="s">
        <v>67</v>
      </c>
      <c r="I151" s="2" t="s">
        <v>51</v>
      </c>
      <c r="J151" s="2">
        <v>8</v>
      </c>
      <c r="K151" s="5">
        <v>0.08</v>
      </c>
      <c r="L151" s="6">
        <v>2281600</v>
      </c>
      <c r="M151" s="6">
        <v>1520000</v>
      </c>
      <c r="N151" s="6">
        <v>761600</v>
      </c>
      <c r="O151" s="2" t="s">
        <v>45</v>
      </c>
    </row>
    <row r="152" spans="1:15" x14ac:dyDescent="0.35">
      <c r="A152" s="2" t="s">
        <v>255</v>
      </c>
      <c r="B152" s="4">
        <v>46180</v>
      </c>
      <c r="C152" s="2" t="s">
        <v>111</v>
      </c>
      <c r="D152" s="2" t="s">
        <v>47</v>
      </c>
      <c r="E152" s="2" t="s">
        <v>81</v>
      </c>
      <c r="F152" s="2" t="s">
        <v>90</v>
      </c>
      <c r="G152" s="2" t="s">
        <v>71</v>
      </c>
      <c r="H152" s="2" t="s">
        <v>72</v>
      </c>
      <c r="I152" s="2" t="s">
        <v>73</v>
      </c>
      <c r="J152" s="2">
        <v>1</v>
      </c>
      <c r="K152" s="5">
        <v>0.15</v>
      </c>
      <c r="L152" s="6">
        <v>106250</v>
      </c>
      <c r="M152" s="6">
        <v>70000</v>
      </c>
      <c r="N152" s="6">
        <v>36250</v>
      </c>
      <c r="O152" s="2" t="s">
        <v>74</v>
      </c>
    </row>
    <row r="153" spans="1:15" x14ac:dyDescent="0.35">
      <c r="A153" s="2" t="s">
        <v>256</v>
      </c>
      <c r="B153" s="4">
        <v>46038</v>
      </c>
      <c r="C153" s="2" t="s">
        <v>111</v>
      </c>
      <c r="D153" s="2" t="s">
        <v>169</v>
      </c>
      <c r="E153" s="2" t="s">
        <v>48</v>
      </c>
      <c r="F153" s="2" t="s">
        <v>33</v>
      </c>
      <c r="G153" s="2" t="s">
        <v>78</v>
      </c>
      <c r="H153" s="2" t="s">
        <v>79</v>
      </c>
      <c r="I153" s="2" t="s">
        <v>62</v>
      </c>
      <c r="J153" s="2">
        <v>8</v>
      </c>
      <c r="K153" s="5">
        <v>0.08</v>
      </c>
      <c r="L153" s="6">
        <v>625600</v>
      </c>
      <c r="M153" s="6">
        <v>344000</v>
      </c>
      <c r="N153" s="6">
        <v>281600</v>
      </c>
      <c r="O153" s="2" t="s">
        <v>37</v>
      </c>
    </row>
    <row r="154" spans="1:15" x14ac:dyDescent="0.35">
      <c r="A154" s="2" t="s">
        <v>257</v>
      </c>
      <c r="B154" s="4">
        <v>46043</v>
      </c>
      <c r="C154" s="2" t="s">
        <v>54</v>
      </c>
      <c r="D154" s="2" t="s">
        <v>31</v>
      </c>
      <c r="E154" s="2" t="s">
        <v>81</v>
      </c>
      <c r="F154" s="2" t="s">
        <v>33</v>
      </c>
      <c r="G154" s="2" t="s">
        <v>82</v>
      </c>
      <c r="H154" s="2" t="s">
        <v>83</v>
      </c>
      <c r="I154" s="2" t="s">
        <v>44</v>
      </c>
      <c r="J154" s="2">
        <v>6</v>
      </c>
      <c r="K154" s="5">
        <v>0.1</v>
      </c>
      <c r="L154" s="6">
        <v>7830000</v>
      </c>
      <c r="M154" s="6">
        <v>5880000</v>
      </c>
      <c r="N154" s="6">
        <v>1950000</v>
      </c>
      <c r="O154" s="2" t="s">
        <v>93</v>
      </c>
    </row>
    <row r="155" spans="1:15" x14ac:dyDescent="0.35">
      <c r="A155" s="2" t="s">
        <v>258</v>
      </c>
      <c r="B155" s="4">
        <v>46175</v>
      </c>
      <c r="C155" s="2" t="s">
        <v>69</v>
      </c>
      <c r="D155" s="2" t="s">
        <v>59</v>
      </c>
      <c r="E155" s="2" t="s">
        <v>41</v>
      </c>
      <c r="F155" s="2" t="s">
        <v>33</v>
      </c>
      <c r="G155" s="2" t="s">
        <v>86</v>
      </c>
      <c r="H155" s="2" t="s">
        <v>87</v>
      </c>
      <c r="I155" s="2" t="s">
        <v>36</v>
      </c>
      <c r="J155" s="2">
        <v>5</v>
      </c>
      <c r="K155" s="5">
        <v>0.08</v>
      </c>
      <c r="L155" s="6">
        <v>1610000</v>
      </c>
      <c r="M155" s="6">
        <v>1050000</v>
      </c>
      <c r="N155" s="6">
        <v>560000</v>
      </c>
      <c r="O155" s="2" t="s">
        <v>45</v>
      </c>
    </row>
    <row r="156" spans="1:15" x14ac:dyDescent="0.35">
      <c r="A156" s="2" t="s">
        <v>259</v>
      </c>
      <c r="B156" s="4">
        <v>46133</v>
      </c>
      <c r="C156" s="2" t="s">
        <v>65</v>
      </c>
      <c r="D156" s="2" t="s">
        <v>59</v>
      </c>
      <c r="E156" s="2" t="s">
        <v>48</v>
      </c>
      <c r="F156" s="2" t="s">
        <v>33</v>
      </c>
      <c r="G156" s="2" t="s">
        <v>34</v>
      </c>
      <c r="H156" s="2" t="s">
        <v>35</v>
      </c>
      <c r="I156" s="2" t="s">
        <v>36</v>
      </c>
      <c r="J156" s="2">
        <v>8</v>
      </c>
      <c r="K156" s="5">
        <v>0.03</v>
      </c>
      <c r="L156" s="6">
        <v>3686000</v>
      </c>
      <c r="M156" s="6">
        <v>2280000</v>
      </c>
      <c r="N156" s="6">
        <v>1406000</v>
      </c>
      <c r="O156" s="2" t="s">
        <v>37</v>
      </c>
    </row>
    <row r="157" spans="1:15" x14ac:dyDescent="0.35">
      <c r="A157" s="2" t="s">
        <v>260</v>
      </c>
      <c r="B157" s="4">
        <v>46103</v>
      </c>
      <c r="C157" s="2" t="s">
        <v>111</v>
      </c>
      <c r="D157" s="2" t="s">
        <v>70</v>
      </c>
      <c r="E157" s="2" t="s">
        <v>32</v>
      </c>
      <c r="F157" s="2" t="s">
        <v>33</v>
      </c>
      <c r="G157" s="2" t="s">
        <v>42</v>
      </c>
      <c r="H157" s="2" t="s">
        <v>43</v>
      </c>
      <c r="I157" s="2" t="s">
        <v>44</v>
      </c>
      <c r="J157" s="2">
        <v>7</v>
      </c>
      <c r="K157" s="5">
        <v>0.05</v>
      </c>
      <c r="L157" s="6">
        <v>1828750</v>
      </c>
      <c r="M157" s="6">
        <v>1085000</v>
      </c>
      <c r="N157" s="6">
        <v>743750</v>
      </c>
      <c r="O157" s="2" t="s">
        <v>37</v>
      </c>
    </row>
    <row r="158" spans="1:15" x14ac:dyDescent="0.35">
      <c r="A158" s="2" t="s">
        <v>261</v>
      </c>
      <c r="B158" s="4">
        <v>46046</v>
      </c>
      <c r="C158" s="2" t="s">
        <v>95</v>
      </c>
      <c r="D158" s="2" t="s">
        <v>70</v>
      </c>
      <c r="E158" s="2" t="s">
        <v>32</v>
      </c>
      <c r="F158" s="2" t="s">
        <v>33</v>
      </c>
      <c r="G158" s="2" t="s">
        <v>49</v>
      </c>
      <c r="H158" s="2" t="s">
        <v>50</v>
      </c>
      <c r="I158" s="2" t="s">
        <v>51</v>
      </c>
      <c r="J158" s="2">
        <v>2</v>
      </c>
      <c r="K158" s="5">
        <v>0</v>
      </c>
      <c r="L158" s="6">
        <v>490000</v>
      </c>
      <c r="M158" s="6">
        <v>290000</v>
      </c>
      <c r="N158" s="6">
        <v>200000</v>
      </c>
      <c r="O158" s="2" t="s">
        <v>63</v>
      </c>
    </row>
    <row r="159" spans="1:15" x14ac:dyDescent="0.35">
      <c r="A159" s="2" t="s">
        <v>262</v>
      </c>
      <c r="B159" s="4">
        <v>46194</v>
      </c>
      <c r="C159" s="2" t="s">
        <v>76</v>
      </c>
      <c r="D159" s="2" t="s">
        <v>59</v>
      </c>
      <c r="E159" s="2" t="s">
        <v>41</v>
      </c>
      <c r="F159" s="2" t="s">
        <v>33</v>
      </c>
      <c r="G159" s="2" t="s">
        <v>55</v>
      </c>
      <c r="H159" s="2" t="s">
        <v>56</v>
      </c>
      <c r="I159" s="2" t="s">
        <v>36</v>
      </c>
      <c r="J159" s="2">
        <v>2</v>
      </c>
      <c r="K159" s="5">
        <v>0.08</v>
      </c>
      <c r="L159" s="6">
        <v>3404000</v>
      </c>
      <c r="M159" s="6">
        <v>2640000</v>
      </c>
      <c r="N159" s="6">
        <v>764000</v>
      </c>
      <c r="O159" s="2" t="s">
        <v>57</v>
      </c>
    </row>
    <row r="160" spans="1:15" x14ac:dyDescent="0.35">
      <c r="A160" s="2" t="s">
        <v>263</v>
      </c>
      <c r="B160" s="4">
        <v>46113</v>
      </c>
      <c r="C160" s="2" t="s">
        <v>39</v>
      </c>
      <c r="D160" s="2" t="s">
        <v>31</v>
      </c>
      <c r="E160" s="2" t="s">
        <v>48</v>
      </c>
      <c r="F160" s="2" t="s">
        <v>33</v>
      </c>
      <c r="G160" s="2" t="s">
        <v>60</v>
      </c>
      <c r="H160" s="2" t="s">
        <v>61</v>
      </c>
      <c r="I160" s="2" t="s">
        <v>62</v>
      </c>
      <c r="J160" s="2">
        <v>2</v>
      </c>
      <c r="K160" s="5">
        <v>0.1</v>
      </c>
      <c r="L160" s="6">
        <v>117000</v>
      </c>
      <c r="M160" s="6">
        <v>62000</v>
      </c>
      <c r="N160" s="6">
        <v>55000</v>
      </c>
      <c r="O160" s="2" t="s">
        <v>37</v>
      </c>
    </row>
    <row r="161" spans="1:15" x14ac:dyDescent="0.35">
      <c r="A161" s="2" t="s">
        <v>264</v>
      </c>
      <c r="B161" s="4">
        <v>46112</v>
      </c>
      <c r="C161" s="2" t="s">
        <v>65</v>
      </c>
      <c r="D161" s="2" t="s">
        <v>204</v>
      </c>
      <c r="E161" s="2" t="s">
        <v>32</v>
      </c>
      <c r="F161" s="2" t="s">
        <v>33</v>
      </c>
      <c r="G161" s="2" t="s">
        <v>66</v>
      </c>
      <c r="H161" s="2" t="s">
        <v>67</v>
      </c>
      <c r="I161" s="2" t="s">
        <v>51</v>
      </c>
      <c r="J161" s="2">
        <v>6</v>
      </c>
      <c r="K161" s="5">
        <v>0</v>
      </c>
      <c r="L161" s="6">
        <v>1860000</v>
      </c>
      <c r="M161" s="6">
        <v>1140000</v>
      </c>
      <c r="N161" s="6">
        <v>720000</v>
      </c>
      <c r="O161" s="2" t="s">
        <v>74</v>
      </c>
    </row>
    <row r="162" spans="1:15" x14ac:dyDescent="0.35">
      <c r="A162" s="2" t="s">
        <v>265</v>
      </c>
      <c r="B162" s="4">
        <v>46178</v>
      </c>
      <c r="C162" s="2" t="s">
        <v>54</v>
      </c>
      <c r="D162" s="2" t="s">
        <v>70</v>
      </c>
      <c r="E162" s="2" t="s">
        <v>81</v>
      </c>
      <c r="F162" s="2" t="s">
        <v>33</v>
      </c>
      <c r="G162" s="2" t="s">
        <v>71</v>
      </c>
      <c r="H162" s="2" t="s">
        <v>72</v>
      </c>
      <c r="I162" s="2" t="s">
        <v>73</v>
      </c>
      <c r="J162" s="2">
        <v>5</v>
      </c>
      <c r="K162" s="5">
        <v>0</v>
      </c>
      <c r="L162" s="6">
        <v>625000</v>
      </c>
      <c r="M162" s="6">
        <v>350000</v>
      </c>
      <c r="N162" s="6">
        <v>275000</v>
      </c>
      <c r="O162" s="2" t="s">
        <v>74</v>
      </c>
    </row>
    <row r="163" spans="1:15" x14ac:dyDescent="0.35">
      <c r="A163" s="2" t="s">
        <v>266</v>
      </c>
      <c r="B163" s="4">
        <v>46069</v>
      </c>
      <c r="C163" s="2" t="s">
        <v>95</v>
      </c>
      <c r="D163" s="2" t="s">
        <v>40</v>
      </c>
      <c r="E163" s="2" t="s">
        <v>32</v>
      </c>
      <c r="F163" s="2" t="s">
        <v>33</v>
      </c>
      <c r="G163" s="2" t="s">
        <v>78</v>
      </c>
      <c r="H163" s="2" t="s">
        <v>79</v>
      </c>
      <c r="I163" s="2" t="s">
        <v>62</v>
      </c>
      <c r="J163" s="2">
        <v>3</v>
      </c>
      <c r="K163" s="5">
        <v>0.1</v>
      </c>
      <c r="L163" s="6">
        <v>229500</v>
      </c>
      <c r="M163" s="6">
        <v>129000</v>
      </c>
      <c r="N163" s="6">
        <v>100500</v>
      </c>
      <c r="O163" s="2" t="s">
        <v>37</v>
      </c>
    </row>
    <row r="164" spans="1:15" x14ac:dyDescent="0.35">
      <c r="A164" s="2" t="s">
        <v>267</v>
      </c>
      <c r="B164" s="4">
        <v>46158</v>
      </c>
      <c r="C164" s="2" t="s">
        <v>54</v>
      </c>
      <c r="D164" s="2" t="s">
        <v>70</v>
      </c>
      <c r="E164" s="2" t="s">
        <v>32</v>
      </c>
      <c r="F164" s="2" t="s">
        <v>33</v>
      </c>
      <c r="G164" s="2" t="s">
        <v>82</v>
      </c>
      <c r="H164" s="2" t="s">
        <v>83</v>
      </c>
      <c r="I164" s="2" t="s">
        <v>44</v>
      </c>
      <c r="J164" s="2">
        <v>4</v>
      </c>
      <c r="K164" s="5">
        <v>0.08</v>
      </c>
      <c r="L164" s="6">
        <v>5336000</v>
      </c>
      <c r="M164" s="6">
        <v>3920000</v>
      </c>
      <c r="N164" s="6">
        <v>1416000</v>
      </c>
      <c r="O164" s="2" t="s">
        <v>57</v>
      </c>
    </row>
    <row r="165" spans="1:15" x14ac:dyDescent="0.35">
      <c r="A165" s="2" t="s">
        <v>268</v>
      </c>
      <c r="B165" s="4">
        <v>46106</v>
      </c>
      <c r="C165" s="2" t="s">
        <v>69</v>
      </c>
      <c r="D165" s="2" t="s">
        <v>47</v>
      </c>
      <c r="E165" s="2" t="s">
        <v>41</v>
      </c>
      <c r="F165" s="2" t="s">
        <v>33</v>
      </c>
      <c r="G165" s="2" t="s">
        <v>86</v>
      </c>
      <c r="H165" s="2" t="s">
        <v>87</v>
      </c>
      <c r="I165" s="2" t="s">
        <v>36</v>
      </c>
      <c r="J165" s="2">
        <v>2</v>
      </c>
      <c r="K165" s="5">
        <v>0</v>
      </c>
      <c r="L165" s="6">
        <v>700000</v>
      </c>
      <c r="M165" s="6">
        <v>420000</v>
      </c>
      <c r="N165" s="6">
        <v>280000</v>
      </c>
      <c r="O165" s="2" t="s">
        <v>57</v>
      </c>
    </row>
    <row r="166" spans="1:15" x14ac:dyDescent="0.35">
      <c r="A166" s="2" t="s">
        <v>269</v>
      </c>
      <c r="B166" s="4">
        <v>46136</v>
      </c>
      <c r="C166" s="2" t="s">
        <v>39</v>
      </c>
      <c r="D166" s="2" t="s">
        <v>59</v>
      </c>
      <c r="E166" s="2" t="s">
        <v>81</v>
      </c>
      <c r="F166" s="2" t="s">
        <v>33</v>
      </c>
      <c r="G166" s="2" t="s">
        <v>34</v>
      </c>
      <c r="H166" s="2" t="s">
        <v>35</v>
      </c>
      <c r="I166" s="2" t="s">
        <v>36</v>
      </c>
      <c r="J166" s="2">
        <v>7</v>
      </c>
      <c r="K166" s="5">
        <v>0.08</v>
      </c>
      <c r="L166" s="6">
        <v>3059000</v>
      </c>
      <c r="M166" s="6">
        <v>1995000</v>
      </c>
      <c r="N166" s="6">
        <v>1064000</v>
      </c>
      <c r="O166" s="2" t="s">
        <v>37</v>
      </c>
    </row>
    <row r="167" spans="1:15" x14ac:dyDescent="0.35">
      <c r="A167" s="2" t="s">
        <v>270</v>
      </c>
      <c r="B167" s="4">
        <v>46111</v>
      </c>
      <c r="C167" s="2" t="s">
        <v>76</v>
      </c>
      <c r="D167" s="2" t="s">
        <v>47</v>
      </c>
      <c r="E167" s="2" t="s">
        <v>48</v>
      </c>
      <c r="F167" s="2" t="s">
        <v>33</v>
      </c>
      <c r="G167" s="2" t="s">
        <v>42</v>
      </c>
      <c r="H167" s="2" t="s">
        <v>43</v>
      </c>
      <c r="I167" s="2" t="s">
        <v>44</v>
      </c>
      <c r="J167" s="2">
        <v>7</v>
      </c>
      <c r="K167" s="5">
        <v>0</v>
      </c>
      <c r="L167" s="6">
        <v>1925000</v>
      </c>
      <c r="M167" s="6">
        <v>1085000</v>
      </c>
      <c r="N167" s="6">
        <v>840000</v>
      </c>
      <c r="O167" s="2" t="s">
        <v>74</v>
      </c>
    </row>
    <row r="168" spans="1:15" x14ac:dyDescent="0.35">
      <c r="A168" s="2" t="s">
        <v>271</v>
      </c>
      <c r="B168" s="4">
        <v>46079</v>
      </c>
      <c r="C168" s="2" t="s">
        <v>39</v>
      </c>
      <c r="D168" s="2" t="s">
        <v>31</v>
      </c>
      <c r="E168" s="2" t="s">
        <v>81</v>
      </c>
      <c r="F168" s="2" t="s">
        <v>33</v>
      </c>
      <c r="G168" s="2" t="s">
        <v>49</v>
      </c>
      <c r="H168" s="2" t="s">
        <v>50</v>
      </c>
      <c r="I168" s="2" t="s">
        <v>51</v>
      </c>
      <c r="J168" s="2">
        <v>7</v>
      </c>
      <c r="K168" s="5">
        <v>0.1</v>
      </c>
      <c r="L168" s="6">
        <v>1543500</v>
      </c>
      <c r="M168" s="6">
        <v>1015000</v>
      </c>
      <c r="N168" s="6">
        <v>528500</v>
      </c>
      <c r="O168" s="2" t="s">
        <v>84</v>
      </c>
    </row>
    <row r="169" spans="1:15" x14ac:dyDescent="0.35">
      <c r="A169" s="2" t="s">
        <v>272</v>
      </c>
      <c r="B169" s="4">
        <v>46088</v>
      </c>
      <c r="C169" s="2" t="s">
        <v>30</v>
      </c>
      <c r="D169" s="2" t="s">
        <v>59</v>
      </c>
      <c r="E169" s="2" t="s">
        <v>48</v>
      </c>
      <c r="F169" s="2" t="s">
        <v>33</v>
      </c>
      <c r="G169" s="2" t="s">
        <v>55</v>
      </c>
      <c r="H169" s="2" t="s">
        <v>56</v>
      </c>
      <c r="I169" s="2" t="s">
        <v>36</v>
      </c>
      <c r="J169" s="2">
        <v>5</v>
      </c>
      <c r="K169" s="5">
        <v>0.05</v>
      </c>
      <c r="L169" s="6" t="s">
        <v>273</v>
      </c>
      <c r="M169" s="6">
        <v>6600000</v>
      </c>
      <c r="N169" s="6">
        <v>2187500</v>
      </c>
      <c r="O169" s="2" t="s">
        <v>84</v>
      </c>
    </row>
    <row r="170" spans="1:15" x14ac:dyDescent="0.35">
      <c r="A170" s="2" t="s">
        <v>274</v>
      </c>
      <c r="B170" s="4">
        <v>46120</v>
      </c>
      <c r="C170" s="2" t="s">
        <v>65</v>
      </c>
      <c r="D170" s="2" t="s">
        <v>70</v>
      </c>
      <c r="E170" s="2" t="s">
        <v>41</v>
      </c>
      <c r="F170" s="2" t="s">
        <v>33</v>
      </c>
      <c r="G170" s="2" t="s">
        <v>60</v>
      </c>
      <c r="H170" s="2" t="s">
        <v>61</v>
      </c>
      <c r="I170" s="2" t="s">
        <v>62</v>
      </c>
      <c r="J170" s="2">
        <v>4</v>
      </c>
      <c r="K170" s="5">
        <v>0.1</v>
      </c>
      <c r="L170" s="6">
        <v>234000</v>
      </c>
      <c r="M170" s="6">
        <v>124000</v>
      </c>
      <c r="N170" s="6">
        <v>110000</v>
      </c>
      <c r="O170" s="2" t="s">
        <v>74</v>
      </c>
    </row>
    <row r="171" spans="1:15" x14ac:dyDescent="0.35">
      <c r="A171" s="2" t="s">
        <v>275</v>
      </c>
      <c r="B171" s="2"/>
      <c r="C171" s="2" t="s">
        <v>65</v>
      </c>
      <c r="D171" s="2" t="s">
        <v>47</v>
      </c>
      <c r="E171" s="2" t="s">
        <v>48</v>
      </c>
      <c r="F171" s="2" t="s">
        <v>112</v>
      </c>
      <c r="G171" s="2" t="s">
        <v>66</v>
      </c>
      <c r="H171" s="2" t="s">
        <v>67</v>
      </c>
      <c r="I171" s="2" t="s">
        <v>51</v>
      </c>
      <c r="J171" s="2">
        <v>1</v>
      </c>
      <c r="K171" s="5">
        <v>0.08</v>
      </c>
      <c r="L171" s="6">
        <v>71300</v>
      </c>
      <c r="M171" s="6">
        <v>190000</v>
      </c>
      <c r="N171" s="6">
        <v>-118700</v>
      </c>
      <c r="O171" s="2" t="s">
        <v>93</v>
      </c>
    </row>
    <row r="172" spans="1:15" x14ac:dyDescent="0.35">
      <c r="A172" s="2" t="s">
        <v>276</v>
      </c>
      <c r="B172" s="4">
        <v>46097</v>
      </c>
      <c r="C172" s="2" t="s">
        <v>111</v>
      </c>
      <c r="D172" s="2" t="s">
        <v>70</v>
      </c>
      <c r="E172" s="2" t="s">
        <v>32</v>
      </c>
      <c r="F172" s="2" t="s">
        <v>122</v>
      </c>
      <c r="G172" s="2" t="s">
        <v>71</v>
      </c>
      <c r="H172" s="2" t="s">
        <v>72</v>
      </c>
      <c r="I172" s="2" t="s">
        <v>73</v>
      </c>
      <c r="J172" s="2">
        <v>2</v>
      </c>
      <c r="K172" s="5">
        <v>0.08</v>
      </c>
      <c r="L172" s="6">
        <v>230000</v>
      </c>
      <c r="M172" s="6">
        <v>140000</v>
      </c>
      <c r="N172" s="6">
        <v>90000</v>
      </c>
      <c r="O172" s="2" t="s">
        <v>63</v>
      </c>
    </row>
    <row r="173" spans="1:15" x14ac:dyDescent="0.35">
      <c r="A173" s="2" t="s">
        <v>277</v>
      </c>
      <c r="B173" s="4">
        <v>46045</v>
      </c>
      <c r="C173" s="2" t="s">
        <v>69</v>
      </c>
      <c r="D173" s="2" t="s">
        <v>47</v>
      </c>
      <c r="E173" s="2" t="s">
        <v>48</v>
      </c>
      <c r="F173" s="2" t="s">
        <v>33</v>
      </c>
      <c r="G173" s="2" t="s">
        <v>78</v>
      </c>
      <c r="H173" s="2" t="s">
        <v>79</v>
      </c>
      <c r="I173" s="2" t="s">
        <v>62</v>
      </c>
      <c r="J173" s="2">
        <v>7</v>
      </c>
      <c r="K173" s="5">
        <v>0</v>
      </c>
      <c r="L173" s="6">
        <v>595000</v>
      </c>
      <c r="M173" s="6">
        <v>301000</v>
      </c>
      <c r="N173" s="6">
        <v>294000</v>
      </c>
      <c r="O173" s="2" t="s">
        <v>93</v>
      </c>
    </row>
    <row r="174" spans="1:15" x14ac:dyDescent="0.35">
      <c r="A174" s="2" t="s">
        <v>278</v>
      </c>
      <c r="B174" s="4">
        <v>46102</v>
      </c>
      <c r="C174" s="2" t="s">
        <v>69</v>
      </c>
      <c r="D174" s="2" t="s">
        <v>31</v>
      </c>
      <c r="E174" s="2" t="s">
        <v>41</v>
      </c>
      <c r="F174" s="2" t="s">
        <v>33</v>
      </c>
      <c r="G174" s="2" t="s">
        <v>82</v>
      </c>
      <c r="H174" s="2" t="s">
        <v>83</v>
      </c>
      <c r="I174" s="2" t="s">
        <v>279</v>
      </c>
      <c r="J174" s="2">
        <v>6</v>
      </c>
      <c r="K174" s="5">
        <v>0.03</v>
      </c>
      <c r="L174" s="6">
        <v>8439000</v>
      </c>
      <c r="M174" s="6">
        <v>5880000</v>
      </c>
      <c r="N174" s="6">
        <v>2559000</v>
      </c>
      <c r="O174" s="2" t="s">
        <v>45</v>
      </c>
    </row>
    <row r="175" spans="1:15" x14ac:dyDescent="0.35">
      <c r="A175" s="2" t="s">
        <v>280</v>
      </c>
      <c r="B175" s="4">
        <v>46112</v>
      </c>
      <c r="C175" s="2" t="s">
        <v>69</v>
      </c>
      <c r="D175" s="2" t="s">
        <v>31</v>
      </c>
      <c r="E175" s="2" t="s">
        <v>32</v>
      </c>
      <c r="F175" s="2" t="s">
        <v>112</v>
      </c>
      <c r="G175" s="2" t="s">
        <v>86</v>
      </c>
      <c r="H175" s="2" t="s">
        <v>87</v>
      </c>
      <c r="I175" s="2" t="s">
        <v>36</v>
      </c>
      <c r="J175" s="2">
        <v>6</v>
      </c>
      <c r="K175" s="5">
        <v>0.15</v>
      </c>
      <c r="L175" s="6">
        <v>892500</v>
      </c>
      <c r="M175" s="6">
        <v>1260000</v>
      </c>
      <c r="N175" s="6">
        <v>-367500</v>
      </c>
      <c r="O175" s="2" t="s">
        <v>84</v>
      </c>
    </row>
    <row r="176" spans="1:15" x14ac:dyDescent="0.35">
      <c r="A176" s="2" t="s">
        <v>281</v>
      </c>
      <c r="B176" s="4">
        <v>46088</v>
      </c>
      <c r="C176" s="2" t="s">
        <v>111</v>
      </c>
      <c r="D176" s="2" t="s">
        <v>40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36</v>
      </c>
      <c r="J176" s="2">
        <v>4</v>
      </c>
      <c r="K176" s="5">
        <v>0.03</v>
      </c>
      <c r="L176" s="6">
        <v>1843000</v>
      </c>
      <c r="M176" s="6">
        <v>1140000</v>
      </c>
      <c r="N176" s="6">
        <v>703000</v>
      </c>
      <c r="O176" s="2" t="s">
        <v>52</v>
      </c>
    </row>
    <row r="177" spans="1:15" x14ac:dyDescent="0.35">
      <c r="A177" s="2" t="s">
        <v>282</v>
      </c>
      <c r="B177" s="4">
        <v>46167</v>
      </c>
      <c r="C177" s="2" t="s">
        <v>54</v>
      </c>
      <c r="D177" s="2" t="s">
        <v>47</v>
      </c>
      <c r="E177" s="2" t="s">
        <v>283</v>
      </c>
      <c r="F177" s="2" t="s">
        <v>112</v>
      </c>
      <c r="G177" s="2" t="s">
        <v>42</v>
      </c>
      <c r="H177" s="2" t="s">
        <v>43</v>
      </c>
      <c r="I177" s="2" t="s">
        <v>44</v>
      </c>
      <c r="J177" s="2">
        <v>8</v>
      </c>
      <c r="K177" s="5">
        <v>0.15</v>
      </c>
      <c r="L177" s="6">
        <v>935000</v>
      </c>
      <c r="M177" s="6">
        <v>1240000</v>
      </c>
      <c r="N177" s="6">
        <v>-305000</v>
      </c>
      <c r="O177" s="2" t="s">
        <v>84</v>
      </c>
    </row>
    <row r="178" spans="1:15" x14ac:dyDescent="0.35">
      <c r="A178" s="2" t="s">
        <v>284</v>
      </c>
      <c r="B178" s="4">
        <v>46135</v>
      </c>
      <c r="C178" s="2" t="s">
        <v>95</v>
      </c>
      <c r="D178" s="2" t="s">
        <v>70</v>
      </c>
      <c r="E178" s="2" t="s">
        <v>81</v>
      </c>
      <c r="F178" s="2" t="s">
        <v>33</v>
      </c>
      <c r="G178" s="2" t="s">
        <v>49</v>
      </c>
      <c r="H178" s="2" t="s">
        <v>50</v>
      </c>
      <c r="I178" s="2" t="s">
        <v>51</v>
      </c>
      <c r="J178" s="2">
        <v>2</v>
      </c>
      <c r="K178" s="5">
        <v>0.08</v>
      </c>
      <c r="L178" s="6">
        <v>450800</v>
      </c>
      <c r="M178" s="6">
        <v>290000</v>
      </c>
      <c r="N178" s="6">
        <v>160800</v>
      </c>
      <c r="O178" s="2" t="s">
        <v>63</v>
      </c>
    </row>
    <row r="179" spans="1:15" x14ac:dyDescent="0.35">
      <c r="A179" s="2" t="s">
        <v>285</v>
      </c>
      <c r="B179" s="4">
        <v>46152</v>
      </c>
      <c r="C179" s="2" t="s">
        <v>54</v>
      </c>
      <c r="D179" s="2" t="s">
        <v>40</v>
      </c>
      <c r="E179" s="2" t="s">
        <v>41</v>
      </c>
      <c r="F179" s="2" t="s">
        <v>33</v>
      </c>
      <c r="G179" s="2" t="s">
        <v>55</v>
      </c>
      <c r="H179" s="2" t="s">
        <v>56</v>
      </c>
      <c r="I179" s="2" t="s">
        <v>36</v>
      </c>
      <c r="J179" s="2">
        <v>2</v>
      </c>
      <c r="K179" s="5">
        <v>0.05</v>
      </c>
      <c r="L179" s="6">
        <v>3515000</v>
      </c>
      <c r="M179" s="6">
        <v>2640000</v>
      </c>
      <c r="N179" s="6">
        <v>875000</v>
      </c>
      <c r="O179" s="2" t="s">
        <v>57</v>
      </c>
    </row>
    <row r="180" spans="1:15" x14ac:dyDescent="0.35">
      <c r="A180" s="2" t="s">
        <v>286</v>
      </c>
      <c r="B180" s="4">
        <v>46042</v>
      </c>
      <c r="C180" s="2" t="s">
        <v>95</v>
      </c>
      <c r="D180" s="2" t="s">
        <v>59</v>
      </c>
      <c r="E180" s="2" t="s">
        <v>48</v>
      </c>
      <c r="F180" s="2" t="s">
        <v>33</v>
      </c>
      <c r="G180" s="2" t="s">
        <v>60</v>
      </c>
      <c r="H180" s="2" t="s">
        <v>61</v>
      </c>
      <c r="I180" s="2" t="s">
        <v>62</v>
      </c>
      <c r="J180" s="2">
        <v>2</v>
      </c>
      <c r="K180" s="5">
        <v>0.1</v>
      </c>
      <c r="L180" s="6">
        <v>117000</v>
      </c>
      <c r="M180" s="6">
        <v>62000</v>
      </c>
      <c r="N180" s="6">
        <v>55000</v>
      </c>
      <c r="O180" s="2" t="s">
        <v>52</v>
      </c>
    </row>
    <row r="181" spans="1:15" x14ac:dyDescent="0.35">
      <c r="A181" s="2" t="s">
        <v>287</v>
      </c>
      <c r="B181" s="4">
        <v>46169</v>
      </c>
      <c r="C181" s="2" t="s">
        <v>95</v>
      </c>
      <c r="D181" s="2" t="s">
        <v>47</v>
      </c>
      <c r="E181" s="2" t="s">
        <v>32</v>
      </c>
      <c r="F181" s="2" t="s">
        <v>33</v>
      </c>
      <c r="G181" s="2" t="s">
        <v>66</v>
      </c>
      <c r="H181" s="2" t="s">
        <v>67</v>
      </c>
      <c r="I181" s="2" t="s">
        <v>51</v>
      </c>
      <c r="J181" s="2">
        <v>4</v>
      </c>
      <c r="K181" s="5">
        <v>0.05</v>
      </c>
      <c r="L181" s="6">
        <v>1178000</v>
      </c>
      <c r="M181" s="6">
        <v>760000</v>
      </c>
      <c r="N181" s="6">
        <v>418000</v>
      </c>
      <c r="O181" s="2" t="s">
        <v>52</v>
      </c>
    </row>
    <row r="182" spans="1:15" x14ac:dyDescent="0.35">
      <c r="A182" s="2" t="s">
        <v>288</v>
      </c>
      <c r="B182" s="2" t="s">
        <v>289</v>
      </c>
      <c r="C182" s="2" t="s">
        <v>39</v>
      </c>
      <c r="D182" s="2" t="s">
        <v>31</v>
      </c>
      <c r="E182" s="2" t="s">
        <v>41</v>
      </c>
      <c r="F182" s="2" t="s">
        <v>33</v>
      </c>
      <c r="G182" s="2" t="s">
        <v>71</v>
      </c>
      <c r="H182" s="2" t="s">
        <v>72</v>
      </c>
      <c r="I182" s="2" t="s">
        <v>73</v>
      </c>
      <c r="J182" s="2">
        <v>6</v>
      </c>
      <c r="K182" s="5">
        <v>0.15</v>
      </c>
      <c r="L182" s="6">
        <v>637500</v>
      </c>
      <c r="M182" s="6">
        <v>420000</v>
      </c>
      <c r="N182" s="6">
        <v>217500</v>
      </c>
      <c r="O182" s="2" t="s">
        <v>52</v>
      </c>
    </row>
    <row r="183" spans="1:15" x14ac:dyDescent="0.35">
      <c r="A183" s="2" t="s">
        <v>290</v>
      </c>
      <c r="B183" s="4">
        <v>46135</v>
      </c>
      <c r="C183" s="2" t="s">
        <v>65</v>
      </c>
      <c r="D183" s="2" t="s">
        <v>70</v>
      </c>
      <c r="E183" s="2" t="s">
        <v>48</v>
      </c>
      <c r="F183" s="2" t="s">
        <v>146</v>
      </c>
      <c r="G183" s="2" t="s">
        <v>78</v>
      </c>
      <c r="H183" s="2" t="s">
        <v>79</v>
      </c>
      <c r="I183" s="2" t="s">
        <v>62</v>
      </c>
      <c r="J183" s="2"/>
      <c r="K183" s="5">
        <v>0.05</v>
      </c>
      <c r="L183" s="6">
        <v>242250</v>
      </c>
      <c r="M183" s="6">
        <v>129000</v>
      </c>
      <c r="N183" s="6">
        <v>113250</v>
      </c>
      <c r="O183" s="2" t="s">
        <v>63</v>
      </c>
    </row>
    <row r="184" spans="1:15" x14ac:dyDescent="0.35">
      <c r="A184" s="2" t="s">
        <v>291</v>
      </c>
      <c r="B184" s="4">
        <v>46196</v>
      </c>
      <c r="C184" s="2" t="s">
        <v>69</v>
      </c>
      <c r="D184" s="2" t="s">
        <v>40</v>
      </c>
      <c r="E184" s="2" t="s">
        <v>81</v>
      </c>
      <c r="F184" s="2" t="s">
        <v>33</v>
      </c>
      <c r="G184" s="2" t="s">
        <v>82</v>
      </c>
      <c r="H184" s="2" t="s">
        <v>83</v>
      </c>
      <c r="I184" s="2" t="s">
        <v>44</v>
      </c>
      <c r="J184" s="2">
        <v>1</v>
      </c>
      <c r="K184" s="5">
        <v>0.15</v>
      </c>
      <c r="L184" s="6">
        <v>1232500</v>
      </c>
      <c r="M184" s="6">
        <v>980000</v>
      </c>
      <c r="N184" s="6">
        <v>252500</v>
      </c>
      <c r="O184" s="2" t="s">
        <v>93</v>
      </c>
    </row>
    <row r="185" spans="1:15" x14ac:dyDescent="0.35">
      <c r="A185" s="2" t="s">
        <v>292</v>
      </c>
      <c r="B185" s="4">
        <v>46095</v>
      </c>
      <c r="C185" s="2" t="s">
        <v>54</v>
      </c>
      <c r="D185" s="2" t="s">
        <v>47</v>
      </c>
      <c r="E185" s="2" t="s">
        <v>32</v>
      </c>
      <c r="F185" s="2" t="s">
        <v>90</v>
      </c>
      <c r="G185" s="2" t="s">
        <v>86</v>
      </c>
      <c r="H185" s="2" t="s">
        <v>87</v>
      </c>
      <c r="I185" s="2" t="s">
        <v>293</v>
      </c>
      <c r="J185" s="2">
        <v>5</v>
      </c>
      <c r="K185" s="5">
        <v>0.15</v>
      </c>
      <c r="L185" s="6">
        <v>1487500</v>
      </c>
      <c r="M185" s="6">
        <v>1050000</v>
      </c>
      <c r="N185" s="6">
        <v>437500</v>
      </c>
      <c r="O185" s="2" t="s">
        <v>37</v>
      </c>
    </row>
    <row r="186" spans="1:15" x14ac:dyDescent="0.35">
      <c r="A186" s="2" t="s">
        <v>294</v>
      </c>
      <c r="B186" s="4">
        <v>46172</v>
      </c>
      <c r="C186" s="2" t="s">
        <v>69</v>
      </c>
      <c r="D186" s="2" t="s">
        <v>59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36</v>
      </c>
      <c r="J186" s="2">
        <v>3</v>
      </c>
      <c r="K186" s="5">
        <v>0.05</v>
      </c>
      <c r="L186" s="6">
        <v>1353750</v>
      </c>
      <c r="M186" s="6">
        <v>855000</v>
      </c>
      <c r="N186" s="6">
        <v>498750</v>
      </c>
      <c r="O186" s="2" t="s">
        <v>57</v>
      </c>
    </row>
    <row r="187" spans="1:15" x14ac:dyDescent="0.35">
      <c r="A187" s="2" t="s">
        <v>295</v>
      </c>
      <c r="B187" s="4">
        <v>46166</v>
      </c>
      <c r="C187" s="2" t="s">
        <v>65</v>
      </c>
      <c r="D187" s="2" t="s">
        <v>31</v>
      </c>
      <c r="E187" s="2" t="s">
        <v>41</v>
      </c>
      <c r="F187" s="2" t="s">
        <v>90</v>
      </c>
      <c r="G187" s="2" t="s">
        <v>42</v>
      </c>
      <c r="H187" s="2" t="s">
        <v>43</v>
      </c>
      <c r="I187" s="2" t="s">
        <v>44</v>
      </c>
      <c r="J187" s="2">
        <v>7</v>
      </c>
      <c r="K187" s="5">
        <v>0.15</v>
      </c>
      <c r="L187" s="6">
        <v>1636250</v>
      </c>
      <c r="M187" s="6">
        <v>1085000</v>
      </c>
      <c r="N187" s="6">
        <v>551250</v>
      </c>
      <c r="O187" s="2" t="s">
        <v>63</v>
      </c>
    </row>
    <row r="188" spans="1:15" x14ac:dyDescent="0.35">
      <c r="A188" s="2" t="s">
        <v>296</v>
      </c>
      <c r="B188" s="4">
        <v>46027</v>
      </c>
      <c r="C188" s="2" t="s">
        <v>111</v>
      </c>
      <c r="D188" s="2" t="s">
        <v>31</v>
      </c>
      <c r="E188" s="2" t="s">
        <v>297</v>
      </c>
      <c r="F188" s="2" t="s">
        <v>33</v>
      </c>
      <c r="G188" s="2" t="s">
        <v>49</v>
      </c>
      <c r="H188" s="2" t="s">
        <v>50</v>
      </c>
      <c r="I188" s="2" t="s">
        <v>51</v>
      </c>
      <c r="J188" s="2">
        <v>6</v>
      </c>
      <c r="K188" s="5">
        <v>0.05</v>
      </c>
      <c r="L188" s="6">
        <v>1396500</v>
      </c>
      <c r="M188" s="6">
        <v>870000</v>
      </c>
      <c r="N188" s="6">
        <v>526500</v>
      </c>
      <c r="O188" s="2" t="s">
        <v>45</v>
      </c>
    </row>
    <row r="189" spans="1:15" x14ac:dyDescent="0.35">
      <c r="A189" s="2" t="s">
        <v>298</v>
      </c>
      <c r="B189" s="4">
        <v>46080</v>
      </c>
      <c r="C189" s="2" t="s">
        <v>54</v>
      </c>
      <c r="D189" s="2" t="s">
        <v>40</v>
      </c>
      <c r="E189" s="2" t="s">
        <v>41</v>
      </c>
      <c r="F189" s="2" t="s">
        <v>33</v>
      </c>
      <c r="G189" s="2" t="s">
        <v>55</v>
      </c>
      <c r="H189" s="2" t="s">
        <v>56</v>
      </c>
      <c r="I189" s="2" t="s">
        <v>36</v>
      </c>
      <c r="J189" s="2">
        <v>3</v>
      </c>
      <c r="K189" s="5">
        <v>0.03</v>
      </c>
      <c r="L189" s="6">
        <v>5383500</v>
      </c>
      <c r="M189" s="6">
        <v>3960000</v>
      </c>
      <c r="N189" s="6">
        <v>1423500</v>
      </c>
      <c r="O189" s="2" t="s">
        <v>84</v>
      </c>
    </row>
    <row r="190" spans="1:15" x14ac:dyDescent="0.35">
      <c r="A190" s="2" t="s">
        <v>299</v>
      </c>
      <c r="B190" s="4">
        <v>46175</v>
      </c>
      <c r="C190" s="2" t="s">
        <v>111</v>
      </c>
      <c r="D190" s="2" t="s">
        <v>47</v>
      </c>
      <c r="E190" s="2" t="s">
        <v>32</v>
      </c>
      <c r="F190" s="2" t="s">
        <v>33</v>
      </c>
      <c r="G190" s="2" t="s">
        <v>60</v>
      </c>
      <c r="H190" s="2" t="s">
        <v>61</v>
      </c>
      <c r="I190" s="2" t="s">
        <v>62</v>
      </c>
      <c r="J190" s="2">
        <v>7</v>
      </c>
      <c r="K190" s="5">
        <v>0.03</v>
      </c>
      <c r="L190" s="6">
        <v>441350</v>
      </c>
      <c r="M190" s="6">
        <v>217000</v>
      </c>
      <c r="N190" s="6">
        <v>224350</v>
      </c>
      <c r="O190" s="2" t="s">
        <v>74</v>
      </c>
    </row>
    <row r="191" spans="1:15" x14ac:dyDescent="0.35">
      <c r="A191" s="2" t="s">
        <v>300</v>
      </c>
      <c r="B191" s="4">
        <v>46128</v>
      </c>
      <c r="C191" s="2" t="s">
        <v>111</v>
      </c>
      <c r="D191" s="2" t="s">
        <v>59</v>
      </c>
      <c r="E191" s="2" t="s">
        <v>81</v>
      </c>
      <c r="F191" s="2" t="s">
        <v>33</v>
      </c>
      <c r="G191" s="2" t="s">
        <v>66</v>
      </c>
      <c r="H191" s="2" t="s">
        <v>67</v>
      </c>
      <c r="I191" s="2" t="s">
        <v>51</v>
      </c>
      <c r="J191" s="2">
        <v>6</v>
      </c>
      <c r="K191" s="5">
        <v>0.15</v>
      </c>
      <c r="L191" s="6">
        <v>1581000</v>
      </c>
      <c r="M191" s="6">
        <v>1140000</v>
      </c>
      <c r="N191" s="6">
        <v>441000</v>
      </c>
      <c r="O191" s="2" t="s">
        <v>45</v>
      </c>
    </row>
    <row r="192" spans="1:15" x14ac:dyDescent="0.35">
      <c r="A192" s="2" t="s">
        <v>301</v>
      </c>
      <c r="B192" s="4">
        <v>46159</v>
      </c>
      <c r="C192" s="2" t="s">
        <v>111</v>
      </c>
      <c r="D192" s="2" t="s">
        <v>31</v>
      </c>
      <c r="E192" s="2" t="s">
        <v>81</v>
      </c>
      <c r="F192" s="2" t="s">
        <v>77</v>
      </c>
      <c r="G192" s="2" t="s">
        <v>71</v>
      </c>
      <c r="H192" s="2" t="s">
        <v>72</v>
      </c>
      <c r="I192" s="2" t="s">
        <v>73</v>
      </c>
      <c r="J192" s="2">
        <v>4</v>
      </c>
      <c r="K192" s="5">
        <v>0.05</v>
      </c>
      <c r="L192" s="6">
        <v>118750</v>
      </c>
      <c r="M192" s="6">
        <v>280000</v>
      </c>
      <c r="N192" s="6">
        <v>-161250</v>
      </c>
      <c r="O192" s="2" t="s">
        <v>52</v>
      </c>
    </row>
    <row r="193" spans="1:15" x14ac:dyDescent="0.35">
      <c r="A193" s="2" t="s">
        <v>302</v>
      </c>
      <c r="B193" s="2" t="s">
        <v>303</v>
      </c>
      <c r="C193" s="2" t="s">
        <v>30</v>
      </c>
      <c r="D193" s="2" t="s">
        <v>31</v>
      </c>
      <c r="E193" s="2" t="s">
        <v>32</v>
      </c>
      <c r="F193" s="2" t="s">
        <v>33</v>
      </c>
      <c r="G193" s="2" t="s">
        <v>78</v>
      </c>
      <c r="H193" s="2" t="s">
        <v>79</v>
      </c>
      <c r="I193" s="2" t="s">
        <v>62</v>
      </c>
      <c r="J193" s="2">
        <v>7</v>
      </c>
      <c r="K193" s="5">
        <v>0.1</v>
      </c>
      <c r="L193" s="6">
        <v>535500</v>
      </c>
      <c r="M193" s="6">
        <v>301000</v>
      </c>
      <c r="N193" s="6">
        <v>234500</v>
      </c>
      <c r="O193" s="2" t="s">
        <v>57</v>
      </c>
    </row>
    <row r="194" spans="1:15" x14ac:dyDescent="0.35">
      <c r="A194" s="2" t="s">
        <v>304</v>
      </c>
      <c r="B194" s="4">
        <v>46036</v>
      </c>
      <c r="C194" s="2" t="s">
        <v>76</v>
      </c>
      <c r="D194" s="2" t="s">
        <v>40</v>
      </c>
      <c r="E194" s="2" t="s">
        <v>41</v>
      </c>
      <c r="F194" s="2" t="s">
        <v>33</v>
      </c>
      <c r="G194" s="2" t="s">
        <v>82</v>
      </c>
      <c r="H194" s="2" t="s">
        <v>83</v>
      </c>
      <c r="I194" s="2" t="s">
        <v>44</v>
      </c>
      <c r="J194" s="2">
        <v>8</v>
      </c>
      <c r="K194" s="5">
        <v>0.05</v>
      </c>
      <c r="L194" s="6">
        <v>11020000</v>
      </c>
      <c r="M194" s="6">
        <v>7840000</v>
      </c>
      <c r="N194" s="6">
        <v>3180000</v>
      </c>
      <c r="O194" s="2" t="s">
        <v>37</v>
      </c>
    </row>
    <row r="195" spans="1:15" x14ac:dyDescent="0.35">
      <c r="A195" s="2" t="s">
        <v>305</v>
      </c>
      <c r="B195" s="4">
        <v>46064</v>
      </c>
      <c r="C195" s="2" t="s">
        <v>39</v>
      </c>
      <c r="D195" s="2" t="s">
        <v>59</v>
      </c>
      <c r="E195" s="2" t="s">
        <v>41</v>
      </c>
      <c r="F195" s="2" t="s">
        <v>112</v>
      </c>
      <c r="G195" s="2" t="s">
        <v>86</v>
      </c>
      <c r="H195" s="2" t="s">
        <v>87</v>
      </c>
      <c r="I195" s="2" t="s">
        <v>36</v>
      </c>
      <c r="J195" s="2">
        <v>5</v>
      </c>
      <c r="K195" s="5">
        <v>0.08</v>
      </c>
      <c r="L195" s="6">
        <v>0</v>
      </c>
      <c r="M195" s="6">
        <v>1050000</v>
      </c>
      <c r="N195" s="6">
        <v>-1050000</v>
      </c>
      <c r="O195" s="2" t="s">
        <v>52</v>
      </c>
    </row>
    <row r="196" spans="1:15" x14ac:dyDescent="0.35">
      <c r="A196" s="2" t="s">
        <v>306</v>
      </c>
      <c r="B196" s="4">
        <v>46112</v>
      </c>
      <c r="C196" s="2" t="s">
        <v>39</v>
      </c>
      <c r="D196" s="2" t="s">
        <v>47</v>
      </c>
      <c r="E196" s="2" t="s">
        <v>81</v>
      </c>
      <c r="F196" s="2" t="s">
        <v>33</v>
      </c>
      <c r="G196" s="2" t="s">
        <v>34</v>
      </c>
      <c r="H196" s="2" t="s">
        <v>35</v>
      </c>
      <c r="I196" s="2" t="s">
        <v>36</v>
      </c>
      <c r="J196" s="2">
        <v>1</v>
      </c>
      <c r="K196" s="5">
        <v>0.08</v>
      </c>
      <c r="L196" s="6">
        <v>437000</v>
      </c>
      <c r="M196" s="6">
        <v>285000</v>
      </c>
      <c r="N196" s="6">
        <v>152000</v>
      </c>
      <c r="O196" s="2" t="s">
        <v>93</v>
      </c>
    </row>
    <row r="197" spans="1:15" x14ac:dyDescent="0.35">
      <c r="A197" s="2" t="s">
        <v>307</v>
      </c>
      <c r="B197" s="4">
        <v>46043</v>
      </c>
      <c r="C197" s="2" t="s">
        <v>30</v>
      </c>
      <c r="D197" s="2" t="s">
        <v>40</v>
      </c>
      <c r="E197" s="2" t="s">
        <v>81</v>
      </c>
      <c r="F197" s="2" t="s">
        <v>33</v>
      </c>
      <c r="G197" s="2" t="s">
        <v>42</v>
      </c>
      <c r="H197" s="2" t="s">
        <v>43</v>
      </c>
      <c r="I197" s="2" t="s">
        <v>44</v>
      </c>
      <c r="J197" s="2">
        <v>6</v>
      </c>
      <c r="K197" s="5">
        <v>0.03</v>
      </c>
      <c r="L197" s="6">
        <v>1600500</v>
      </c>
      <c r="M197" s="6">
        <v>930000</v>
      </c>
      <c r="N197" s="6">
        <v>670500</v>
      </c>
      <c r="O197" s="2" t="s">
        <v>84</v>
      </c>
    </row>
    <row r="198" spans="1:15" x14ac:dyDescent="0.35">
      <c r="A198" s="2" t="s">
        <v>308</v>
      </c>
      <c r="B198" s="4">
        <v>46032</v>
      </c>
      <c r="C198" s="2" t="s">
        <v>111</v>
      </c>
      <c r="D198" s="2" t="s">
        <v>31</v>
      </c>
      <c r="E198" s="2" t="s">
        <v>48</v>
      </c>
      <c r="F198" s="2" t="s">
        <v>33</v>
      </c>
      <c r="G198" s="2" t="s">
        <v>49</v>
      </c>
      <c r="H198" s="2" t="s">
        <v>50</v>
      </c>
      <c r="I198" s="2" t="s">
        <v>51</v>
      </c>
      <c r="J198" s="2">
        <v>5</v>
      </c>
      <c r="K198" s="5">
        <v>0.08</v>
      </c>
      <c r="L198" s="6">
        <v>1127000</v>
      </c>
      <c r="M198" s="6">
        <v>725000</v>
      </c>
      <c r="N198" s="6">
        <v>402000</v>
      </c>
      <c r="O198" s="2" t="s">
        <v>74</v>
      </c>
    </row>
    <row r="199" spans="1:15" x14ac:dyDescent="0.35">
      <c r="A199" s="2" t="s">
        <v>309</v>
      </c>
      <c r="B199" s="4">
        <v>46043</v>
      </c>
      <c r="C199" s="2" t="s">
        <v>69</v>
      </c>
      <c r="D199" s="2" t="s">
        <v>31</v>
      </c>
      <c r="E199" s="2" t="s">
        <v>48</v>
      </c>
      <c r="F199" s="2" t="s">
        <v>33</v>
      </c>
      <c r="G199" s="2" t="s">
        <v>55</v>
      </c>
      <c r="H199" s="2" t="s">
        <v>56</v>
      </c>
      <c r="I199" s="2" t="s">
        <v>36</v>
      </c>
      <c r="J199" s="2">
        <v>1</v>
      </c>
      <c r="K199" s="5">
        <v>0.05</v>
      </c>
      <c r="L199" s="6">
        <v>1757500</v>
      </c>
      <c r="M199" s="6">
        <v>1320000</v>
      </c>
      <c r="N199" s="6">
        <v>437500</v>
      </c>
      <c r="O199" s="2" t="s">
        <v>57</v>
      </c>
    </row>
    <row r="200" spans="1:15" x14ac:dyDescent="0.35">
      <c r="A200" s="2" t="s">
        <v>310</v>
      </c>
      <c r="B200" s="4">
        <v>46083</v>
      </c>
      <c r="C200" s="2" t="s">
        <v>69</v>
      </c>
      <c r="D200" s="2" t="s">
        <v>59</v>
      </c>
      <c r="E200" s="2" t="s">
        <v>48</v>
      </c>
      <c r="F200" s="2" t="s">
        <v>33</v>
      </c>
      <c r="G200" s="2" t="s">
        <v>60</v>
      </c>
      <c r="H200" s="2" t="s">
        <v>61</v>
      </c>
      <c r="I200" s="2" t="s">
        <v>62</v>
      </c>
      <c r="J200" s="2">
        <v>5</v>
      </c>
      <c r="K200" s="5">
        <v>0</v>
      </c>
      <c r="L200" s="6">
        <v>325000</v>
      </c>
      <c r="M200" s="6">
        <v>155000</v>
      </c>
      <c r="N200" s="6">
        <v>170000</v>
      </c>
      <c r="O200" s="2" t="s">
        <v>37</v>
      </c>
    </row>
    <row r="201" spans="1:15" x14ac:dyDescent="0.35">
      <c r="A201" s="2" t="s">
        <v>311</v>
      </c>
      <c r="B201" s="4">
        <v>46150</v>
      </c>
      <c r="C201" s="2" t="s">
        <v>76</v>
      </c>
      <c r="D201" s="2" t="s">
        <v>31</v>
      </c>
      <c r="E201" s="2" t="s">
        <v>32</v>
      </c>
      <c r="F201" s="2" t="s">
        <v>33</v>
      </c>
      <c r="G201" s="2" t="s">
        <v>66</v>
      </c>
      <c r="H201" s="2" t="s">
        <v>67</v>
      </c>
      <c r="I201" s="2" t="s">
        <v>51</v>
      </c>
      <c r="J201" s="2">
        <v>1</v>
      </c>
      <c r="K201" s="5">
        <v>0.15</v>
      </c>
      <c r="L201" s="6">
        <v>263500</v>
      </c>
      <c r="M201" s="6">
        <v>190000</v>
      </c>
      <c r="N201" s="6">
        <v>73500</v>
      </c>
      <c r="O201" s="2" t="s">
        <v>93</v>
      </c>
    </row>
    <row r="202" spans="1:15" x14ac:dyDescent="0.35">
      <c r="A202" s="2" t="s">
        <v>312</v>
      </c>
      <c r="B202" s="4">
        <v>46023</v>
      </c>
      <c r="C202" s="2" t="s">
        <v>54</v>
      </c>
      <c r="D202" s="2" t="s">
        <v>31</v>
      </c>
      <c r="E202" s="2" t="s">
        <v>41</v>
      </c>
      <c r="F202" s="2" t="s">
        <v>33</v>
      </c>
      <c r="G202" s="2" t="s">
        <v>71</v>
      </c>
      <c r="H202" s="2" t="s">
        <v>72</v>
      </c>
      <c r="I202" s="2" t="s">
        <v>73</v>
      </c>
      <c r="J202" s="2">
        <v>6</v>
      </c>
      <c r="K202" s="5">
        <v>0.03</v>
      </c>
      <c r="L202" s="6">
        <v>727500</v>
      </c>
      <c r="M202" s="6">
        <v>420000</v>
      </c>
      <c r="N202" s="6">
        <v>307500</v>
      </c>
      <c r="O202" s="2" t="s">
        <v>37</v>
      </c>
    </row>
    <row r="203" spans="1:15" x14ac:dyDescent="0.35">
      <c r="A203" s="2" t="s">
        <v>313</v>
      </c>
      <c r="B203" s="4">
        <v>46157</v>
      </c>
      <c r="C203" s="2" t="s">
        <v>54</v>
      </c>
      <c r="D203" s="2" t="s">
        <v>40</v>
      </c>
      <c r="E203" s="2" t="s">
        <v>48</v>
      </c>
      <c r="F203" s="2" t="s">
        <v>90</v>
      </c>
      <c r="G203" s="2" t="s">
        <v>78</v>
      </c>
      <c r="H203" s="2" t="s">
        <v>79</v>
      </c>
      <c r="I203" s="2" t="s">
        <v>62</v>
      </c>
      <c r="J203" s="2">
        <v>1</v>
      </c>
      <c r="K203" s="5">
        <v>0.08</v>
      </c>
      <c r="L203" s="6">
        <v>78200</v>
      </c>
      <c r="M203" s="6">
        <v>43000</v>
      </c>
      <c r="N203" s="6">
        <v>35200</v>
      </c>
      <c r="O203" s="2" t="s">
        <v>57</v>
      </c>
    </row>
    <row r="204" spans="1:15" x14ac:dyDescent="0.35">
      <c r="A204" s="2" t="s">
        <v>314</v>
      </c>
      <c r="B204" s="4">
        <v>46027</v>
      </c>
      <c r="C204" s="2" t="s">
        <v>30</v>
      </c>
      <c r="D204" s="2" t="s">
        <v>40</v>
      </c>
      <c r="E204" s="2" t="s">
        <v>81</v>
      </c>
      <c r="F204" s="2" t="s">
        <v>33</v>
      </c>
      <c r="G204" s="2" t="s">
        <v>82</v>
      </c>
      <c r="H204" s="2" t="s">
        <v>83</v>
      </c>
      <c r="I204" s="2" t="s">
        <v>44</v>
      </c>
      <c r="J204" s="2">
        <v>6</v>
      </c>
      <c r="K204" s="5">
        <v>0</v>
      </c>
      <c r="L204" s="6">
        <v>8700000</v>
      </c>
      <c r="M204" s="6">
        <v>5880000</v>
      </c>
      <c r="N204" s="6">
        <v>2820000</v>
      </c>
      <c r="O204" s="2" t="s">
        <v>74</v>
      </c>
    </row>
    <row r="205" spans="1:15" x14ac:dyDescent="0.35">
      <c r="A205" s="2" t="s">
        <v>315</v>
      </c>
      <c r="B205" s="4">
        <v>46113</v>
      </c>
      <c r="C205" s="2" t="s">
        <v>30</v>
      </c>
      <c r="D205" s="2" t="s">
        <v>59</v>
      </c>
      <c r="E205" s="2" t="s">
        <v>48</v>
      </c>
      <c r="F205" s="2" t="s">
        <v>33</v>
      </c>
      <c r="G205" s="2" t="s">
        <v>86</v>
      </c>
      <c r="H205" s="2" t="s">
        <v>87</v>
      </c>
      <c r="I205" s="2" t="s">
        <v>36</v>
      </c>
      <c r="J205" s="2">
        <v>6</v>
      </c>
      <c r="K205" s="5">
        <v>0.15</v>
      </c>
      <c r="L205" s="6">
        <v>1785000</v>
      </c>
      <c r="M205" s="6">
        <v>1260000</v>
      </c>
      <c r="N205" s="6">
        <v>525000</v>
      </c>
      <c r="O205" s="2" t="s">
        <v>84</v>
      </c>
    </row>
    <row r="206" spans="1:15" x14ac:dyDescent="0.35">
      <c r="A206" s="2" t="s">
        <v>316</v>
      </c>
      <c r="B206" s="4">
        <v>46039</v>
      </c>
      <c r="C206" s="2" t="s">
        <v>95</v>
      </c>
      <c r="D206" s="2" t="s">
        <v>40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36</v>
      </c>
      <c r="J206" s="2">
        <v>8</v>
      </c>
      <c r="K206" s="5">
        <v>0</v>
      </c>
      <c r="L206" s="6"/>
      <c r="M206" s="6">
        <v>2280000</v>
      </c>
      <c r="N206" s="6">
        <v>1520000</v>
      </c>
      <c r="O206" s="2" t="s">
        <v>63</v>
      </c>
    </row>
    <row r="207" spans="1:15" x14ac:dyDescent="0.35">
      <c r="A207" s="2" t="s">
        <v>317</v>
      </c>
      <c r="B207" s="4">
        <v>46102</v>
      </c>
      <c r="C207" s="2" t="s">
        <v>76</v>
      </c>
      <c r="D207" s="2" t="s">
        <v>40</v>
      </c>
      <c r="E207" s="2" t="s">
        <v>32</v>
      </c>
      <c r="F207" s="2" t="s">
        <v>33</v>
      </c>
      <c r="G207" s="2" t="s">
        <v>42</v>
      </c>
      <c r="H207" s="2" t="s">
        <v>43</v>
      </c>
      <c r="I207" s="2" t="s">
        <v>44</v>
      </c>
      <c r="J207" s="2">
        <v>7</v>
      </c>
      <c r="K207" s="5">
        <v>0.1</v>
      </c>
      <c r="L207" s="6">
        <v>1732500</v>
      </c>
      <c r="M207" s="6">
        <v>1085000</v>
      </c>
      <c r="N207" s="6">
        <v>647500</v>
      </c>
      <c r="O207" s="2" t="s">
        <v>63</v>
      </c>
    </row>
    <row r="208" spans="1:15" x14ac:dyDescent="0.35">
      <c r="A208" s="2" t="s">
        <v>318</v>
      </c>
      <c r="B208" s="4">
        <v>46035</v>
      </c>
      <c r="C208" s="2" t="s">
        <v>65</v>
      </c>
      <c r="D208" s="2" t="s">
        <v>70</v>
      </c>
      <c r="E208" s="2" t="s">
        <v>48</v>
      </c>
      <c r="F208" s="2" t="s">
        <v>33</v>
      </c>
      <c r="G208" s="2" t="s">
        <v>49</v>
      </c>
      <c r="H208" s="2" t="s">
        <v>50</v>
      </c>
      <c r="I208" s="2" t="s">
        <v>51</v>
      </c>
      <c r="J208" s="2">
        <v>6</v>
      </c>
      <c r="K208" s="5">
        <v>0.05</v>
      </c>
      <c r="L208" s="6">
        <v>1396500</v>
      </c>
      <c r="M208" s="6">
        <v>870000</v>
      </c>
      <c r="N208" s="6">
        <v>526500</v>
      </c>
      <c r="O208" s="2" t="s">
        <v>52</v>
      </c>
    </row>
    <row r="209" spans="1:15" x14ac:dyDescent="0.35">
      <c r="A209" s="2" t="s">
        <v>319</v>
      </c>
      <c r="B209" s="4">
        <v>46121</v>
      </c>
      <c r="C209" s="2" t="s">
        <v>76</v>
      </c>
      <c r="D209" s="2" t="s">
        <v>59</v>
      </c>
      <c r="E209" s="2" t="s">
        <v>81</v>
      </c>
      <c r="F209" s="2" t="s">
        <v>33</v>
      </c>
      <c r="G209" s="2" t="s">
        <v>55</v>
      </c>
      <c r="H209" s="2" t="s">
        <v>56</v>
      </c>
      <c r="I209" s="2" t="s">
        <v>36</v>
      </c>
      <c r="J209" s="2">
        <v>6</v>
      </c>
      <c r="K209" s="5">
        <v>0.03</v>
      </c>
      <c r="L209" s="6">
        <v>10767000</v>
      </c>
      <c r="M209" s="6">
        <v>7920000</v>
      </c>
      <c r="N209" s="6">
        <v>2847000</v>
      </c>
      <c r="O209" s="2" t="s">
        <v>37</v>
      </c>
    </row>
    <row r="210" spans="1:15" x14ac:dyDescent="0.35">
      <c r="A210" s="2" t="s">
        <v>320</v>
      </c>
      <c r="B210" s="4">
        <v>46131</v>
      </c>
      <c r="C210" s="2" t="s">
        <v>54</v>
      </c>
      <c r="D210" s="2" t="s">
        <v>31</v>
      </c>
      <c r="E210" s="2" t="s">
        <v>81</v>
      </c>
      <c r="F210" s="2" t="s">
        <v>33</v>
      </c>
      <c r="G210" s="2" t="s">
        <v>60</v>
      </c>
      <c r="H210" s="2" t="s">
        <v>61</v>
      </c>
      <c r="I210" s="2" t="s">
        <v>62</v>
      </c>
      <c r="J210" s="2">
        <v>2</v>
      </c>
      <c r="K210" s="5">
        <v>0.08</v>
      </c>
      <c r="L210" s="6" t="s">
        <v>321</v>
      </c>
      <c r="M210" s="6">
        <v>62000</v>
      </c>
      <c r="N210" s="6">
        <v>57600</v>
      </c>
      <c r="O210" s="2" t="s">
        <v>37</v>
      </c>
    </row>
    <row r="211" spans="1:15" x14ac:dyDescent="0.35">
      <c r="A211" s="2" t="s">
        <v>322</v>
      </c>
      <c r="B211" s="4">
        <v>46043</v>
      </c>
      <c r="C211" s="2" t="s">
        <v>30</v>
      </c>
      <c r="D211" s="2" t="s">
        <v>59</v>
      </c>
      <c r="E211" s="2" t="s">
        <v>48</v>
      </c>
      <c r="F211" s="2" t="s">
        <v>33</v>
      </c>
      <c r="G211" s="2" t="s">
        <v>66</v>
      </c>
      <c r="H211" s="2" t="s">
        <v>67</v>
      </c>
      <c r="I211" s="2" t="s">
        <v>51</v>
      </c>
      <c r="J211" s="2">
        <v>6</v>
      </c>
      <c r="K211" s="5">
        <v>0.15</v>
      </c>
      <c r="L211" s="6">
        <v>1581000</v>
      </c>
      <c r="M211" s="6">
        <v>1140000</v>
      </c>
      <c r="N211" s="6">
        <v>441000</v>
      </c>
      <c r="O211" s="2" t="s">
        <v>52</v>
      </c>
    </row>
    <row r="212" spans="1:15" x14ac:dyDescent="0.35">
      <c r="A212" s="2" t="s">
        <v>323</v>
      </c>
      <c r="B212" s="4">
        <v>46112</v>
      </c>
      <c r="C212" s="2" t="s">
        <v>76</v>
      </c>
      <c r="D212" s="2" t="s">
        <v>70</v>
      </c>
      <c r="E212" s="2" t="s">
        <v>48</v>
      </c>
      <c r="F212" s="2" t="s">
        <v>33</v>
      </c>
      <c r="G212" s="2" t="s">
        <v>71</v>
      </c>
      <c r="H212" s="2" t="s">
        <v>72</v>
      </c>
      <c r="I212" s="2" t="s">
        <v>73</v>
      </c>
      <c r="J212" s="2">
        <v>8</v>
      </c>
      <c r="K212" s="5">
        <v>0</v>
      </c>
      <c r="L212" s="6">
        <v>1000000</v>
      </c>
      <c r="M212" s="6">
        <v>560000</v>
      </c>
      <c r="N212" s="6">
        <v>440000</v>
      </c>
      <c r="O212" s="2" t="s">
        <v>74</v>
      </c>
    </row>
    <row r="213" spans="1:15" x14ac:dyDescent="0.35">
      <c r="A213" s="2" t="s">
        <v>324</v>
      </c>
      <c r="B213" s="4">
        <v>46042</v>
      </c>
      <c r="C213" s="2" t="s">
        <v>30</v>
      </c>
      <c r="D213" s="2" t="s">
        <v>325</v>
      </c>
      <c r="E213" s="2" t="s">
        <v>41</v>
      </c>
      <c r="F213" s="2" t="s">
        <v>33</v>
      </c>
      <c r="G213" s="2" t="s">
        <v>78</v>
      </c>
      <c r="H213" s="2" t="s">
        <v>79</v>
      </c>
      <c r="I213" s="2" t="s">
        <v>62</v>
      </c>
      <c r="J213" s="2">
        <v>7</v>
      </c>
      <c r="K213" s="5">
        <v>0.05</v>
      </c>
      <c r="L213" s="6">
        <v>565250</v>
      </c>
      <c r="M213" s="6">
        <v>301000</v>
      </c>
      <c r="N213" s="6">
        <v>264250</v>
      </c>
      <c r="O213" s="2" t="s">
        <v>52</v>
      </c>
    </row>
    <row r="214" spans="1:15" x14ac:dyDescent="0.35">
      <c r="A214" s="2" t="s">
        <v>326</v>
      </c>
      <c r="B214" s="4">
        <v>46031</v>
      </c>
      <c r="C214" s="2" t="s">
        <v>65</v>
      </c>
      <c r="D214" s="2" t="s">
        <v>70</v>
      </c>
      <c r="E214" s="2" t="s">
        <v>81</v>
      </c>
      <c r="F214" s="2" t="s">
        <v>33</v>
      </c>
      <c r="G214" s="2" t="s">
        <v>82</v>
      </c>
      <c r="H214" s="2" t="s">
        <v>83</v>
      </c>
      <c r="I214" s="2" t="s">
        <v>44</v>
      </c>
      <c r="J214" s="2">
        <v>3</v>
      </c>
      <c r="K214" s="5">
        <v>0</v>
      </c>
      <c r="L214" s="6">
        <v>4350000</v>
      </c>
      <c r="M214" s="6">
        <v>2940000</v>
      </c>
      <c r="N214" s="6">
        <v>1410000</v>
      </c>
      <c r="O214" s="2" t="s">
        <v>74</v>
      </c>
    </row>
    <row r="215" spans="1:15" x14ac:dyDescent="0.35">
      <c r="A215" s="2" t="s">
        <v>327</v>
      </c>
      <c r="B215" s="4">
        <v>46177</v>
      </c>
      <c r="C215" s="2" t="s">
        <v>111</v>
      </c>
      <c r="D215" s="2" t="s">
        <v>70</v>
      </c>
      <c r="E215" s="2" t="s">
        <v>81</v>
      </c>
      <c r="F215" s="2" t="s">
        <v>122</v>
      </c>
      <c r="G215" s="2" t="s">
        <v>86</v>
      </c>
      <c r="H215" s="2" t="s">
        <v>87</v>
      </c>
      <c r="I215" s="2" t="s">
        <v>36</v>
      </c>
      <c r="J215" s="2">
        <v>3</v>
      </c>
      <c r="K215" s="5">
        <v>0.15</v>
      </c>
      <c r="L215" s="6">
        <v>892500</v>
      </c>
      <c r="M215" s="6">
        <v>630000</v>
      </c>
      <c r="N215" s="6">
        <v>262500</v>
      </c>
      <c r="O215" s="2" t="s">
        <v>37</v>
      </c>
    </row>
    <row r="216" spans="1:15" x14ac:dyDescent="0.35">
      <c r="A216" s="2" t="s">
        <v>328</v>
      </c>
      <c r="B216" s="4">
        <v>46169</v>
      </c>
      <c r="C216" s="2" t="s">
        <v>39</v>
      </c>
      <c r="D216" s="2" t="s">
        <v>70</v>
      </c>
      <c r="E216" s="2" t="s">
        <v>81</v>
      </c>
      <c r="F216" s="2" t="s">
        <v>33</v>
      </c>
      <c r="G216" s="2" t="s">
        <v>34</v>
      </c>
      <c r="H216" s="2" t="s">
        <v>35</v>
      </c>
      <c r="I216" s="2" t="s">
        <v>36</v>
      </c>
      <c r="J216" s="2">
        <v>3</v>
      </c>
      <c r="K216" s="5">
        <v>0.1</v>
      </c>
      <c r="L216" s="6">
        <v>1282500</v>
      </c>
      <c r="M216" s="6">
        <v>855000</v>
      </c>
      <c r="N216" s="6">
        <v>427500</v>
      </c>
      <c r="O216" s="2" t="s">
        <v>37</v>
      </c>
    </row>
    <row r="217" spans="1:15" x14ac:dyDescent="0.35">
      <c r="A217" s="2" t="s">
        <v>329</v>
      </c>
      <c r="B217" s="4">
        <v>46029</v>
      </c>
      <c r="C217" s="2" t="s">
        <v>76</v>
      </c>
      <c r="D217" s="2" t="s">
        <v>47</v>
      </c>
      <c r="E217" s="2" t="s">
        <v>41</v>
      </c>
      <c r="F217" s="2" t="s">
        <v>33</v>
      </c>
      <c r="G217" s="2" t="s">
        <v>42</v>
      </c>
      <c r="H217" s="2" t="s">
        <v>43</v>
      </c>
      <c r="I217" s="2" t="s">
        <v>279</v>
      </c>
      <c r="J217" s="2">
        <v>3</v>
      </c>
      <c r="K217" s="5">
        <v>0.08</v>
      </c>
      <c r="L217" s="6">
        <v>759000</v>
      </c>
      <c r="M217" s="6">
        <v>465000</v>
      </c>
      <c r="N217" s="6">
        <v>294000</v>
      </c>
      <c r="O217" s="2" t="s">
        <v>57</v>
      </c>
    </row>
    <row r="218" spans="1:15" x14ac:dyDescent="0.35">
      <c r="A218" s="2" t="s">
        <v>330</v>
      </c>
      <c r="B218" s="4">
        <v>46203</v>
      </c>
      <c r="C218" s="2" t="s">
        <v>69</v>
      </c>
      <c r="D218" s="2" t="s">
        <v>59</v>
      </c>
      <c r="E218" s="2" t="s">
        <v>32</v>
      </c>
      <c r="F218" s="2" t="s">
        <v>77</v>
      </c>
      <c r="G218" s="2" t="s">
        <v>331</v>
      </c>
      <c r="H218" s="2" t="s">
        <v>50</v>
      </c>
      <c r="I218" s="2" t="s">
        <v>51</v>
      </c>
      <c r="J218" s="2">
        <v>8</v>
      </c>
      <c r="K218" s="5">
        <v>0.03</v>
      </c>
      <c r="L218" s="6">
        <v>475300</v>
      </c>
      <c r="M218" s="6">
        <v>1160000</v>
      </c>
      <c r="N218" s="6">
        <v>-684700</v>
      </c>
      <c r="O218" s="2" t="s">
        <v>84</v>
      </c>
    </row>
    <row r="219" spans="1:15" x14ac:dyDescent="0.35">
      <c r="A219" s="2" t="s">
        <v>332</v>
      </c>
      <c r="B219" s="4">
        <v>46041</v>
      </c>
      <c r="C219" s="2" t="s">
        <v>54</v>
      </c>
      <c r="D219" s="2" t="s">
        <v>40</v>
      </c>
      <c r="E219" s="2" t="s">
        <v>81</v>
      </c>
      <c r="F219" s="2" t="s">
        <v>112</v>
      </c>
      <c r="G219" s="2" t="s">
        <v>55</v>
      </c>
      <c r="H219" s="2" t="s">
        <v>56</v>
      </c>
      <c r="I219" s="2" t="s">
        <v>36</v>
      </c>
      <c r="J219" s="2">
        <v>8</v>
      </c>
      <c r="K219" s="5">
        <v>0.03</v>
      </c>
      <c r="L219" s="6">
        <v>3589000</v>
      </c>
      <c r="M219" s="6">
        <v>10560000</v>
      </c>
      <c r="N219" s="6">
        <v>-6971000</v>
      </c>
      <c r="O219" s="2" t="s">
        <v>37</v>
      </c>
    </row>
    <row r="220" spans="1:15" x14ac:dyDescent="0.35">
      <c r="A220" s="2" t="s">
        <v>333</v>
      </c>
      <c r="B220" s="4">
        <v>46163</v>
      </c>
      <c r="C220" s="2" t="s">
        <v>39</v>
      </c>
      <c r="D220" s="2" t="s">
        <v>31</v>
      </c>
      <c r="E220" s="2" t="s">
        <v>283</v>
      </c>
      <c r="F220" s="2" t="s">
        <v>90</v>
      </c>
      <c r="G220" s="2" t="s">
        <v>60</v>
      </c>
      <c r="H220" s="2" t="s">
        <v>61</v>
      </c>
      <c r="I220" s="2" t="s">
        <v>62</v>
      </c>
      <c r="J220" s="2">
        <v>5</v>
      </c>
      <c r="K220" s="5">
        <v>0.05</v>
      </c>
      <c r="L220" s="6">
        <v>308750</v>
      </c>
      <c r="M220" s="6">
        <v>155000</v>
      </c>
      <c r="N220" s="6">
        <v>153750</v>
      </c>
      <c r="O220" s="2" t="s">
        <v>37</v>
      </c>
    </row>
    <row r="221" spans="1:15" x14ac:dyDescent="0.35">
      <c r="A221" s="2" t="s">
        <v>334</v>
      </c>
      <c r="B221" s="4">
        <v>46074</v>
      </c>
      <c r="C221" s="2" t="s">
        <v>54</v>
      </c>
      <c r="D221" s="2" t="s">
        <v>40</v>
      </c>
      <c r="E221" s="2" t="s">
        <v>81</v>
      </c>
      <c r="F221" s="2" t="s">
        <v>90</v>
      </c>
      <c r="G221" s="2" t="s">
        <v>66</v>
      </c>
      <c r="H221" s="2" t="s">
        <v>67</v>
      </c>
      <c r="I221" s="2" t="s">
        <v>51</v>
      </c>
      <c r="J221" s="2">
        <v>3</v>
      </c>
      <c r="K221" s="5">
        <v>0.03</v>
      </c>
      <c r="L221" s="6">
        <v>902100</v>
      </c>
      <c r="M221" s="6">
        <v>570000</v>
      </c>
      <c r="N221" s="6">
        <v>332100</v>
      </c>
      <c r="O221" s="2" t="s">
        <v>52</v>
      </c>
    </row>
    <row r="222" spans="1:15" x14ac:dyDescent="0.35">
      <c r="A222" s="2" t="s">
        <v>335</v>
      </c>
      <c r="B222" s="4">
        <v>46164</v>
      </c>
      <c r="C222" s="2" t="s">
        <v>65</v>
      </c>
      <c r="D222" s="2" t="s">
        <v>40</v>
      </c>
      <c r="E222" s="2" t="s">
        <v>81</v>
      </c>
      <c r="F222" s="2" t="s">
        <v>90</v>
      </c>
      <c r="G222" s="2" t="s">
        <v>71</v>
      </c>
      <c r="H222" s="2" t="s">
        <v>72</v>
      </c>
      <c r="I222" s="2" t="s">
        <v>73</v>
      </c>
      <c r="J222" s="2">
        <v>3</v>
      </c>
      <c r="K222" s="5">
        <v>0.1</v>
      </c>
      <c r="L222" s="6">
        <v>337500</v>
      </c>
      <c r="M222" s="6">
        <v>210000</v>
      </c>
      <c r="N222" s="6">
        <v>127500</v>
      </c>
      <c r="O222" s="2" t="s">
        <v>52</v>
      </c>
    </row>
    <row r="223" spans="1:15" x14ac:dyDescent="0.35">
      <c r="A223" s="2" t="s">
        <v>336</v>
      </c>
      <c r="B223" s="4">
        <v>46157</v>
      </c>
      <c r="C223" s="2" t="s">
        <v>54</v>
      </c>
      <c r="D223" s="2" t="s">
        <v>40</v>
      </c>
      <c r="E223" s="2" t="s">
        <v>32</v>
      </c>
      <c r="F223" s="2" t="s">
        <v>90</v>
      </c>
      <c r="G223" s="2" t="s">
        <v>78</v>
      </c>
      <c r="H223" s="2" t="s">
        <v>79</v>
      </c>
      <c r="I223" s="2" t="s">
        <v>62</v>
      </c>
      <c r="J223" s="2">
        <v>7</v>
      </c>
      <c r="K223" s="5">
        <v>0.08</v>
      </c>
      <c r="L223" s="6">
        <v>547400</v>
      </c>
      <c r="M223" s="6">
        <v>301000</v>
      </c>
      <c r="N223" s="6">
        <v>246400</v>
      </c>
      <c r="O223" s="2" t="s">
        <v>37</v>
      </c>
    </row>
    <row r="224" spans="1:15" x14ac:dyDescent="0.35">
      <c r="A224" s="2" t="s">
        <v>337</v>
      </c>
      <c r="B224" s="4">
        <v>46138</v>
      </c>
      <c r="C224" s="2" t="s">
        <v>30</v>
      </c>
      <c r="D224" s="2" t="s">
        <v>31</v>
      </c>
      <c r="E224" s="2" t="s">
        <v>32</v>
      </c>
      <c r="F224" s="2" t="s">
        <v>33</v>
      </c>
      <c r="G224" s="2" t="s">
        <v>82</v>
      </c>
      <c r="H224" s="2" t="s">
        <v>83</v>
      </c>
      <c r="I224" s="2" t="s">
        <v>44</v>
      </c>
      <c r="J224" s="2">
        <v>8</v>
      </c>
      <c r="K224" s="5">
        <v>0.15</v>
      </c>
      <c r="L224" s="6">
        <v>9860000</v>
      </c>
      <c r="M224" s="6">
        <v>7840000</v>
      </c>
      <c r="N224" s="6">
        <v>2020000</v>
      </c>
      <c r="O224" s="2" t="s">
        <v>93</v>
      </c>
    </row>
    <row r="225" spans="1:15" x14ac:dyDescent="0.35">
      <c r="A225" s="2" t="s">
        <v>338</v>
      </c>
      <c r="B225" s="4">
        <v>46151</v>
      </c>
      <c r="C225" s="2" t="s">
        <v>30</v>
      </c>
      <c r="D225" s="2" t="s">
        <v>70</v>
      </c>
      <c r="E225" s="2" t="s">
        <v>32</v>
      </c>
      <c r="F225" s="2" t="s">
        <v>33</v>
      </c>
      <c r="G225" s="2" t="s">
        <v>86</v>
      </c>
      <c r="H225" s="2" t="s">
        <v>87</v>
      </c>
      <c r="I225" s="2" t="s">
        <v>36</v>
      </c>
      <c r="J225" s="2">
        <v>1</v>
      </c>
      <c r="K225" s="5">
        <v>0</v>
      </c>
      <c r="L225" s="6">
        <v>350000</v>
      </c>
      <c r="M225" s="6">
        <v>210000</v>
      </c>
      <c r="N225" s="6">
        <v>140000</v>
      </c>
      <c r="O225" s="2" t="s">
        <v>63</v>
      </c>
    </row>
    <row r="226" spans="1:15" x14ac:dyDescent="0.35">
      <c r="A226" s="2" t="s">
        <v>339</v>
      </c>
      <c r="B226" s="4">
        <v>46080</v>
      </c>
      <c r="C226" s="2" t="s">
        <v>76</v>
      </c>
      <c r="D226" s="2" t="s">
        <v>70</v>
      </c>
      <c r="E226" s="2" t="s">
        <v>32</v>
      </c>
      <c r="F226" s="2" t="s">
        <v>112</v>
      </c>
      <c r="G226" s="2" t="s">
        <v>34</v>
      </c>
      <c r="H226" s="2" t="s">
        <v>35</v>
      </c>
      <c r="I226" s="2" t="s">
        <v>36</v>
      </c>
      <c r="J226" s="2">
        <v>6</v>
      </c>
      <c r="K226" s="5">
        <v>0.1</v>
      </c>
      <c r="L226" s="6">
        <v>0</v>
      </c>
      <c r="M226" s="6">
        <v>1710000</v>
      </c>
      <c r="N226" s="6">
        <v>-1710000</v>
      </c>
      <c r="O226" s="2" t="s">
        <v>84</v>
      </c>
    </row>
    <row r="227" spans="1:15" x14ac:dyDescent="0.35">
      <c r="A227" s="2" t="s">
        <v>340</v>
      </c>
      <c r="B227" s="4">
        <v>46183</v>
      </c>
      <c r="C227" s="2" t="s">
        <v>30</v>
      </c>
      <c r="D227" s="2" t="s">
        <v>47</v>
      </c>
      <c r="E227" s="2" t="s">
        <v>32</v>
      </c>
      <c r="F227" s="2" t="s">
        <v>33</v>
      </c>
      <c r="G227" s="2" t="s">
        <v>42</v>
      </c>
      <c r="H227" s="2" t="s">
        <v>43</v>
      </c>
      <c r="I227" s="2" t="s">
        <v>44</v>
      </c>
      <c r="J227" s="2">
        <v>5</v>
      </c>
      <c r="K227" s="5">
        <v>0.1</v>
      </c>
      <c r="L227" s="6">
        <v>1237500</v>
      </c>
      <c r="M227" s="6">
        <v>775000</v>
      </c>
      <c r="N227" s="6">
        <v>462500</v>
      </c>
      <c r="O227" s="2" t="s">
        <v>84</v>
      </c>
    </row>
    <row r="228" spans="1:15" x14ac:dyDescent="0.35">
      <c r="A228" s="2" t="s">
        <v>341</v>
      </c>
      <c r="B228" s="4">
        <v>46191</v>
      </c>
      <c r="C228" s="2" t="s">
        <v>95</v>
      </c>
      <c r="D228" s="2" t="s">
        <v>40</v>
      </c>
      <c r="E228" s="2" t="s">
        <v>41</v>
      </c>
      <c r="F228" s="2" t="s">
        <v>33</v>
      </c>
      <c r="G228" s="2" t="s">
        <v>49</v>
      </c>
      <c r="H228" s="2" t="s">
        <v>50</v>
      </c>
      <c r="I228" s="2" t="s">
        <v>51</v>
      </c>
      <c r="J228" s="2">
        <v>6</v>
      </c>
      <c r="K228" s="5">
        <v>0.1</v>
      </c>
      <c r="L228" s="6">
        <v>1323000</v>
      </c>
      <c r="M228" s="6">
        <v>870000</v>
      </c>
      <c r="N228" s="6">
        <v>453000</v>
      </c>
      <c r="O228" s="2" t="s">
        <v>57</v>
      </c>
    </row>
    <row r="229" spans="1:15" x14ac:dyDescent="0.35">
      <c r="A229" s="2" t="s">
        <v>342</v>
      </c>
      <c r="B229" s="4">
        <v>46189</v>
      </c>
      <c r="C229" s="2" t="s">
        <v>76</v>
      </c>
      <c r="D229" s="2" t="s">
        <v>40</v>
      </c>
      <c r="E229" s="2" t="s">
        <v>48</v>
      </c>
      <c r="F229" s="2" t="s">
        <v>33</v>
      </c>
      <c r="G229" s="2" t="s">
        <v>55</v>
      </c>
      <c r="H229" s="2" t="s">
        <v>56</v>
      </c>
      <c r="I229" s="2" t="s">
        <v>36</v>
      </c>
      <c r="J229" s="2">
        <v>4</v>
      </c>
      <c r="K229" s="5">
        <v>0.1</v>
      </c>
      <c r="L229" s="6">
        <v>6660000</v>
      </c>
      <c r="M229" s="6">
        <v>5280000</v>
      </c>
      <c r="N229" s="6">
        <v>1380000</v>
      </c>
      <c r="O229" s="2" t="s">
        <v>57</v>
      </c>
    </row>
    <row r="230" spans="1:15" x14ac:dyDescent="0.35">
      <c r="A230" s="2" t="s">
        <v>343</v>
      </c>
      <c r="B230" s="4">
        <v>46146</v>
      </c>
      <c r="C230" s="2" t="s">
        <v>95</v>
      </c>
      <c r="D230" s="2" t="s">
        <v>59</v>
      </c>
      <c r="E230" s="2" t="s">
        <v>41</v>
      </c>
      <c r="F230" s="2" t="s">
        <v>33</v>
      </c>
      <c r="G230" s="2" t="s">
        <v>60</v>
      </c>
      <c r="H230" s="2" t="s">
        <v>61</v>
      </c>
      <c r="I230" s="2" t="s">
        <v>62</v>
      </c>
      <c r="J230" s="2">
        <v>4</v>
      </c>
      <c r="K230" s="5">
        <v>0.15</v>
      </c>
      <c r="L230" s="6">
        <v>221000</v>
      </c>
      <c r="M230" s="6">
        <v>124000</v>
      </c>
      <c r="N230" s="6">
        <v>97000</v>
      </c>
      <c r="O230" s="2" t="s">
        <v>84</v>
      </c>
    </row>
    <row r="231" spans="1:15" x14ac:dyDescent="0.35">
      <c r="A231" s="2" t="s">
        <v>344</v>
      </c>
      <c r="B231" s="4">
        <v>46135</v>
      </c>
      <c r="C231" s="2" t="s">
        <v>54</v>
      </c>
      <c r="D231" s="2" t="s">
        <v>70</v>
      </c>
      <c r="E231" s="2" t="s">
        <v>32</v>
      </c>
      <c r="F231" s="2" t="s">
        <v>33</v>
      </c>
      <c r="G231" s="2" t="s">
        <v>66</v>
      </c>
      <c r="H231" s="2" t="s">
        <v>67</v>
      </c>
      <c r="I231" s="2" t="s">
        <v>51</v>
      </c>
      <c r="J231" s="2">
        <v>7</v>
      </c>
      <c r="K231" s="5">
        <v>0.08</v>
      </c>
      <c r="L231" s="6">
        <v>1996400</v>
      </c>
      <c r="M231" s="6">
        <v>1330000</v>
      </c>
      <c r="N231" s="6">
        <v>666400</v>
      </c>
      <c r="O231" s="2" t="s">
        <v>63</v>
      </c>
    </row>
    <row r="232" spans="1:15" x14ac:dyDescent="0.35">
      <c r="A232" s="2" t="s">
        <v>345</v>
      </c>
      <c r="B232" s="4">
        <v>46111</v>
      </c>
      <c r="C232" s="2" t="s">
        <v>54</v>
      </c>
      <c r="D232" s="2" t="s">
        <v>47</v>
      </c>
      <c r="E232" s="2" t="s">
        <v>41</v>
      </c>
      <c r="F232" s="2" t="s">
        <v>33</v>
      </c>
      <c r="G232" s="2" t="s">
        <v>71</v>
      </c>
      <c r="H232" s="2" t="s">
        <v>72</v>
      </c>
      <c r="I232" s="2" t="s">
        <v>73</v>
      </c>
      <c r="J232" s="2">
        <v>7</v>
      </c>
      <c r="K232" s="5">
        <v>0.03</v>
      </c>
      <c r="L232" s="6">
        <v>848750</v>
      </c>
      <c r="M232" s="6">
        <v>490000</v>
      </c>
      <c r="N232" s="6">
        <v>358750</v>
      </c>
      <c r="O232" s="2" t="s">
        <v>45</v>
      </c>
    </row>
    <row r="233" spans="1:15" x14ac:dyDescent="0.35">
      <c r="A233" s="2" t="s">
        <v>346</v>
      </c>
      <c r="B233" s="4">
        <v>46142</v>
      </c>
      <c r="C233" s="2" t="s">
        <v>95</v>
      </c>
      <c r="D233" s="2" t="s">
        <v>31</v>
      </c>
      <c r="E233" s="2" t="s">
        <v>41</v>
      </c>
      <c r="F233" s="2" t="s">
        <v>33</v>
      </c>
      <c r="G233" s="2" t="s">
        <v>78</v>
      </c>
      <c r="H233" s="2" t="s">
        <v>79</v>
      </c>
      <c r="I233" s="2" t="s">
        <v>62</v>
      </c>
      <c r="J233" s="2">
        <v>2</v>
      </c>
      <c r="K233" s="5">
        <v>0.05</v>
      </c>
      <c r="L233" s="6">
        <v>161500</v>
      </c>
      <c r="M233" s="6">
        <v>86000</v>
      </c>
      <c r="N233" s="6">
        <v>75500</v>
      </c>
      <c r="O233" s="2" t="s">
        <v>57</v>
      </c>
    </row>
    <row r="234" spans="1:15" x14ac:dyDescent="0.35">
      <c r="A234" s="2" t="s">
        <v>347</v>
      </c>
      <c r="B234" s="4">
        <v>46121</v>
      </c>
      <c r="C234" s="2" t="s">
        <v>39</v>
      </c>
      <c r="D234" s="2" t="s">
        <v>70</v>
      </c>
      <c r="E234" s="2" t="s">
        <v>81</v>
      </c>
      <c r="F234" s="2" t="s">
        <v>77</v>
      </c>
      <c r="G234" s="2" t="s">
        <v>82</v>
      </c>
      <c r="H234" s="2" t="s">
        <v>83</v>
      </c>
      <c r="I234" s="2" t="s">
        <v>44</v>
      </c>
      <c r="J234" s="2">
        <v>7</v>
      </c>
      <c r="K234" s="5">
        <v>0.03</v>
      </c>
      <c r="L234" s="6">
        <v>0</v>
      </c>
      <c r="M234" s="6">
        <v>6860000</v>
      </c>
      <c r="N234" s="6">
        <v>-6860000</v>
      </c>
      <c r="O234" s="2" t="s">
        <v>84</v>
      </c>
    </row>
    <row r="235" spans="1:15" x14ac:dyDescent="0.35">
      <c r="A235" s="2" t="s">
        <v>348</v>
      </c>
      <c r="B235" s="4">
        <v>46150</v>
      </c>
      <c r="C235" s="2" t="s">
        <v>69</v>
      </c>
      <c r="D235" s="2" t="s">
        <v>59</v>
      </c>
      <c r="E235" s="2" t="s">
        <v>41</v>
      </c>
      <c r="F235" s="2" t="s">
        <v>90</v>
      </c>
      <c r="G235" s="2" t="s">
        <v>86</v>
      </c>
      <c r="H235" s="2" t="s">
        <v>87</v>
      </c>
      <c r="I235" s="2" t="s">
        <v>36</v>
      </c>
      <c r="J235" s="2">
        <v>8</v>
      </c>
      <c r="K235" s="5">
        <v>0.08</v>
      </c>
      <c r="L235" s="6">
        <v>2576000</v>
      </c>
      <c r="M235" s="6">
        <v>1680000</v>
      </c>
      <c r="N235" s="6">
        <v>896000</v>
      </c>
      <c r="O235" s="2" t="s">
        <v>93</v>
      </c>
    </row>
    <row r="236" spans="1:15" x14ac:dyDescent="0.35">
      <c r="A236" s="2" t="s">
        <v>349</v>
      </c>
      <c r="B236" s="4">
        <v>46152</v>
      </c>
      <c r="C236" s="2" t="s">
        <v>95</v>
      </c>
      <c r="D236" s="2" t="s">
        <v>70</v>
      </c>
      <c r="E236" s="2" t="s">
        <v>41</v>
      </c>
      <c r="F236" s="2" t="s">
        <v>33</v>
      </c>
      <c r="G236" s="2" t="s">
        <v>34</v>
      </c>
      <c r="H236" s="2" t="s">
        <v>35</v>
      </c>
      <c r="I236" s="2" t="s">
        <v>36</v>
      </c>
      <c r="J236" s="2">
        <v>8</v>
      </c>
      <c r="K236" s="5">
        <v>0.03</v>
      </c>
      <c r="L236" s="6">
        <v>3686000</v>
      </c>
      <c r="M236" s="6">
        <v>2280000</v>
      </c>
      <c r="N236" s="6">
        <v>1406000</v>
      </c>
      <c r="O236" s="2" t="s">
        <v>57</v>
      </c>
    </row>
    <row r="237" spans="1:15" x14ac:dyDescent="0.35">
      <c r="A237" s="2" t="s">
        <v>350</v>
      </c>
      <c r="B237" s="4">
        <v>46149</v>
      </c>
      <c r="C237" s="2" t="s">
        <v>30</v>
      </c>
      <c r="D237" s="2" t="s">
        <v>40</v>
      </c>
      <c r="E237" s="2" t="s">
        <v>48</v>
      </c>
      <c r="F237" s="2" t="s">
        <v>33</v>
      </c>
      <c r="G237" s="2" t="s">
        <v>42</v>
      </c>
      <c r="H237" s="2" t="s">
        <v>43</v>
      </c>
      <c r="I237" s="2" t="s">
        <v>44</v>
      </c>
      <c r="J237" s="2">
        <v>8</v>
      </c>
      <c r="K237" s="5">
        <v>0.05</v>
      </c>
      <c r="L237" s="6">
        <v>2090000</v>
      </c>
      <c r="M237" s="6">
        <v>1240000</v>
      </c>
      <c r="N237" s="6">
        <v>850000</v>
      </c>
      <c r="O237" s="2" t="s">
        <v>57</v>
      </c>
    </row>
    <row r="238" spans="1:15" x14ac:dyDescent="0.35">
      <c r="A238" s="2" t="s">
        <v>351</v>
      </c>
      <c r="B238" s="4">
        <v>46116</v>
      </c>
      <c r="C238" s="2" t="s">
        <v>54</v>
      </c>
      <c r="D238" s="2" t="s">
        <v>40</v>
      </c>
      <c r="E238" s="2" t="s">
        <v>32</v>
      </c>
      <c r="F238" s="2" t="s">
        <v>33</v>
      </c>
      <c r="G238" s="2" t="s">
        <v>49</v>
      </c>
      <c r="H238" s="2" t="s">
        <v>50</v>
      </c>
      <c r="I238" s="2" t="s">
        <v>51</v>
      </c>
      <c r="J238" s="2">
        <v>7</v>
      </c>
      <c r="K238" s="5">
        <v>0.05</v>
      </c>
      <c r="L238" s="6">
        <v>1629250</v>
      </c>
      <c r="M238" s="6">
        <v>1015000</v>
      </c>
      <c r="N238" s="6">
        <v>614250</v>
      </c>
      <c r="O238" s="2" t="s">
        <v>57</v>
      </c>
    </row>
    <row r="239" spans="1:15" x14ac:dyDescent="0.35">
      <c r="A239" s="2" t="s">
        <v>352</v>
      </c>
      <c r="B239" s="4">
        <v>46041</v>
      </c>
      <c r="C239" s="2" t="s">
        <v>69</v>
      </c>
      <c r="D239" s="2" t="s">
        <v>47</v>
      </c>
      <c r="E239" s="2" t="s">
        <v>81</v>
      </c>
      <c r="F239" s="2" t="s">
        <v>33</v>
      </c>
      <c r="G239" s="2" t="s">
        <v>55</v>
      </c>
      <c r="H239" s="2" t="s">
        <v>56</v>
      </c>
      <c r="I239" s="2" t="s">
        <v>36</v>
      </c>
      <c r="J239" s="2">
        <v>7</v>
      </c>
      <c r="K239" s="5">
        <v>0.1</v>
      </c>
      <c r="L239" s="6">
        <v>11655000</v>
      </c>
      <c r="M239" s="6">
        <v>9240000</v>
      </c>
      <c r="N239" s="6">
        <v>2415000</v>
      </c>
      <c r="O239" s="2" t="s">
        <v>84</v>
      </c>
    </row>
    <row r="240" spans="1:15" x14ac:dyDescent="0.35">
      <c r="A240" s="2" t="s">
        <v>353</v>
      </c>
      <c r="B240" s="2" t="s">
        <v>354</v>
      </c>
      <c r="C240" s="2" t="s">
        <v>30</v>
      </c>
      <c r="D240" s="2" t="s">
        <v>70</v>
      </c>
      <c r="E240" s="2" t="s">
        <v>81</v>
      </c>
      <c r="F240" s="2" t="s">
        <v>90</v>
      </c>
      <c r="G240" s="2" t="s">
        <v>60</v>
      </c>
      <c r="H240" s="2" t="s">
        <v>61</v>
      </c>
      <c r="I240" s="2" t="s">
        <v>62</v>
      </c>
      <c r="J240" s="2">
        <v>7</v>
      </c>
      <c r="K240" s="5">
        <v>0.05</v>
      </c>
      <c r="L240" s="6">
        <v>432250</v>
      </c>
      <c r="M240" s="6">
        <v>217000</v>
      </c>
      <c r="N240" s="6">
        <v>215250</v>
      </c>
      <c r="O240" s="2" t="s">
        <v>45</v>
      </c>
    </row>
    <row r="241" spans="1:15" x14ac:dyDescent="0.35">
      <c r="A241" s="2" t="s">
        <v>355</v>
      </c>
      <c r="B241" s="2" t="s">
        <v>356</v>
      </c>
      <c r="C241" s="2" t="s">
        <v>54</v>
      </c>
      <c r="D241" s="2" t="s">
        <v>40</v>
      </c>
      <c r="E241" s="2" t="s">
        <v>32</v>
      </c>
      <c r="F241" s="2" t="s">
        <v>33</v>
      </c>
      <c r="G241" s="2" t="s">
        <v>66</v>
      </c>
      <c r="H241" s="2" t="s">
        <v>67</v>
      </c>
      <c r="I241" s="2" t="s">
        <v>51</v>
      </c>
      <c r="J241" s="2">
        <v>7</v>
      </c>
      <c r="K241" s="5">
        <v>0.1</v>
      </c>
      <c r="L241" s="6">
        <v>1953000</v>
      </c>
      <c r="M241" s="6">
        <v>1330000</v>
      </c>
      <c r="N241" s="6">
        <v>623000</v>
      </c>
      <c r="O241" s="2" t="s">
        <v>52</v>
      </c>
    </row>
    <row r="242" spans="1:15" x14ac:dyDescent="0.35">
      <c r="A242" s="2" t="s">
        <v>357</v>
      </c>
      <c r="B242" s="4">
        <v>46155</v>
      </c>
      <c r="C242" s="2" t="s">
        <v>54</v>
      </c>
      <c r="D242" s="2" t="s">
        <v>47</v>
      </c>
      <c r="E242" s="2" t="s">
        <v>32</v>
      </c>
      <c r="F242" s="2" t="s">
        <v>33</v>
      </c>
      <c r="G242" s="2" t="s">
        <v>71</v>
      </c>
      <c r="H242" s="2" t="s">
        <v>72</v>
      </c>
      <c r="I242" s="2" t="s">
        <v>73</v>
      </c>
      <c r="J242" s="2">
        <v>8</v>
      </c>
      <c r="K242" s="5">
        <v>0.03</v>
      </c>
      <c r="L242" s="6">
        <v>970000</v>
      </c>
      <c r="M242" s="6">
        <v>560000</v>
      </c>
      <c r="N242" s="6">
        <v>410000</v>
      </c>
      <c r="O242" s="2" t="s">
        <v>63</v>
      </c>
    </row>
    <row r="243" spans="1:15" x14ac:dyDescent="0.35">
      <c r="A243" s="2" t="s">
        <v>358</v>
      </c>
      <c r="B243" s="4">
        <v>46064</v>
      </c>
      <c r="C243" s="2" t="s">
        <v>111</v>
      </c>
      <c r="D243" s="2" t="s">
        <v>70</v>
      </c>
      <c r="E243" s="2" t="s">
        <v>81</v>
      </c>
      <c r="F243" s="2" t="s">
        <v>33</v>
      </c>
      <c r="G243" s="2" t="s">
        <v>78</v>
      </c>
      <c r="H243" s="2" t="s">
        <v>79</v>
      </c>
      <c r="I243" s="2" t="s">
        <v>62</v>
      </c>
      <c r="J243" s="2">
        <v>7</v>
      </c>
      <c r="K243" s="5">
        <v>0.1</v>
      </c>
      <c r="L243" s="6">
        <v>535500</v>
      </c>
      <c r="M243" s="6">
        <v>301000</v>
      </c>
      <c r="N243" s="6">
        <v>234500</v>
      </c>
      <c r="O243" s="2" t="s">
        <v>57</v>
      </c>
    </row>
    <row r="244" spans="1:15" x14ac:dyDescent="0.35">
      <c r="A244" s="2" t="s">
        <v>359</v>
      </c>
      <c r="B244" s="4">
        <v>46144</v>
      </c>
      <c r="C244" s="2" t="s">
        <v>76</v>
      </c>
      <c r="D244" s="2" t="s">
        <v>40</v>
      </c>
      <c r="E244" s="2" t="s">
        <v>48</v>
      </c>
      <c r="F244" s="2" t="s">
        <v>146</v>
      </c>
      <c r="G244" s="2" t="s">
        <v>82</v>
      </c>
      <c r="H244" s="2" t="s">
        <v>83</v>
      </c>
      <c r="I244" s="2" t="s">
        <v>44</v>
      </c>
      <c r="J244" s="2">
        <v>1</v>
      </c>
      <c r="K244" s="5">
        <v>0.05</v>
      </c>
      <c r="L244" s="6">
        <v>1377500</v>
      </c>
      <c r="M244" s="6">
        <v>980000</v>
      </c>
      <c r="N244" s="6">
        <v>397500</v>
      </c>
      <c r="O244" s="2" t="s">
        <v>74</v>
      </c>
    </row>
    <row r="245" spans="1:15" x14ac:dyDescent="0.35">
      <c r="A245" s="2" t="s">
        <v>360</v>
      </c>
      <c r="B245" s="4">
        <v>46175</v>
      </c>
      <c r="C245" s="2" t="s">
        <v>95</v>
      </c>
      <c r="D245" s="2" t="s">
        <v>47</v>
      </c>
      <c r="E245" s="2" t="s">
        <v>32</v>
      </c>
      <c r="F245" s="2" t="s">
        <v>77</v>
      </c>
      <c r="G245" s="2" t="s">
        <v>86</v>
      </c>
      <c r="H245" s="2" t="s">
        <v>87</v>
      </c>
      <c r="I245" s="2" t="s">
        <v>36</v>
      </c>
      <c r="J245" s="2">
        <v>8</v>
      </c>
      <c r="K245" s="5">
        <v>0.05</v>
      </c>
      <c r="L245" s="6">
        <v>1330000</v>
      </c>
      <c r="M245" s="6">
        <v>1680000</v>
      </c>
      <c r="N245" s="6">
        <v>-350000</v>
      </c>
      <c r="O245" s="2" t="s">
        <v>52</v>
      </c>
    </row>
    <row r="246" spans="1:15" x14ac:dyDescent="0.35">
      <c r="A246" s="2" t="s">
        <v>361</v>
      </c>
      <c r="B246" s="4">
        <v>46066</v>
      </c>
      <c r="C246" s="2" t="s">
        <v>69</v>
      </c>
      <c r="D246" s="2" t="s">
        <v>31</v>
      </c>
      <c r="E246" s="2" t="s">
        <v>41</v>
      </c>
      <c r="F246" s="2" t="s">
        <v>90</v>
      </c>
      <c r="G246" s="2" t="s">
        <v>34</v>
      </c>
      <c r="H246" s="2" t="s">
        <v>35</v>
      </c>
      <c r="I246" s="2" t="s">
        <v>293</v>
      </c>
      <c r="J246" s="2">
        <v>7</v>
      </c>
      <c r="K246" s="5">
        <v>0.03</v>
      </c>
      <c r="L246" s="6">
        <v>3225250</v>
      </c>
      <c r="M246" s="6">
        <v>1995000</v>
      </c>
      <c r="N246" s="6">
        <v>1230250</v>
      </c>
      <c r="O246" s="2" t="s">
        <v>45</v>
      </c>
    </row>
    <row r="247" spans="1:15" x14ac:dyDescent="0.35">
      <c r="A247" s="2" t="s">
        <v>362</v>
      </c>
      <c r="B247" s="4">
        <v>46027</v>
      </c>
      <c r="C247" s="2" t="s">
        <v>65</v>
      </c>
      <c r="D247" s="2" t="s">
        <v>59</v>
      </c>
      <c r="E247" s="2" t="s">
        <v>32</v>
      </c>
      <c r="F247" s="2" t="s">
        <v>33</v>
      </c>
      <c r="G247" s="2" t="s">
        <v>42</v>
      </c>
      <c r="H247" s="2" t="s">
        <v>43</v>
      </c>
      <c r="I247" s="2" t="s">
        <v>44</v>
      </c>
      <c r="J247" s="2">
        <v>8</v>
      </c>
      <c r="K247" s="5">
        <v>0.05</v>
      </c>
      <c r="L247" s="6">
        <v>2090000</v>
      </c>
      <c r="M247" s="6">
        <v>1240000</v>
      </c>
      <c r="N247" s="6">
        <v>850000</v>
      </c>
      <c r="O247" s="2" t="s">
        <v>52</v>
      </c>
    </row>
    <row r="248" spans="1:15" x14ac:dyDescent="0.35">
      <c r="A248" s="2" t="s">
        <v>363</v>
      </c>
      <c r="B248" s="4">
        <v>46038</v>
      </c>
      <c r="C248" s="2" t="s">
        <v>65</v>
      </c>
      <c r="D248" s="2" t="s">
        <v>70</v>
      </c>
      <c r="E248" s="2" t="s">
        <v>48</v>
      </c>
      <c r="F248" s="2" t="s">
        <v>33</v>
      </c>
      <c r="G248" s="2" t="s">
        <v>49</v>
      </c>
      <c r="H248" s="2" t="s">
        <v>50</v>
      </c>
      <c r="I248" s="2" t="s">
        <v>51</v>
      </c>
      <c r="J248" s="2">
        <v>3</v>
      </c>
      <c r="K248" s="5">
        <v>0.1</v>
      </c>
      <c r="L248" s="6">
        <v>661500</v>
      </c>
      <c r="M248" s="6">
        <v>435000</v>
      </c>
      <c r="N248" s="6">
        <v>226500</v>
      </c>
      <c r="O248" s="2" t="s">
        <v>63</v>
      </c>
    </row>
    <row r="249" spans="1:15" x14ac:dyDescent="0.35">
      <c r="A249" s="2" t="s">
        <v>364</v>
      </c>
      <c r="B249" s="4">
        <v>46067</v>
      </c>
      <c r="C249" s="2" t="s">
        <v>111</v>
      </c>
      <c r="D249" s="2" t="s">
        <v>70</v>
      </c>
      <c r="E249" s="2" t="s">
        <v>297</v>
      </c>
      <c r="F249" s="2" t="s">
        <v>33</v>
      </c>
      <c r="G249" s="2" t="s">
        <v>55</v>
      </c>
      <c r="H249" s="2" t="s">
        <v>56</v>
      </c>
      <c r="I249" s="2" t="s">
        <v>36</v>
      </c>
      <c r="J249" s="2">
        <v>8</v>
      </c>
      <c r="K249" s="5">
        <v>0.1</v>
      </c>
      <c r="L249" s="6">
        <v>13320000</v>
      </c>
      <c r="M249" s="6">
        <v>10560000</v>
      </c>
      <c r="N249" s="6">
        <v>2760000</v>
      </c>
      <c r="O249" s="2" t="s">
        <v>45</v>
      </c>
    </row>
    <row r="250" spans="1:15" x14ac:dyDescent="0.35">
      <c r="A250" s="2" t="s">
        <v>365</v>
      </c>
      <c r="B250" s="4">
        <v>46086</v>
      </c>
      <c r="C250" s="2" t="s">
        <v>39</v>
      </c>
      <c r="D250" s="2" t="s">
        <v>70</v>
      </c>
      <c r="E250" s="2" t="s">
        <v>81</v>
      </c>
      <c r="F250" s="2" t="s">
        <v>33</v>
      </c>
      <c r="G250" s="2" t="s">
        <v>60</v>
      </c>
      <c r="H250" s="2" t="s">
        <v>61</v>
      </c>
      <c r="I250" s="2" t="s">
        <v>62</v>
      </c>
      <c r="J250" s="2">
        <v>5</v>
      </c>
      <c r="K250" s="5">
        <v>0.1</v>
      </c>
      <c r="L250" s="6">
        <v>292500</v>
      </c>
      <c r="M250" s="6">
        <v>155000</v>
      </c>
      <c r="N250" s="6">
        <v>137500</v>
      </c>
      <c r="O250" s="2" t="s">
        <v>52</v>
      </c>
    </row>
    <row r="251" spans="1:15" x14ac:dyDescent="0.35">
      <c r="A251" s="2" t="s">
        <v>366</v>
      </c>
      <c r="B251" s="4">
        <v>46104</v>
      </c>
      <c r="C251" s="2" t="s">
        <v>69</v>
      </c>
      <c r="D251" s="2" t="s">
        <v>70</v>
      </c>
      <c r="E251" s="2" t="s">
        <v>81</v>
      </c>
      <c r="F251" s="2" t="s">
        <v>33</v>
      </c>
      <c r="G251" s="2" t="s">
        <v>66</v>
      </c>
      <c r="H251" s="2" t="s">
        <v>67</v>
      </c>
      <c r="I251" s="2" t="s">
        <v>51</v>
      </c>
      <c r="J251" s="2">
        <v>8</v>
      </c>
      <c r="K251" s="5">
        <v>0.05</v>
      </c>
      <c r="L251" s="6" t="s">
        <v>367</v>
      </c>
      <c r="M251" s="6">
        <v>1520000</v>
      </c>
      <c r="N251" s="6">
        <v>836000</v>
      </c>
      <c r="O251" s="2" t="s">
        <v>93</v>
      </c>
    </row>
    <row r="252" spans="1:15" x14ac:dyDescent="0.35">
      <c r="A252" s="2" t="s">
        <v>368</v>
      </c>
      <c r="B252" s="4">
        <v>46124</v>
      </c>
      <c r="C252" s="2" t="s">
        <v>54</v>
      </c>
      <c r="D252" s="2" t="s">
        <v>70</v>
      </c>
      <c r="E252" s="2" t="s">
        <v>41</v>
      </c>
      <c r="F252" s="2" t="s">
        <v>33</v>
      </c>
      <c r="G252" s="2" t="s">
        <v>71</v>
      </c>
      <c r="H252" s="2" t="s">
        <v>72</v>
      </c>
      <c r="I252" s="2" t="s">
        <v>73</v>
      </c>
      <c r="J252" s="2">
        <v>6</v>
      </c>
      <c r="K252" s="5">
        <v>0.03</v>
      </c>
      <c r="L252" s="6">
        <v>727500</v>
      </c>
      <c r="M252" s="6">
        <v>420000</v>
      </c>
      <c r="N252" s="6">
        <v>307500</v>
      </c>
      <c r="O252" s="2" t="s">
        <v>52</v>
      </c>
    </row>
    <row r="253" spans="1:15" x14ac:dyDescent="0.35">
      <c r="A253" s="2" t="s">
        <v>369</v>
      </c>
      <c r="B253" s="4">
        <v>46190</v>
      </c>
      <c r="C253" s="2" t="s">
        <v>76</v>
      </c>
      <c r="D253" s="2" t="s">
        <v>31</v>
      </c>
      <c r="E253" s="2" t="s">
        <v>81</v>
      </c>
      <c r="F253" s="2" t="s">
        <v>33</v>
      </c>
      <c r="G253" s="2" t="s">
        <v>78</v>
      </c>
      <c r="H253" s="2" t="s">
        <v>79</v>
      </c>
      <c r="I253" s="2" t="s">
        <v>62</v>
      </c>
      <c r="J253" s="2">
        <v>5</v>
      </c>
      <c r="K253" s="5">
        <v>0.15</v>
      </c>
      <c r="L253" s="6">
        <v>361250</v>
      </c>
      <c r="M253" s="6">
        <v>215000</v>
      </c>
      <c r="N253" s="6">
        <v>146250</v>
      </c>
      <c r="O253" s="2" t="s">
        <v>84</v>
      </c>
    </row>
    <row r="254" spans="1:15" x14ac:dyDescent="0.35">
      <c r="A254" s="2" t="s">
        <v>370</v>
      </c>
      <c r="B254" s="2"/>
      <c r="C254" s="2" t="s">
        <v>39</v>
      </c>
      <c r="D254" s="2" t="s">
        <v>47</v>
      </c>
      <c r="E254" s="2" t="s">
        <v>32</v>
      </c>
      <c r="F254" s="2" t="s">
        <v>33</v>
      </c>
      <c r="G254" s="2" t="s">
        <v>82</v>
      </c>
      <c r="H254" s="2" t="s">
        <v>83</v>
      </c>
      <c r="I254" s="2" t="s">
        <v>44</v>
      </c>
      <c r="J254" s="2">
        <v>4</v>
      </c>
      <c r="K254" s="5">
        <v>0.03</v>
      </c>
      <c r="L254" s="6">
        <v>5626000</v>
      </c>
      <c r="M254" s="6">
        <v>3920000</v>
      </c>
      <c r="N254" s="6">
        <v>1706000</v>
      </c>
      <c r="O254" s="2" t="s">
        <v>74</v>
      </c>
    </row>
    <row r="255" spans="1:15" x14ac:dyDescent="0.35">
      <c r="A255" s="2" t="s">
        <v>371</v>
      </c>
      <c r="B255" s="4">
        <v>46048</v>
      </c>
      <c r="C255" s="2" t="s">
        <v>95</v>
      </c>
      <c r="D255" s="2" t="s">
        <v>40</v>
      </c>
      <c r="E255" s="2" t="s">
        <v>32</v>
      </c>
      <c r="F255" s="2" t="s">
        <v>33</v>
      </c>
      <c r="G255" s="2" t="s">
        <v>86</v>
      </c>
      <c r="H255" s="2" t="s">
        <v>87</v>
      </c>
      <c r="I255" s="2" t="s">
        <v>36</v>
      </c>
      <c r="J255" s="2">
        <v>7</v>
      </c>
      <c r="K255" s="5">
        <v>0.05</v>
      </c>
      <c r="L255" s="6">
        <v>2327500</v>
      </c>
      <c r="M255" s="6">
        <v>1470000</v>
      </c>
      <c r="N255" s="6">
        <v>857500</v>
      </c>
      <c r="O255" s="2" t="s">
        <v>84</v>
      </c>
    </row>
    <row r="256" spans="1:15" x14ac:dyDescent="0.35">
      <c r="A256" s="2" t="s">
        <v>372</v>
      </c>
      <c r="B256" s="4">
        <v>46127</v>
      </c>
      <c r="C256" s="2" t="s">
        <v>76</v>
      </c>
      <c r="D256" s="2" t="s">
        <v>70</v>
      </c>
      <c r="E256" s="2" t="s">
        <v>81</v>
      </c>
      <c r="F256" s="2" t="s">
        <v>33</v>
      </c>
      <c r="G256" s="2" t="s">
        <v>34</v>
      </c>
      <c r="H256" s="2" t="s">
        <v>35</v>
      </c>
      <c r="I256" s="2" t="s">
        <v>36</v>
      </c>
      <c r="J256" s="2">
        <v>8</v>
      </c>
      <c r="K256" s="5">
        <v>0.08</v>
      </c>
      <c r="L256" s="6">
        <v>3496000</v>
      </c>
      <c r="M256" s="6">
        <v>2280000</v>
      </c>
      <c r="N256" s="6">
        <v>1216000</v>
      </c>
      <c r="O256" s="2" t="s">
        <v>74</v>
      </c>
    </row>
    <row r="257" spans="1:15" x14ac:dyDescent="0.35">
      <c r="A257" s="2" t="s">
        <v>373</v>
      </c>
      <c r="B257" s="4">
        <v>46045</v>
      </c>
      <c r="C257" s="2" t="s">
        <v>65</v>
      </c>
      <c r="D257" s="2" t="s">
        <v>40</v>
      </c>
      <c r="E257" s="2" t="s">
        <v>32</v>
      </c>
      <c r="F257" s="2" t="s">
        <v>33</v>
      </c>
      <c r="G257" s="2" t="s">
        <v>42</v>
      </c>
      <c r="H257" s="2" t="s">
        <v>43</v>
      </c>
      <c r="I257" s="2" t="s">
        <v>44</v>
      </c>
      <c r="J257" s="2">
        <v>4</v>
      </c>
      <c r="K257" s="5">
        <v>0.1</v>
      </c>
      <c r="L257" s="6">
        <v>990000</v>
      </c>
      <c r="M257" s="6">
        <v>620000</v>
      </c>
      <c r="N257" s="6">
        <v>370000</v>
      </c>
      <c r="O257" s="2" t="s">
        <v>84</v>
      </c>
    </row>
    <row r="258" spans="1:15" x14ac:dyDescent="0.35">
      <c r="A258" s="2" t="s">
        <v>374</v>
      </c>
      <c r="B258" s="4">
        <v>46032</v>
      </c>
      <c r="C258" s="2" t="s">
        <v>95</v>
      </c>
      <c r="D258" s="2" t="s">
        <v>70</v>
      </c>
      <c r="E258" s="2" t="s">
        <v>41</v>
      </c>
      <c r="F258" s="2" t="s">
        <v>122</v>
      </c>
      <c r="G258" s="2" t="s">
        <v>49</v>
      </c>
      <c r="H258" s="2" t="s">
        <v>50</v>
      </c>
      <c r="I258" s="2" t="s">
        <v>51</v>
      </c>
      <c r="J258" s="2">
        <v>7</v>
      </c>
      <c r="K258" s="5">
        <v>0.08</v>
      </c>
      <c r="L258" s="6">
        <v>1577800</v>
      </c>
      <c r="M258" s="6">
        <v>1015000</v>
      </c>
      <c r="N258" s="6">
        <v>562800</v>
      </c>
      <c r="O258" s="2" t="s">
        <v>57</v>
      </c>
    </row>
    <row r="259" spans="1:15" x14ac:dyDescent="0.35">
      <c r="A259" s="2" t="s">
        <v>375</v>
      </c>
      <c r="B259" s="4">
        <v>46168</v>
      </c>
      <c r="C259" s="2" t="s">
        <v>30</v>
      </c>
      <c r="D259" s="2" t="s">
        <v>47</v>
      </c>
      <c r="E259" s="2" t="s">
        <v>48</v>
      </c>
      <c r="F259" s="2" t="s">
        <v>33</v>
      </c>
      <c r="G259" s="2" t="s">
        <v>55</v>
      </c>
      <c r="H259" s="2" t="s">
        <v>56</v>
      </c>
      <c r="I259" s="2" t="s">
        <v>36</v>
      </c>
      <c r="J259" s="2">
        <v>2</v>
      </c>
      <c r="K259" s="5">
        <v>0.05</v>
      </c>
      <c r="L259" s="6">
        <v>3515000</v>
      </c>
      <c r="M259" s="6">
        <v>2640000</v>
      </c>
      <c r="N259" s="6">
        <v>875000</v>
      </c>
      <c r="O259" s="2" t="s">
        <v>52</v>
      </c>
    </row>
    <row r="260" spans="1:15" x14ac:dyDescent="0.35">
      <c r="A260" s="2" t="s">
        <v>376</v>
      </c>
      <c r="B260" s="4">
        <v>46092</v>
      </c>
      <c r="C260" s="2" t="s">
        <v>30</v>
      </c>
      <c r="D260" s="2" t="s">
        <v>59</v>
      </c>
      <c r="E260" s="2" t="s">
        <v>81</v>
      </c>
      <c r="F260" s="2" t="s">
        <v>33</v>
      </c>
      <c r="G260" s="2" t="s">
        <v>60</v>
      </c>
      <c r="H260" s="2" t="s">
        <v>61</v>
      </c>
      <c r="I260" s="2" t="s">
        <v>377</v>
      </c>
      <c r="J260" s="2">
        <v>4</v>
      </c>
      <c r="K260" s="5">
        <v>0</v>
      </c>
      <c r="L260" s="6">
        <v>260000</v>
      </c>
      <c r="M260" s="6">
        <v>124000</v>
      </c>
      <c r="N260" s="6">
        <v>136000</v>
      </c>
      <c r="O260" s="2" t="s">
        <v>74</v>
      </c>
    </row>
    <row r="261" spans="1:15" x14ac:dyDescent="0.35">
      <c r="A261" s="2" t="s">
        <v>378</v>
      </c>
      <c r="B261" s="4">
        <v>46109</v>
      </c>
      <c r="C261" s="2" t="s">
        <v>65</v>
      </c>
      <c r="D261" s="2" t="s">
        <v>31</v>
      </c>
      <c r="E261" s="2" t="s">
        <v>32</v>
      </c>
      <c r="F261" s="2" t="s">
        <v>33</v>
      </c>
      <c r="G261" s="2" t="s">
        <v>66</v>
      </c>
      <c r="H261" s="2" t="s">
        <v>67</v>
      </c>
      <c r="I261" s="2" t="s">
        <v>51</v>
      </c>
      <c r="J261" s="2">
        <v>5</v>
      </c>
      <c r="K261" s="5">
        <v>0.1</v>
      </c>
      <c r="L261" s="6">
        <v>1395000</v>
      </c>
      <c r="M261" s="6">
        <v>950000</v>
      </c>
      <c r="N261" s="6">
        <v>445000</v>
      </c>
      <c r="O261" s="2" t="s">
        <v>93</v>
      </c>
    </row>
    <row r="262" spans="1:15" x14ac:dyDescent="0.35">
      <c r="A262" s="2" t="s">
        <v>379</v>
      </c>
      <c r="B262" s="4">
        <v>46154</v>
      </c>
      <c r="C262" s="2" t="s">
        <v>30</v>
      </c>
      <c r="D262" s="2" t="s">
        <v>40</v>
      </c>
      <c r="E262" s="2" t="s">
        <v>32</v>
      </c>
      <c r="F262" s="2" t="s">
        <v>33</v>
      </c>
      <c r="G262" s="2" t="s">
        <v>71</v>
      </c>
      <c r="H262" s="2" t="s">
        <v>72</v>
      </c>
      <c r="I262" s="2" t="s">
        <v>73</v>
      </c>
      <c r="J262" s="2">
        <v>6</v>
      </c>
      <c r="K262" s="5">
        <v>0</v>
      </c>
      <c r="L262" s="6">
        <v>750000</v>
      </c>
      <c r="M262" s="6">
        <v>420000</v>
      </c>
      <c r="N262" s="6">
        <v>330000</v>
      </c>
      <c r="O262" s="2" t="s">
        <v>52</v>
      </c>
    </row>
    <row r="263" spans="1:15" x14ac:dyDescent="0.35">
      <c r="A263" s="2" t="s">
        <v>380</v>
      </c>
      <c r="B263" s="4">
        <v>46105</v>
      </c>
      <c r="C263" s="2" t="s">
        <v>76</v>
      </c>
      <c r="D263" s="2" t="s">
        <v>31</v>
      </c>
      <c r="E263" s="2" t="s">
        <v>381</v>
      </c>
      <c r="F263" s="2" t="s">
        <v>33</v>
      </c>
      <c r="G263" s="2" t="s">
        <v>78</v>
      </c>
      <c r="H263" s="2" t="s">
        <v>79</v>
      </c>
      <c r="I263" s="2" t="s">
        <v>62</v>
      </c>
      <c r="J263" s="2">
        <v>4</v>
      </c>
      <c r="K263" s="5">
        <v>0</v>
      </c>
      <c r="L263" s="6">
        <v>340000</v>
      </c>
      <c r="M263" s="6">
        <v>172000</v>
      </c>
      <c r="N263" s="6">
        <v>168000</v>
      </c>
      <c r="O263" s="2" t="s">
        <v>63</v>
      </c>
    </row>
    <row r="264" spans="1:15" x14ac:dyDescent="0.35">
      <c r="A264" s="2" t="s">
        <v>382</v>
      </c>
      <c r="B264" s="4">
        <v>46100</v>
      </c>
      <c r="C264" s="2" t="s">
        <v>69</v>
      </c>
      <c r="D264" s="2" t="s">
        <v>120</v>
      </c>
      <c r="E264" s="2" t="s">
        <v>41</v>
      </c>
      <c r="F264" s="2" t="s">
        <v>33</v>
      </c>
      <c r="G264" s="2" t="s">
        <v>82</v>
      </c>
      <c r="H264" s="2" t="s">
        <v>83</v>
      </c>
      <c r="I264" s="2" t="s">
        <v>44</v>
      </c>
      <c r="J264" s="2">
        <v>1</v>
      </c>
      <c r="K264" s="5">
        <v>0.05</v>
      </c>
      <c r="L264" s="6">
        <v>1377500</v>
      </c>
      <c r="M264" s="6">
        <v>980000</v>
      </c>
      <c r="N264" s="6">
        <v>397500</v>
      </c>
      <c r="O264" s="2" t="s">
        <v>52</v>
      </c>
    </row>
    <row r="265" spans="1:15" x14ac:dyDescent="0.35">
      <c r="A265" s="2" t="s">
        <v>383</v>
      </c>
      <c r="B265" s="4">
        <v>46101</v>
      </c>
      <c r="C265" s="2" t="s">
        <v>76</v>
      </c>
      <c r="D265" s="2" t="s">
        <v>384</v>
      </c>
      <c r="E265" s="2" t="s">
        <v>41</v>
      </c>
      <c r="F265" s="2" t="s">
        <v>33</v>
      </c>
      <c r="G265" s="2" t="s">
        <v>86</v>
      </c>
      <c r="H265" s="2" t="s">
        <v>87</v>
      </c>
      <c r="I265" s="2" t="s">
        <v>36</v>
      </c>
      <c r="J265" s="2">
        <v>3</v>
      </c>
      <c r="K265" s="5">
        <v>0.08</v>
      </c>
      <c r="L265" s="6">
        <v>966000</v>
      </c>
      <c r="M265" s="6">
        <v>630000</v>
      </c>
      <c r="N265" s="6">
        <v>336000</v>
      </c>
      <c r="O265" s="2" t="s">
        <v>63</v>
      </c>
    </row>
    <row r="266" spans="1:15" x14ac:dyDescent="0.35">
      <c r="A266" s="2" t="s">
        <v>385</v>
      </c>
      <c r="B266" s="4">
        <v>46180</v>
      </c>
      <c r="C266" s="2" t="s">
        <v>54</v>
      </c>
      <c r="D266" s="2" t="s">
        <v>31</v>
      </c>
      <c r="E266" s="2" t="s">
        <v>48</v>
      </c>
      <c r="F266" s="2" t="s">
        <v>112</v>
      </c>
      <c r="G266" s="2" t="s">
        <v>34</v>
      </c>
      <c r="H266" s="2" t="s">
        <v>35</v>
      </c>
      <c r="I266" s="2" t="s">
        <v>36</v>
      </c>
      <c r="J266" s="2">
        <v>4</v>
      </c>
      <c r="K266" s="5">
        <v>0.03</v>
      </c>
      <c r="L266" s="6">
        <v>460750</v>
      </c>
      <c r="M266" s="6">
        <v>1140000</v>
      </c>
      <c r="N266" s="6">
        <v>-679250</v>
      </c>
      <c r="O266" s="2" t="s">
        <v>93</v>
      </c>
    </row>
    <row r="267" spans="1:15" x14ac:dyDescent="0.35">
      <c r="A267" s="2" t="s">
        <v>386</v>
      </c>
      <c r="B267" s="4">
        <v>46202</v>
      </c>
      <c r="C267" s="2" t="s">
        <v>69</v>
      </c>
      <c r="D267" s="2" t="s">
        <v>31</v>
      </c>
      <c r="E267" s="2" t="s">
        <v>32</v>
      </c>
      <c r="F267" s="2" t="s">
        <v>90</v>
      </c>
      <c r="G267" s="2" t="s">
        <v>42</v>
      </c>
      <c r="H267" s="2" t="s">
        <v>43</v>
      </c>
      <c r="I267" s="2" t="s">
        <v>44</v>
      </c>
      <c r="J267" s="2">
        <v>8</v>
      </c>
      <c r="K267" s="5">
        <v>0.1</v>
      </c>
      <c r="L267" s="6">
        <v>1980000</v>
      </c>
      <c r="M267" s="6">
        <v>1240000</v>
      </c>
      <c r="N267" s="6">
        <v>740000</v>
      </c>
      <c r="O267" s="2" t="s">
        <v>52</v>
      </c>
    </row>
    <row r="268" spans="1:15" x14ac:dyDescent="0.35">
      <c r="A268" s="2" t="s">
        <v>387</v>
      </c>
      <c r="B268" s="4">
        <v>46158</v>
      </c>
      <c r="C268" s="2" t="s">
        <v>30</v>
      </c>
      <c r="D268" s="2" t="s">
        <v>40</v>
      </c>
      <c r="E268" s="2" t="s">
        <v>32</v>
      </c>
      <c r="F268" s="2" t="s">
        <v>112</v>
      </c>
      <c r="G268" s="2" t="s">
        <v>49</v>
      </c>
      <c r="H268" s="2" t="s">
        <v>50</v>
      </c>
      <c r="I268" s="2" t="s">
        <v>51</v>
      </c>
      <c r="J268" s="2">
        <v>6</v>
      </c>
      <c r="K268" s="5">
        <v>0</v>
      </c>
      <c r="L268" s="6">
        <v>0</v>
      </c>
      <c r="M268" s="6">
        <v>870000</v>
      </c>
      <c r="N268" s="6">
        <v>-870000</v>
      </c>
      <c r="O268" s="2" t="s">
        <v>84</v>
      </c>
    </row>
    <row r="269" spans="1:15" x14ac:dyDescent="0.35">
      <c r="A269" s="2" t="s">
        <v>388</v>
      </c>
      <c r="B269" s="4">
        <v>46106</v>
      </c>
      <c r="C269" s="2" t="s">
        <v>69</v>
      </c>
      <c r="D269" s="2" t="s">
        <v>47</v>
      </c>
      <c r="E269" s="2" t="s">
        <v>48</v>
      </c>
      <c r="F269" s="2" t="s">
        <v>33</v>
      </c>
      <c r="G269" s="2" t="s">
        <v>55</v>
      </c>
      <c r="H269" s="2" t="s">
        <v>56</v>
      </c>
      <c r="I269" s="2" t="s">
        <v>36</v>
      </c>
      <c r="J269" s="2">
        <v>8</v>
      </c>
      <c r="K269" s="5">
        <v>0</v>
      </c>
      <c r="L269" s="6">
        <v>14800000</v>
      </c>
      <c r="M269" s="6">
        <v>10560000</v>
      </c>
      <c r="N269" s="6">
        <v>4240000</v>
      </c>
      <c r="O269" s="2" t="s">
        <v>52</v>
      </c>
    </row>
    <row r="270" spans="1:15" x14ac:dyDescent="0.35">
      <c r="A270" s="2" t="s">
        <v>389</v>
      </c>
      <c r="B270" s="4">
        <v>46037</v>
      </c>
      <c r="C270" s="2" t="s">
        <v>111</v>
      </c>
      <c r="D270" s="2" t="s">
        <v>59</v>
      </c>
      <c r="E270" s="2" t="s">
        <v>41</v>
      </c>
      <c r="F270" s="2" t="s">
        <v>33</v>
      </c>
      <c r="G270" s="2" t="s">
        <v>60</v>
      </c>
      <c r="H270" s="2" t="s">
        <v>61</v>
      </c>
      <c r="I270" s="2" t="s">
        <v>62</v>
      </c>
      <c r="J270" s="2">
        <v>8</v>
      </c>
      <c r="K270" s="5">
        <v>0.03</v>
      </c>
      <c r="L270" s="6">
        <v>504400</v>
      </c>
      <c r="M270" s="6">
        <v>248000</v>
      </c>
      <c r="N270" s="6">
        <v>256400</v>
      </c>
      <c r="O270" s="2" t="s">
        <v>57</v>
      </c>
    </row>
    <row r="271" spans="1:15" x14ac:dyDescent="0.35">
      <c r="A271" s="2" t="s">
        <v>390</v>
      </c>
      <c r="B271" s="4">
        <v>46028</v>
      </c>
      <c r="C271" s="2" t="s">
        <v>95</v>
      </c>
      <c r="D271" s="2" t="s">
        <v>31</v>
      </c>
      <c r="E271" s="2" t="s">
        <v>41</v>
      </c>
      <c r="F271" s="2" t="s">
        <v>90</v>
      </c>
      <c r="G271" s="2" t="s">
        <v>66</v>
      </c>
      <c r="H271" s="2" t="s">
        <v>67</v>
      </c>
      <c r="I271" s="2" t="s">
        <v>51</v>
      </c>
      <c r="J271" s="2">
        <v>7</v>
      </c>
      <c r="K271" s="5">
        <v>0.05</v>
      </c>
      <c r="L271" s="6">
        <v>2061500</v>
      </c>
      <c r="M271" s="6">
        <v>1330000</v>
      </c>
      <c r="N271" s="6">
        <v>731500</v>
      </c>
      <c r="O271" s="2" t="s">
        <v>93</v>
      </c>
    </row>
    <row r="272" spans="1:15" x14ac:dyDescent="0.35">
      <c r="A272" s="2" t="s">
        <v>391</v>
      </c>
      <c r="B272" s="4">
        <v>46111</v>
      </c>
      <c r="C272" s="2" t="s">
        <v>76</v>
      </c>
      <c r="D272" s="2" t="s">
        <v>59</v>
      </c>
      <c r="E272" s="2" t="s">
        <v>41</v>
      </c>
      <c r="F272" s="2" t="s">
        <v>77</v>
      </c>
      <c r="G272" s="2" t="s">
        <v>71</v>
      </c>
      <c r="H272" s="2" t="s">
        <v>72</v>
      </c>
      <c r="I272" s="2" t="s">
        <v>73</v>
      </c>
      <c r="J272" s="2"/>
      <c r="K272" s="5">
        <v>0.1</v>
      </c>
      <c r="L272" s="6">
        <v>0</v>
      </c>
      <c r="M272" s="6">
        <v>140000</v>
      </c>
      <c r="N272" s="6">
        <v>-140000</v>
      </c>
      <c r="O272" s="2" t="s">
        <v>93</v>
      </c>
    </row>
    <row r="273" spans="1:15" x14ac:dyDescent="0.35">
      <c r="A273" s="2" t="s">
        <v>392</v>
      </c>
      <c r="B273" s="4">
        <v>46069</v>
      </c>
      <c r="C273" s="2" t="s">
        <v>65</v>
      </c>
      <c r="D273" s="2" t="s">
        <v>59</v>
      </c>
      <c r="E273" s="2" t="s">
        <v>81</v>
      </c>
      <c r="F273" s="2" t="s">
        <v>77</v>
      </c>
      <c r="G273" s="2" t="s">
        <v>78</v>
      </c>
      <c r="H273" s="2" t="s">
        <v>79</v>
      </c>
      <c r="I273" s="2" t="s">
        <v>62</v>
      </c>
      <c r="J273" s="2">
        <v>3</v>
      </c>
      <c r="K273" s="5">
        <v>0.15</v>
      </c>
      <c r="L273" s="6"/>
      <c r="M273" s="6">
        <v>129000</v>
      </c>
      <c r="N273" s="6">
        <v>-20625</v>
      </c>
      <c r="O273" s="2" t="s">
        <v>52</v>
      </c>
    </row>
    <row r="274" spans="1:15" x14ac:dyDescent="0.35">
      <c r="A274" s="2" t="s">
        <v>393</v>
      </c>
      <c r="B274" s="4">
        <v>46119</v>
      </c>
      <c r="C274" s="2" t="s">
        <v>54</v>
      </c>
      <c r="D274" s="2" t="s">
        <v>47</v>
      </c>
      <c r="E274" s="2" t="s">
        <v>32</v>
      </c>
      <c r="F274" s="2" t="s">
        <v>33</v>
      </c>
      <c r="G274" s="2" t="s">
        <v>82</v>
      </c>
      <c r="H274" s="2" t="s">
        <v>83</v>
      </c>
      <c r="I274" s="2" t="s">
        <v>44</v>
      </c>
      <c r="J274" s="2">
        <v>7</v>
      </c>
      <c r="K274" s="5">
        <v>0</v>
      </c>
      <c r="L274" s="6">
        <v>10150000</v>
      </c>
      <c r="M274" s="6">
        <v>6860000</v>
      </c>
      <c r="N274" s="6">
        <v>3290000</v>
      </c>
      <c r="O274" s="2" t="s">
        <v>37</v>
      </c>
    </row>
    <row r="275" spans="1:15" x14ac:dyDescent="0.35">
      <c r="A275" s="2" t="s">
        <v>394</v>
      </c>
      <c r="B275" s="4">
        <v>46068</v>
      </c>
      <c r="C275" s="2" t="s">
        <v>95</v>
      </c>
      <c r="D275" s="2" t="s">
        <v>31</v>
      </c>
      <c r="E275" s="2" t="s">
        <v>41</v>
      </c>
      <c r="F275" s="2" t="s">
        <v>33</v>
      </c>
      <c r="G275" s="2" t="s">
        <v>86</v>
      </c>
      <c r="H275" s="2" t="s">
        <v>87</v>
      </c>
      <c r="I275" s="2" t="s">
        <v>36</v>
      </c>
      <c r="J275" s="2">
        <v>7</v>
      </c>
      <c r="K275" s="5">
        <v>0.1</v>
      </c>
      <c r="L275" s="6">
        <v>2205000</v>
      </c>
      <c r="M275" s="6">
        <v>1470000</v>
      </c>
      <c r="N275" s="6">
        <v>735000</v>
      </c>
      <c r="O275" s="2" t="s">
        <v>57</v>
      </c>
    </row>
    <row r="276" spans="1:15" x14ac:dyDescent="0.35">
      <c r="A276" s="2" t="s">
        <v>395</v>
      </c>
      <c r="B276" s="4">
        <v>46141</v>
      </c>
      <c r="C276" s="2" t="s">
        <v>111</v>
      </c>
      <c r="D276" s="2" t="s">
        <v>31</v>
      </c>
      <c r="E276" s="2" t="s">
        <v>32</v>
      </c>
      <c r="F276" s="2" t="s">
        <v>33</v>
      </c>
      <c r="G276" s="2" t="s">
        <v>34</v>
      </c>
      <c r="H276" s="2" t="s">
        <v>35</v>
      </c>
      <c r="I276" s="2" t="s">
        <v>36</v>
      </c>
      <c r="J276" s="2">
        <v>7</v>
      </c>
      <c r="K276" s="5">
        <v>0.1</v>
      </c>
      <c r="L276" s="6">
        <v>2992500</v>
      </c>
      <c r="M276" s="6">
        <v>1995000</v>
      </c>
      <c r="N276" s="6">
        <v>997500</v>
      </c>
      <c r="O276" s="2" t="s">
        <v>63</v>
      </c>
    </row>
    <row r="277" spans="1:15" x14ac:dyDescent="0.35">
      <c r="A277" s="2" t="s">
        <v>396</v>
      </c>
      <c r="B277" s="4">
        <v>46062</v>
      </c>
      <c r="C277" s="2" t="s">
        <v>65</v>
      </c>
      <c r="D277" s="2" t="s">
        <v>40</v>
      </c>
      <c r="E277" s="2" t="s">
        <v>41</v>
      </c>
      <c r="F277" s="2" t="s">
        <v>112</v>
      </c>
      <c r="G277" s="2" t="s">
        <v>42</v>
      </c>
      <c r="H277" s="2" t="s">
        <v>43</v>
      </c>
      <c r="I277" s="2" t="s">
        <v>44</v>
      </c>
      <c r="J277" s="2">
        <v>5</v>
      </c>
      <c r="K277" s="5">
        <v>0.03</v>
      </c>
      <c r="L277" s="6">
        <v>666875</v>
      </c>
      <c r="M277" s="6">
        <v>775000</v>
      </c>
      <c r="N277" s="6">
        <v>-108125</v>
      </c>
      <c r="O277" s="2" t="s">
        <v>74</v>
      </c>
    </row>
    <row r="278" spans="1:15" x14ac:dyDescent="0.35">
      <c r="A278" s="2" t="s">
        <v>397</v>
      </c>
      <c r="B278" s="4">
        <v>46084</v>
      </c>
      <c r="C278" s="2" t="s">
        <v>95</v>
      </c>
      <c r="D278" s="2" t="s">
        <v>40</v>
      </c>
      <c r="E278" s="2" t="s">
        <v>48</v>
      </c>
      <c r="F278" s="2" t="s">
        <v>33</v>
      </c>
      <c r="G278" s="2" t="s">
        <v>49</v>
      </c>
      <c r="H278" s="2" t="s">
        <v>50</v>
      </c>
      <c r="I278" s="2" t="s">
        <v>51</v>
      </c>
      <c r="J278" s="2">
        <v>4</v>
      </c>
      <c r="K278" s="5">
        <v>0</v>
      </c>
      <c r="L278" s="6">
        <v>980000</v>
      </c>
      <c r="M278" s="6">
        <v>580000</v>
      </c>
      <c r="N278" s="6">
        <v>400000</v>
      </c>
      <c r="O278" s="2" t="s">
        <v>45</v>
      </c>
    </row>
    <row r="279" spans="1:15" x14ac:dyDescent="0.35">
      <c r="A279" s="2" t="s">
        <v>398</v>
      </c>
      <c r="B279" s="4">
        <v>46034</v>
      </c>
      <c r="C279" s="2" t="s">
        <v>30</v>
      </c>
      <c r="D279" s="2" t="s">
        <v>31</v>
      </c>
      <c r="E279" s="2" t="s">
        <v>41</v>
      </c>
      <c r="F279" s="2" t="s">
        <v>33</v>
      </c>
      <c r="G279" s="2" t="s">
        <v>55</v>
      </c>
      <c r="H279" s="2" t="s">
        <v>56</v>
      </c>
      <c r="I279" s="2" t="s">
        <v>36</v>
      </c>
      <c r="J279" s="2">
        <v>7</v>
      </c>
      <c r="K279" s="5">
        <v>0.08</v>
      </c>
      <c r="L279" s="6">
        <v>11914000</v>
      </c>
      <c r="M279" s="6">
        <v>9240000</v>
      </c>
      <c r="N279" s="6">
        <v>2674000</v>
      </c>
      <c r="O279" s="2" t="s">
        <v>57</v>
      </c>
    </row>
    <row r="280" spans="1:15" x14ac:dyDescent="0.35">
      <c r="A280" s="2" t="s">
        <v>399</v>
      </c>
      <c r="B280" s="4">
        <v>46082</v>
      </c>
      <c r="C280" s="2" t="s">
        <v>76</v>
      </c>
      <c r="D280" s="2" t="s">
        <v>70</v>
      </c>
      <c r="E280" s="2" t="s">
        <v>32</v>
      </c>
      <c r="F280" s="2" t="s">
        <v>33</v>
      </c>
      <c r="G280" s="2" t="s">
        <v>60</v>
      </c>
      <c r="H280" s="2" t="s">
        <v>61</v>
      </c>
      <c r="I280" s="2" t="s">
        <v>62</v>
      </c>
      <c r="J280" s="2">
        <v>6</v>
      </c>
      <c r="K280" s="5">
        <v>0.1</v>
      </c>
      <c r="L280" s="6">
        <v>351000</v>
      </c>
      <c r="M280" s="6">
        <v>186000</v>
      </c>
      <c r="N280" s="6">
        <v>165000</v>
      </c>
      <c r="O280" s="2" t="s">
        <v>84</v>
      </c>
    </row>
    <row r="281" spans="1:15" x14ac:dyDescent="0.35">
      <c r="A281" s="2" t="s">
        <v>400</v>
      </c>
      <c r="B281" s="4">
        <v>46192</v>
      </c>
      <c r="C281" s="2" t="s">
        <v>65</v>
      </c>
      <c r="D281" s="2" t="s">
        <v>40</v>
      </c>
      <c r="E281" s="2" t="s">
        <v>32</v>
      </c>
      <c r="F281" s="2" t="s">
        <v>33</v>
      </c>
      <c r="G281" s="2" t="s">
        <v>66</v>
      </c>
      <c r="H281" s="2" t="s">
        <v>67</v>
      </c>
      <c r="I281" s="2" t="s">
        <v>51</v>
      </c>
      <c r="J281" s="2">
        <v>4</v>
      </c>
      <c r="K281" s="5">
        <v>0.08</v>
      </c>
      <c r="L281" s="6">
        <v>1140800</v>
      </c>
      <c r="M281" s="6">
        <v>760000</v>
      </c>
      <c r="N281" s="6">
        <v>380800</v>
      </c>
      <c r="O281" s="2" t="s">
        <v>52</v>
      </c>
    </row>
    <row r="282" spans="1:15" x14ac:dyDescent="0.35">
      <c r="A282" s="2" t="s">
        <v>401</v>
      </c>
      <c r="B282" s="4">
        <v>46035</v>
      </c>
      <c r="C282" s="2" t="s">
        <v>65</v>
      </c>
      <c r="D282" s="2" t="s">
        <v>47</v>
      </c>
      <c r="E282" s="2" t="s">
        <v>81</v>
      </c>
      <c r="F282" s="2" t="s">
        <v>33</v>
      </c>
      <c r="G282" s="2" t="s">
        <v>71</v>
      </c>
      <c r="H282" s="2" t="s">
        <v>72</v>
      </c>
      <c r="I282" s="2" t="s">
        <v>73</v>
      </c>
      <c r="J282" s="2">
        <v>6</v>
      </c>
      <c r="K282" s="5">
        <v>0.15</v>
      </c>
      <c r="L282" s="6">
        <v>637500</v>
      </c>
      <c r="M282" s="6">
        <v>420000</v>
      </c>
      <c r="N282" s="6">
        <v>217500</v>
      </c>
      <c r="O282" s="2" t="s">
        <v>93</v>
      </c>
    </row>
    <row r="283" spans="1:15" x14ac:dyDescent="0.35">
      <c r="A283" s="2" t="s">
        <v>402</v>
      </c>
      <c r="B283" s="4">
        <v>46061</v>
      </c>
      <c r="C283" s="2" t="s">
        <v>39</v>
      </c>
      <c r="D283" s="2" t="s">
        <v>47</v>
      </c>
      <c r="E283" s="2" t="s">
        <v>48</v>
      </c>
      <c r="F283" s="2" t="s">
        <v>33</v>
      </c>
      <c r="G283" s="2" t="s">
        <v>78</v>
      </c>
      <c r="H283" s="2" t="s">
        <v>79</v>
      </c>
      <c r="I283" s="2" t="s">
        <v>62</v>
      </c>
      <c r="J283" s="2">
        <v>5</v>
      </c>
      <c r="K283" s="5">
        <v>0.08</v>
      </c>
      <c r="L283" s="6">
        <v>391000</v>
      </c>
      <c r="M283" s="6">
        <v>215000</v>
      </c>
      <c r="N283" s="6">
        <v>176000</v>
      </c>
      <c r="O283" s="2" t="s">
        <v>45</v>
      </c>
    </row>
    <row r="284" spans="1:15" x14ac:dyDescent="0.35">
      <c r="A284" s="2" t="s">
        <v>403</v>
      </c>
      <c r="B284" s="4">
        <v>46099</v>
      </c>
      <c r="C284" s="2" t="s">
        <v>30</v>
      </c>
      <c r="D284" s="2" t="s">
        <v>59</v>
      </c>
      <c r="E284" s="2" t="s">
        <v>48</v>
      </c>
      <c r="F284" s="2" t="s">
        <v>112</v>
      </c>
      <c r="G284" s="2" t="s">
        <v>82</v>
      </c>
      <c r="H284" s="2" t="s">
        <v>83</v>
      </c>
      <c r="I284" s="2" t="s">
        <v>44</v>
      </c>
      <c r="J284" s="2">
        <v>3</v>
      </c>
      <c r="K284" s="5">
        <v>0.08</v>
      </c>
      <c r="L284" s="6">
        <v>2001000</v>
      </c>
      <c r="M284" s="6">
        <v>2940000</v>
      </c>
      <c r="N284" s="6">
        <v>-939000</v>
      </c>
      <c r="O284" s="2" t="s">
        <v>93</v>
      </c>
    </row>
    <row r="285" spans="1:15" x14ac:dyDescent="0.35">
      <c r="A285" s="2" t="s">
        <v>404</v>
      </c>
      <c r="B285" s="4">
        <v>46085</v>
      </c>
      <c r="C285" s="2" t="s">
        <v>54</v>
      </c>
      <c r="D285" s="2" t="s">
        <v>40</v>
      </c>
      <c r="E285" s="2" t="s">
        <v>48</v>
      </c>
      <c r="F285" s="2" t="s">
        <v>33</v>
      </c>
      <c r="G285" s="2" t="s">
        <v>86</v>
      </c>
      <c r="H285" s="2" t="s">
        <v>87</v>
      </c>
      <c r="I285" s="2" t="s">
        <v>36</v>
      </c>
      <c r="J285" s="2">
        <v>5</v>
      </c>
      <c r="K285" s="5">
        <v>0.03</v>
      </c>
      <c r="L285" s="6">
        <v>1697500</v>
      </c>
      <c r="M285" s="6">
        <v>1050000</v>
      </c>
      <c r="N285" s="6">
        <v>647500</v>
      </c>
      <c r="O285" s="2" t="s">
        <v>37</v>
      </c>
    </row>
    <row r="286" spans="1:15" x14ac:dyDescent="0.35">
      <c r="A286" s="2" t="s">
        <v>405</v>
      </c>
      <c r="B286" s="4">
        <v>46160</v>
      </c>
      <c r="C286" s="2" t="s">
        <v>69</v>
      </c>
      <c r="D286" s="2" t="s">
        <v>47</v>
      </c>
      <c r="E286" s="2" t="s">
        <v>41</v>
      </c>
      <c r="F286" s="2" t="s">
        <v>33</v>
      </c>
      <c r="G286" s="2" t="s">
        <v>34</v>
      </c>
      <c r="H286" s="2" t="s">
        <v>35</v>
      </c>
      <c r="I286" s="2" t="s">
        <v>36</v>
      </c>
      <c r="J286" s="2">
        <v>4</v>
      </c>
      <c r="K286" s="5">
        <v>0</v>
      </c>
      <c r="L286" s="6">
        <v>1900000</v>
      </c>
      <c r="M286" s="6">
        <v>1140000</v>
      </c>
      <c r="N286" s="6">
        <v>760000</v>
      </c>
      <c r="O286" s="2" t="s">
        <v>45</v>
      </c>
    </row>
    <row r="287" spans="1:15" x14ac:dyDescent="0.35">
      <c r="A287" s="2" t="s">
        <v>406</v>
      </c>
      <c r="B287" s="2" t="s">
        <v>407</v>
      </c>
      <c r="C287" s="2" t="s">
        <v>95</v>
      </c>
      <c r="D287" s="2" t="s">
        <v>70</v>
      </c>
      <c r="E287" s="2" t="s">
        <v>81</v>
      </c>
      <c r="F287" s="2" t="s">
        <v>33</v>
      </c>
      <c r="G287" s="2" t="s">
        <v>42</v>
      </c>
      <c r="H287" s="2" t="s">
        <v>43</v>
      </c>
      <c r="I287" s="2" t="s">
        <v>44</v>
      </c>
      <c r="J287" s="2">
        <v>4</v>
      </c>
      <c r="K287" s="5">
        <v>0.08</v>
      </c>
      <c r="L287" s="6">
        <v>1012000</v>
      </c>
      <c r="M287" s="6">
        <v>620000</v>
      </c>
      <c r="N287" s="6">
        <v>392000</v>
      </c>
      <c r="O287" s="2" t="s">
        <v>45</v>
      </c>
    </row>
    <row r="288" spans="1:15" x14ac:dyDescent="0.35">
      <c r="A288" s="2" t="s">
        <v>408</v>
      </c>
      <c r="B288" s="4">
        <v>46071</v>
      </c>
      <c r="C288" s="2" t="s">
        <v>65</v>
      </c>
      <c r="D288" s="2" t="s">
        <v>31</v>
      </c>
      <c r="E288" s="2" t="s">
        <v>32</v>
      </c>
      <c r="F288" s="2" t="s">
        <v>77</v>
      </c>
      <c r="G288" s="2" t="s">
        <v>49</v>
      </c>
      <c r="H288" s="2" t="s">
        <v>50</v>
      </c>
      <c r="I288" s="2" t="s">
        <v>51</v>
      </c>
      <c r="J288" s="2">
        <v>2</v>
      </c>
      <c r="K288" s="5">
        <v>0.15</v>
      </c>
      <c r="L288" s="6">
        <v>104125</v>
      </c>
      <c r="M288" s="6">
        <v>290000</v>
      </c>
      <c r="N288" s="6">
        <v>-185875</v>
      </c>
      <c r="O288" s="2" t="s">
        <v>45</v>
      </c>
    </row>
    <row r="289" spans="1:15" x14ac:dyDescent="0.35">
      <c r="A289" s="2" t="s">
        <v>409</v>
      </c>
      <c r="B289" s="4">
        <v>46164</v>
      </c>
      <c r="C289" s="2" t="s">
        <v>76</v>
      </c>
      <c r="D289" s="2" t="s">
        <v>47</v>
      </c>
      <c r="E289" s="2" t="s">
        <v>81</v>
      </c>
      <c r="F289" s="2" t="s">
        <v>33</v>
      </c>
      <c r="G289" s="2" t="s">
        <v>410</v>
      </c>
      <c r="H289" s="2" t="s">
        <v>56</v>
      </c>
      <c r="I289" s="2" t="s">
        <v>36</v>
      </c>
      <c r="J289" s="2">
        <v>6</v>
      </c>
      <c r="K289" s="5">
        <v>0.05</v>
      </c>
      <c r="L289" s="6">
        <v>10545000</v>
      </c>
      <c r="M289" s="6">
        <v>7920000</v>
      </c>
      <c r="N289" s="6">
        <v>2625000</v>
      </c>
      <c r="O289" s="2" t="s">
        <v>57</v>
      </c>
    </row>
    <row r="290" spans="1:15" x14ac:dyDescent="0.35">
      <c r="A290" s="2" t="s">
        <v>411</v>
      </c>
      <c r="B290" s="4">
        <v>46115</v>
      </c>
      <c r="C290" s="2" t="s">
        <v>39</v>
      </c>
      <c r="D290" s="2" t="s">
        <v>59</v>
      </c>
      <c r="E290" s="2" t="s">
        <v>81</v>
      </c>
      <c r="F290" s="2" t="s">
        <v>33</v>
      </c>
      <c r="G290" s="2" t="s">
        <v>60</v>
      </c>
      <c r="H290" s="2" t="s">
        <v>61</v>
      </c>
      <c r="I290" s="2" t="s">
        <v>62</v>
      </c>
      <c r="J290" s="2">
        <v>8</v>
      </c>
      <c r="K290" s="5">
        <v>0.08</v>
      </c>
      <c r="L290" s="6">
        <v>478400</v>
      </c>
      <c r="M290" s="6">
        <v>248000</v>
      </c>
      <c r="N290" s="6">
        <v>230400</v>
      </c>
      <c r="O290" s="2" t="s">
        <v>63</v>
      </c>
    </row>
    <row r="291" spans="1:15" x14ac:dyDescent="0.35">
      <c r="A291" s="2" t="s">
        <v>412</v>
      </c>
      <c r="B291" s="4">
        <v>46103</v>
      </c>
      <c r="C291" s="2" t="s">
        <v>95</v>
      </c>
      <c r="D291" s="2" t="s">
        <v>31</v>
      </c>
      <c r="E291" s="2" t="s">
        <v>32</v>
      </c>
      <c r="F291" s="2" t="s">
        <v>33</v>
      </c>
      <c r="G291" s="2" t="s">
        <v>66</v>
      </c>
      <c r="H291" s="2" t="s">
        <v>67</v>
      </c>
      <c r="I291" s="2" t="s">
        <v>51</v>
      </c>
      <c r="J291" s="2">
        <v>7</v>
      </c>
      <c r="K291" s="5">
        <v>0</v>
      </c>
      <c r="L291" s="6">
        <v>2170000</v>
      </c>
      <c r="M291" s="6">
        <v>1330000</v>
      </c>
      <c r="N291" s="6">
        <v>840000</v>
      </c>
      <c r="O291" s="2" t="s">
        <v>57</v>
      </c>
    </row>
    <row r="292" spans="1:15" x14ac:dyDescent="0.35">
      <c r="A292" s="2" t="s">
        <v>413</v>
      </c>
      <c r="B292" s="4">
        <v>46164</v>
      </c>
      <c r="C292" s="2" t="s">
        <v>65</v>
      </c>
      <c r="D292" s="2" t="s">
        <v>70</v>
      </c>
      <c r="E292" s="2" t="s">
        <v>32</v>
      </c>
      <c r="F292" s="2" t="s">
        <v>33</v>
      </c>
      <c r="G292" s="2" t="s">
        <v>71</v>
      </c>
      <c r="H292" s="2" t="s">
        <v>72</v>
      </c>
      <c r="I292" s="2" t="s">
        <v>73</v>
      </c>
      <c r="J292" s="2">
        <v>7</v>
      </c>
      <c r="K292" s="5">
        <v>0.05</v>
      </c>
      <c r="L292" s="6" t="s">
        <v>414</v>
      </c>
      <c r="M292" s="6">
        <v>490000</v>
      </c>
      <c r="N292" s="6">
        <v>341250</v>
      </c>
      <c r="O292" s="2" t="s">
        <v>45</v>
      </c>
    </row>
    <row r="293" spans="1:15" x14ac:dyDescent="0.35">
      <c r="A293" s="2" t="s">
        <v>415</v>
      </c>
      <c r="B293" s="4">
        <v>46150</v>
      </c>
      <c r="C293" s="2" t="s">
        <v>111</v>
      </c>
      <c r="D293" s="2" t="s">
        <v>59</v>
      </c>
      <c r="E293" s="2" t="s">
        <v>48</v>
      </c>
      <c r="F293" s="2" t="s">
        <v>33</v>
      </c>
      <c r="G293" s="2" t="s">
        <v>78</v>
      </c>
      <c r="H293" s="2" t="s">
        <v>79</v>
      </c>
      <c r="I293" s="2" t="s">
        <v>62</v>
      </c>
      <c r="J293" s="2">
        <v>6</v>
      </c>
      <c r="K293" s="5">
        <v>0.05</v>
      </c>
      <c r="L293" s="6">
        <v>484500</v>
      </c>
      <c r="M293" s="6">
        <v>258000</v>
      </c>
      <c r="N293" s="6">
        <v>226500</v>
      </c>
      <c r="O293" s="2" t="s">
        <v>84</v>
      </c>
    </row>
    <row r="294" spans="1:15" x14ac:dyDescent="0.35">
      <c r="A294" s="2" t="s">
        <v>416</v>
      </c>
      <c r="B294" s="4">
        <v>46113</v>
      </c>
      <c r="C294" s="2" t="s">
        <v>95</v>
      </c>
      <c r="D294" s="2" t="s">
        <v>59</v>
      </c>
      <c r="E294" s="2" t="s">
        <v>32</v>
      </c>
      <c r="F294" s="2" t="s">
        <v>33</v>
      </c>
      <c r="G294" s="2" t="s">
        <v>82</v>
      </c>
      <c r="H294" s="2" t="s">
        <v>83</v>
      </c>
      <c r="I294" s="2" t="s">
        <v>44</v>
      </c>
      <c r="J294" s="2">
        <v>3</v>
      </c>
      <c r="K294" s="5">
        <v>0.03</v>
      </c>
      <c r="L294" s="6">
        <v>4219500</v>
      </c>
      <c r="M294" s="6">
        <v>2940000</v>
      </c>
      <c r="N294" s="6">
        <v>1279500</v>
      </c>
      <c r="O294" s="2" t="s">
        <v>74</v>
      </c>
    </row>
    <row r="295" spans="1:15" x14ac:dyDescent="0.35">
      <c r="A295" s="2" t="s">
        <v>417</v>
      </c>
      <c r="B295" s="4">
        <v>46042</v>
      </c>
      <c r="C295" s="2" t="s">
        <v>30</v>
      </c>
      <c r="D295" s="2" t="s">
        <v>31</v>
      </c>
      <c r="E295" s="2" t="s">
        <v>41</v>
      </c>
      <c r="F295" s="2" t="s">
        <v>33</v>
      </c>
      <c r="G295" s="2" t="s">
        <v>86</v>
      </c>
      <c r="H295" s="2" t="s">
        <v>87</v>
      </c>
      <c r="I295" s="2" t="s">
        <v>36</v>
      </c>
      <c r="J295" s="2">
        <v>1</v>
      </c>
      <c r="K295" s="5">
        <v>0</v>
      </c>
      <c r="L295" s="6">
        <v>350000</v>
      </c>
      <c r="M295" s="6">
        <v>210000</v>
      </c>
      <c r="N295" s="6">
        <v>140000</v>
      </c>
      <c r="O295" s="2" t="s">
        <v>74</v>
      </c>
    </row>
    <row r="296" spans="1:15" x14ac:dyDescent="0.35">
      <c r="A296" s="2" t="s">
        <v>418</v>
      </c>
      <c r="B296" s="4">
        <v>46078</v>
      </c>
      <c r="C296" s="2" t="s">
        <v>111</v>
      </c>
      <c r="D296" s="2" t="s">
        <v>47</v>
      </c>
      <c r="E296" s="2" t="s">
        <v>48</v>
      </c>
      <c r="F296" s="2" t="s">
        <v>33</v>
      </c>
      <c r="G296" s="2" t="s">
        <v>34</v>
      </c>
      <c r="H296" s="2" t="s">
        <v>35</v>
      </c>
      <c r="I296" s="2" t="s">
        <v>36</v>
      </c>
      <c r="J296" s="2">
        <v>8</v>
      </c>
      <c r="K296" s="5">
        <v>0.05</v>
      </c>
      <c r="L296" s="6">
        <v>3610000</v>
      </c>
      <c r="M296" s="6">
        <v>2280000</v>
      </c>
      <c r="N296" s="6">
        <v>1330000</v>
      </c>
      <c r="O296" s="2" t="s">
        <v>74</v>
      </c>
    </row>
    <row r="297" spans="1:15" x14ac:dyDescent="0.35">
      <c r="A297" s="2" t="s">
        <v>419</v>
      </c>
      <c r="B297" s="4">
        <v>46024</v>
      </c>
      <c r="C297" s="2" t="s">
        <v>95</v>
      </c>
      <c r="D297" s="2" t="s">
        <v>70</v>
      </c>
      <c r="E297" s="2" t="s">
        <v>81</v>
      </c>
      <c r="F297" s="2" t="s">
        <v>33</v>
      </c>
      <c r="G297" s="2" t="s">
        <v>42</v>
      </c>
      <c r="H297" s="2" t="s">
        <v>43</v>
      </c>
      <c r="I297" s="2" t="s">
        <v>44</v>
      </c>
      <c r="J297" s="2">
        <v>7</v>
      </c>
      <c r="K297" s="5">
        <v>0</v>
      </c>
      <c r="L297" s="6">
        <v>1925000</v>
      </c>
      <c r="M297" s="6">
        <v>1085000</v>
      </c>
      <c r="N297" s="6">
        <v>840000</v>
      </c>
      <c r="O297" s="2" t="s">
        <v>93</v>
      </c>
    </row>
    <row r="298" spans="1:15" x14ac:dyDescent="0.35">
      <c r="A298" s="2" t="s">
        <v>420</v>
      </c>
      <c r="B298" s="4">
        <v>46068</v>
      </c>
      <c r="C298" s="2" t="s">
        <v>76</v>
      </c>
      <c r="D298" s="2" t="s">
        <v>31</v>
      </c>
      <c r="E298" s="2" t="s">
        <v>32</v>
      </c>
      <c r="F298" s="2" t="s">
        <v>33</v>
      </c>
      <c r="G298" s="2" t="s">
        <v>49</v>
      </c>
      <c r="H298" s="2" t="s">
        <v>50</v>
      </c>
      <c r="I298" s="2" t="s">
        <v>51</v>
      </c>
      <c r="J298" s="2">
        <v>2</v>
      </c>
      <c r="K298" s="5">
        <v>0</v>
      </c>
      <c r="L298" s="6">
        <v>490000</v>
      </c>
      <c r="M298" s="6">
        <v>290000</v>
      </c>
      <c r="N298" s="6">
        <v>200000</v>
      </c>
      <c r="O298" s="2" t="s">
        <v>63</v>
      </c>
    </row>
    <row r="299" spans="1:15" x14ac:dyDescent="0.35">
      <c r="A299" s="2" t="s">
        <v>421</v>
      </c>
      <c r="B299" s="4">
        <v>46091</v>
      </c>
      <c r="C299" s="2" t="s">
        <v>39</v>
      </c>
      <c r="D299" s="2" t="s">
        <v>59</v>
      </c>
      <c r="E299" s="2" t="s">
        <v>48</v>
      </c>
      <c r="F299" s="2" t="s">
        <v>33</v>
      </c>
      <c r="G299" s="2" t="s">
        <v>55</v>
      </c>
      <c r="H299" s="2" t="s">
        <v>56</v>
      </c>
      <c r="I299" s="2" t="s">
        <v>36</v>
      </c>
      <c r="J299" s="2">
        <v>7</v>
      </c>
      <c r="K299" s="5">
        <v>0</v>
      </c>
      <c r="L299" s="6">
        <v>12950000</v>
      </c>
      <c r="M299" s="6">
        <v>9240000</v>
      </c>
      <c r="N299" s="6">
        <v>3710000</v>
      </c>
      <c r="O299" s="2" t="s">
        <v>45</v>
      </c>
    </row>
    <row r="300" spans="1:15" x14ac:dyDescent="0.35">
      <c r="A300" s="2" t="s">
        <v>422</v>
      </c>
      <c r="B300" s="2" t="s">
        <v>423</v>
      </c>
      <c r="C300" s="2" t="s">
        <v>65</v>
      </c>
      <c r="D300" s="2" t="s">
        <v>40</v>
      </c>
      <c r="E300" s="2" t="s">
        <v>41</v>
      </c>
      <c r="F300" s="2" t="s">
        <v>77</v>
      </c>
      <c r="G300" s="2" t="s">
        <v>60</v>
      </c>
      <c r="H300" s="2" t="s">
        <v>61</v>
      </c>
      <c r="I300" s="2" t="s">
        <v>62</v>
      </c>
      <c r="J300" s="2">
        <v>2</v>
      </c>
      <c r="K300" s="5">
        <v>0.15</v>
      </c>
      <c r="L300" s="6">
        <v>55250</v>
      </c>
      <c r="M300" s="6">
        <v>62000</v>
      </c>
      <c r="N300" s="6">
        <v>-6750</v>
      </c>
      <c r="O300" s="2" t="s">
        <v>93</v>
      </c>
    </row>
    <row r="301" spans="1:15" x14ac:dyDescent="0.35">
      <c r="A301" s="2" t="s">
        <v>424</v>
      </c>
      <c r="B301" s="4">
        <v>46119</v>
      </c>
      <c r="C301" s="2" t="s">
        <v>111</v>
      </c>
      <c r="D301" s="2" t="s">
        <v>120</v>
      </c>
      <c r="E301" s="2" t="s">
        <v>41</v>
      </c>
      <c r="F301" s="2" t="s">
        <v>122</v>
      </c>
      <c r="G301" s="2" t="s">
        <v>66</v>
      </c>
      <c r="H301" s="2" t="s">
        <v>67</v>
      </c>
      <c r="I301" s="2" t="s">
        <v>51</v>
      </c>
      <c r="J301" s="2">
        <v>8</v>
      </c>
      <c r="K301" s="5">
        <v>0</v>
      </c>
      <c r="L301" s="6">
        <v>2480000</v>
      </c>
      <c r="M301" s="6">
        <v>1520000</v>
      </c>
      <c r="N301" s="6">
        <v>960000</v>
      </c>
      <c r="O301" s="2" t="s">
        <v>93</v>
      </c>
    </row>
    <row r="302" spans="1:15" x14ac:dyDescent="0.35">
      <c r="A302" s="2" t="s">
        <v>425</v>
      </c>
      <c r="B302" s="4">
        <v>46188</v>
      </c>
      <c r="C302" s="2" t="s">
        <v>39</v>
      </c>
      <c r="D302" s="2" t="s">
        <v>47</v>
      </c>
      <c r="E302" s="2" t="s">
        <v>41</v>
      </c>
      <c r="F302" s="2" t="s">
        <v>77</v>
      </c>
      <c r="G302" s="2" t="s">
        <v>71</v>
      </c>
      <c r="H302" s="2" t="s">
        <v>72</v>
      </c>
      <c r="I302" s="2" t="s">
        <v>73</v>
      </c>
      <c r="J302" s="2">
        <v>6</v>
      </c>
      <c r="K302" s="5">
        <v>0.1</v>
      </c>
      <c r="L302" s="6">
        <v>0</v>
      </c>
      <c r="M302" s="6">
        <v>420000</v>
      </c>
      <c r="N302" s="6">
        <v>-420000</v>
      </c>
      <c r="O302" s="2" t="s">
        <v>45</v>
      </c>
    </row>
    <row r="303" spans="1:15" x14ac:dyDescent="0.35">
      <c r="A303" s="2" t="s">
        <v>426</v>
      </c>
      <c r="B303" s="4">
        <v>46200</v>
      </c>
      <c r="C303" s="2" t="s">
        <v>95</v>
      </c>
      <c r="D303" s="2" t="s">
        <v>40</v>
      </c>
      <c r="E303" s="2" t="s">
        <v>81</v>
      </c>
      <c r="F303" s="2" t="s">
        <v>33</v>
      </c>
      <c r="G303" s="2" t="s">
        <v>78</v>
      </c>
      <c r="H303" s="2" t="s">
        <v>79</v>
      </c>
      <c r="I303" s="2" t="s">
        <v>377</v>
      </c>
      <c r="J303" s="2">
        <v>8</v>
      </c>
      <c r="K303" s="5">
        <v>0.05</v>
      </c>
      <c r="L303" s="6">
        <v>646000</v>
      </c>
      <c r="M303" s="6">
        <v>344000</v>
      </c>
      <c r="N303" s="6">
        <v>302000</v>
      </c>
      <c r="O303" s="2" t="s">
        <v>84</v>
      </c>
    </row>
    <row r="304" spans="1:15" x14ac:dyDescent="0.35">
      <c r="A304" s="2" t="s">
        <v>427</v>
      </c>
      <c r="B304" s="4">
        <v>46103</v>
      </c>
      <c r="C304" s="2" t="s">
        <v>76</v>
      </c>
      <c r="D304" s="2" t="s">
        <v>59</v>
      </c>
      <c r="E304" s="2" t="s">
        <v>41</v>
      </c>
      <c r="F304" s="2" t="s">
        <v>33</v>
      </c>
      <c r="G304" s="2" t="s">
        <v>82</v>
      </c>
      <c r="H304" s="2" t="s">
        <v>83</v>
      </c>
      <c r="I304" s="2" t="s">
        <v>44</v>
      </c>
      <c r="J304" s="2">
        <v>1</v>
      </c>
      <c r="K304" s="5">
        <v>0.03</v>
      </c>
      <c r="L304" s="6">
        <v>1406500</v>
      </c>
      <c r="M304" s="6">
        <v>980000</v>
      </c>
      <c r="N304" s="6">
        <v>426500</v>
      </c>
      <c r="O304" s="2" t="s">
        <v>84</v>
      </c>
    </row>
    <row r="305" spans="1:15" x14ac:dyDescent="0.35">
      <c r="A305" s="2" t="s">
        <v>428</v>
      </c>
      <c r="B305" s="4">
        <v>46167</v>
      </c>
      <c r="C305" s="2" t="s">
        <v>65</v>
      </c>
      <c r="D305" s="2" t="s">
        <v>59</v>
      </c>
      <c r="E305" s="2" t="s">
        <v>81</v>
      </c>
      <c r="F305" s="2" t="s">
        <v>429</v>
      </c>
      <c r="G305" s="2" t="s">
        <v>86</v>
      </c>
      <c r="H305" s="2" t="s">
        <v>87</v>
      </c>
      <c r="I305" s="2" t="s">
        <v>36</v>
      </c>
      <c r="J305" s="2">
        <v>4</v>
      </c>
      <c r="K305" s="5">
        <v>0.1</v>
      </c>
      <c r="L305" s="6">
        <v>1260000</v>
      </c>
      <c r="M305" s="6">
        <v>840000</v>
      </c>
      <c r="N305" s="6">
        <v>420000</v>
      </c>
      <c r="O305" s="2" t="s">
        <v>84</v>
      </c>
    </row>
    <row r="306" spans="1:15" x14ac:dyDescent="0.35">
      <c r="A306" s="2" t="s">
        <v>430</v>
      </c>
      <c r="B306" s="4">
        <v>46199</v>
      </c>
      <c r="C306" s="2" t="s">
        <v>69</v>
      </c>
      <c r="D306" s="2" t="s">
        <v>70</v>
      </c>
      <c r="E306" s="2" t="s">
        <v>235</v>
      </c>
      <c r="F306" s="2" t="s">
        <v>33</v>
      </c>
      <c r="G306" s="2" t="s">
        <v>34</v>
      </c>
      <c r="H306" s="2" t="s">
        <v>35</v>
      </c>
      <c r="I306" s="2" t="s">
        <v>36</v>
      </c>
      <c r="J306" s="2">
        <v>2</v>
      </c>
      <c r="K306" s="5">
        <v>0.1</v>
      </c>
      <c r="L306" s="6">
        <v>855000</v>
      </c>
      <c r="M306" s="6">
        <v>570000</v>
      </c>
      <c r="N306" s="6">
        <v>285000</v>
      </c>
      <c r="O306" s="2" t="s">
        <v>93</v>
      </c>
    </row>
    <row r="307" spans="1:15" x14ac:dyDescent="0.35">
      <c r="A307" s="2" t="s">
        <v>431</v>
      </c>
      <c r="B307" s="4">
        <v>46082</v>
      </c>
      <c r="C307" s="2" t="s">
        <v>54</v>
      </c>
      <c r="D307" s="2" t="s">
        <v>47</v>
      </c>
      <c r="E307" s="2" t="s">
        <v>48</v>
      </c>
      <c r="F307" s="2" t="s">
        <v>33</v>
      </c>
      <c r="G307" s="2" t="s">
        <v>42</v>
      </c>
      <c r="H307" s="2" t="s">
        <v>43</v>
      </c>
      <c r="I307" s="2" t="s">
        <v>222</v>
      </c>
      <c r="J307" s="2">
        <v>2</v>
      </c>
      <c r="K307" s="5">
        <v>0.05</v>
      </c>
      <c r="L307" s="6">
        <v>522500</v>
      </c>
      <c r="M307" s="6">
        <v>310000</v>
      </c>
      <c r="N307" s="6">
        <v>212500</v>
      </c>
      <c r="O307" s="2" t="s">
        <v>74</v>
      </c>
    </row>
    <row r="308" spans="1:15" x14ac:dyDescent="0.35">
      <c r="A308" s="2" t="s">
        <v>432</v>
      </c>
      <c r="B308" s="4">
        <v>46185</v>
      </c>
      <c r="C308" s="2" t="s">
        <v>65</v>
      </c>
      <c r="D308" s="2" t="s">
        <v>70</v>
      </c>
      <c r="E308" s="2" t="s">
        <v>48</v>
      </c>
      <c r="F308" s="2" t="s">
        <v>33</v>
      </c>
      <c r="G308" s="2" t="s">
        <v>49</v>
      </c>
      <c r="H308" s="2" t="s">
        <v>50</v>
      </c>
      <c r="I308" s="2" t="s">
        <v>51</v>
      </c>
      <c r="J308" s="2">
        <v>5</v>
      </c>
      <c r="K308" s="5">
        <v>0.08</v>
      </c>
      <c r="L308" s="6">
        <v>1127000</v>
      </c>
      <c r="M308" s="6">
        <v>725000</v>
      </c>
      <c r="N308" s="6">
        <v>402000</v>
      </c>
      <c r="O308" s="2" t="s">
        <v>84</v>
      </c>
    </row>
    <row r="309" spans="1:15" x14ac:dyDescent="0.35">
      <c r="A309" s="2" t="s">
        <v>433</v>
      </c>
      <c r="B309" s="4">
        <v>46197</v>
      </c>
      <c r="C309" s="2" t="s">
        <v>69</v>
      </c>
      <c r="D309" s="2" t="s">
        <v>70</v>
      </c>
      <c r="E309" s="2" t="s">
        <v>32</v>
      </c>
      <c r="F309" s="2" t="s">
        <v>33</v>
      </c>
      <c r="G309" s="2" t="s">
        <v>55</v>
      </c>
      <c r="H309" s="2" t="s">
        <v>56</v>
      </c>
      <c r="I309" s="2" t="s">
        <v>36</v>
      </c>
      <c r="J309" s="2">
        <v>7</v>
      </c>
      <c r="K309" s="5">
        <v>0</v>
      </c>
      <c r="L309" s="6">
        <v>12950000</v>
      </c>
      <c r="M309" s="6">
        <v>9240000</v>
      </c>
      <c r="N309" s="6">
        <v>3710000</v>
      </c>
      <c r="O309" s="2" t="s">
        <v>37</v>
      </c>
    </row>
    <row r="310" spans="1:15" x14ac:dyDescent="0.35">
      <c r="A310" s="2" t="s">
        <v>434</v>
      </c>
      <c r="B310" s="4">
        <v>46091</v>
      </c>
      <c r="C310" s="2" t="s">
        <v>54</v>
      </c>
      <c r="D310" s="2" t="s">
        <v>31</v>
      </c>
      <c r="E310" s="2" t="s">
        <v>435</v>
      </c>
      <c r="F310" s="2" t="s">
        <v>33</v>
      </c>
      <c r="G310" s="2" t="s">
        <v>60</v>
      </c>
      <c r="H310" s="2" t="s">
        <v>61</v>
      </c>
      <c r="I310" s="2" t="s">
        <v>62</v>
      </c>
      <c r="J310" s="2">
        <v>3</v>
      </c>
      <c r="K310" s="5">
        <v>0.08</v>
      </c>
      <c r="L310" s="6">
        <v>179400</v>
      </c>
      <c r="M310" s="6">
        <v>93000</v>
      </c>
      <c r="N310" s="6">
        <v>86400</v>
      </c>
      <c r="O310" s="2" t="s">
        <v>63</v>
      </c>
    </row>
    <row r="311" spans="1:15" x14ac:dyDescent="0.35">
      <c r="A311" s="2" t="s">
        <v>436</v>
      </c>
      <c r="B311" s="4">
        <v>46050</v>
      </c>
      <c r="C311" s="2" t="s">
        <v>69</v>
      </c>
      <c r="D311" s="2" t="s">
        <v>70</v>
      </c>
      <c r="E311" s="2" t="s">
        <v>81</v>
      </c>
      <c r="F311" s="2" t="s">
        <v>112</v>
      </c>
      <c r="G311" s="2" t="s">
        <v>66</v>
      </c>
      <c r="H311" s="2" t="s">
        <v>67</v>
      </c>
      <c r="I311" s="2" t="s">
        <v>51</v>
      </c>
      <c r="J311" s="2">
        <v>2</v>
      </c>
      <c r="K311" s="5">
        <v>0</v>
      </c>
      <c r="L311" s="6">
        <v>155000</v>
      </c>
      <c r="M311" s="6">
        <v>380000</v>
      </c>
      <c r="N311" s="6">
        <v>-225000</v>
      </c>
      <c r="O311" s="2" t="s">
        <v>84</v>
      </c>
    </row>
    <row r="312" spans="1:15" x14ac:dyDescent="0.35">
      <c r="A312" s="2" t="s">
        <v>437</v>
      </c>
      <c r="B312" s="4">
        <v>46045</v>
      </c>
      <c r="C312" s="2" t="s">
        <v>69</v>
      </c>
      <c r="D312" s="2" t="s">
        <v>47</v>
      </c>
      <c r="E312" s="2" t="s">
        <v>48</v>
      </c>
      <c r="F312" s="2" t="s">
        <v>33</v>
      </c>
      <c r="G312" s="2" t="s">
        <v>71</v>
      </c>
      <c r="H312" s="2" t="s">
        <v>72</v>
      </c>
      <c r="I312" s="2" t="s">
        <v>73</v>
      </c>
      <c r="J312" s="2">
        <v>3</v>
      </c>
      <c r="K312" s="5">
        <v>0.08</v>
      </c>
      <c r="L312" s="6">
        <v>345000</v>
      </c>
      <c r="M312" s="6">
        <v>210000</v>
      </c>
      <c r="N312" s="6">
        <v>135000</v>
      </c>
      <c r="O312" s="2" t="s">
        <v>74</v>
      </c>
    </row>
    <row r="313" spans="1:15" x14ac:dyDescent="0.35">
      <c r="A313" s="2" t="s">
        <v>438</v>
      </c>
      <c r="B313" s="4">
        <v>46045</v>
      </c>
      <c r="C313" s="2" t="s">
        <v>65</v>
      </c>
      <c r="D313" s="2" t="s">
        <v>47</v>
      </c>
      <c r="E313" s="2" t="s">
        <v>81</v>
      </c>
      <c r="F313" s="2" t="s">
        <v>33</v>
      </c>
      <c r="G313" s="2" t="s">
        <v>78</v>
      </c>
      <c r="H313" s="2" t="s">
        <v>79</v>
      </c>
      <c r="I313" s="2" t="s">
        <v>62</v>
      </c>
      <c r="J313" s="2">
        <v>6</v>
      </c>
      <c r="K313" s="5">
        <v>0.1</v>
      </c>
      <c r="L313" s="6">
        <v>459000</v>
      </c>
      <c r="M313" s="6">
        <v>258000</v>
      </c>
      <c r="N313" s="6">
        <v>201000</v>
      </c>
      <c r="O313" s="2" t="s">
        <v>74</v>
      </c>
    </row>
    <row r="314" spans="1:15" x14ac:dyDescent="0.35">
      <c r="A314" s="2" t="s">
        <v>439</v>
      </c>
      <c r="B314" s="4">
        <v>46097</v>
      </c>
      <c r="C314" s="2" t="s">
        <v>30</v>
      </c>
      <c r="D314" s="2" t="s">
        <v>47</v>
      </c>
      <c r="E314" s="2" t="s">
        <v>32</v>
      </c>
      <c r="F314" s="2" t="s">
        <v>33</v>
      </c>
      <c r="G314" s="2" t="s">
        <v>82</v>
      </c>
      <c r="H314" s="2" t="s">
        <v>83</v>
      </c>
      <c r="I314" s="2" t="s">
        <v>44</v>
      </c>
      <c r="J314" s="2">
        <v>7</v>
      </c>
      <c r="K314" s="5">
        <v>0.08</v>
      </c>
      <c r="L314" s="6">
        <v>9338000</v>
      </c>
      <c r="M314" s="6">
        <v>6860000</v>
      </c>
      <c r="N314" s="6">
        <v>2478000</v>
      </c>
      <c r="O314" s="2" t="s">
        <v>93</v>
      </c>
    </row>
    <row r="315" spans="1:15" x14ac:dyDescent="0.35">
      <c r="A315" s="2" t="s">
        <v>440</v>
      </c>
      <c r="B315" s="4">
        <v>46066</v>
      </c>
      <c r="C315" s="2" t="s">
        <v>69</v>
      </c>
      <c r="D315" s="2" t="s">
        <v>59</v>
      </c>
      <c r="E315" s="2" t="s">
        <v>32</v>
      </c>
      <c r="F315" s="2" t="s">
        <v>33</v>
      </c>
      <c r="G315" s="2" t="s">
        <v>86</v>
      </c>
      <c r="H315" s="2" t="s">
        <v>87</v>
      </c>
      <c r="I315" s="2" t="s">
        <v>36</v>
      </c>
      <c r="J315" s="2">
        <v>3</v>
      </c>
      <c r="K315" s="5">
        <v>0.05</v>
      </c>
      <c r="L315" s="6">
        <v>997500</v>
      </c>
      <c r="M315" s="6">
        <v>630000</v>
      </c>
      <c r="N315" s="6">
        <v>367500</v>
      </c>
      <c r="O315" s="2" t="s">
        <v>84</v>
      </c>
    </row>
    <row r="316" spans="1:15" x14ac:dyDescent="0.35">
      <c r="A316" s="2" t="s">
        <v>441</v>
      </c>
      <c r="B316" s="4">
        <v>46134</v>
      </c>
      <c r="C316" s="2" t="s">
        <v>76</v>
      </c>
      <c r="D316" s="2" t="s">
        <v>40</v>
      </c>
      <c r="E316" s="2" t="s">
        <v>81</v>
      </c>
      <c r="F316" s="2" t="s">
        <v>33</v>
      </c>
      <c r="G316" s="2" t="s">
        <v>34</v>
      </c>
      <c r="H316" s="2" t="s">
        <v>35</v>
      </c>
      <c r="I316" s="2" t="s">
        <v>36</v>
      </c>
      <c r="J316" s="2">
        <v>5</v>
      </c>
      <c r="K316" s="5">
        <v>0.08</v>
      </c>
      <c r="L316" s="6">
        <v>2185000</v>
      </c>
      <c r="M316" s="6">
        <v>1425000</v>
      </c>
      <c r="N316" s="6">
        <v>760000</v>
      </c>
      <c r="O316" s="2" t="s">
        <v>45</v>
      </c>
    </row>
    <row r="317" spans="1:15" x14ac:dyDescent="0.35">
      <c r="A317" s="2" t="s">
        <v>442</v>
      </c>
      <c r="B317" s="4">
        <v>46183</v>
      </c>
      <c r="C317" s="2" t="s">
        <v>30</v>
      </c>
      <c r="D317" s="2" t="s">
        <v>141</v>
      </c>
      <c r="E317" s="2" t="s">
        <v>41</v>
      </c>
      <c r="F317" s="2" t="s">
        <v>33</v>
      </c>
      <c r="G317" s="2" t="s">
        <v>42</v>
      </c>
      <c r="H317" s="2" t="s">
        <v>43</v>
      </c>
      <c r="I317" s="2" t="s">
        <v>44</v>
      </c>
      <c r="J317" s="2">
        <v>8</v>
      </c>
      <c r="K317" s="5">
        <v>0.1</v>
      </c>
      <c r="L317" s="6">
        <v>1980000</v>
      </c>
      <c r="M317" s="6">
        <v>1240000</v>
      </c>
      <c r="N317" s="6">
        <v>740000</v>
      </c>
      <c r="O317" s="2" t="s">
        <v>57</v>
      </c>
    </row>
    <row r="318" spans="1:15" x14ac:dyDescent="0.35">
      <c r="A318" s="2" t="s">
        <v>443</v>
      </c>
      <c r="B318" s="4">
        <v>46024</v>
      </c>
      <c r="C318" s="2" t="s">
        <v>111</v>
      </c>
      <c r="D318" s="2" t="s">
        <v>59</v>
      </c>
      <c r="E318" s="2" t="s">
        <v>81</v>
      </c>
      <c r="F318" s="2" t="s">
        <v>90</v>
      </c>
      <c r="G318" s="2" t="s">
        <v>49</v>
      </c>
      <c r="H318" s="2" t="s">
        <v>50</v>
      </c>
      <c r="I318" s="2" t="s">
        <v>51</v>
      </c>
      <c r="J318" s="2">
        <v>7</v>
      </c>
      <c r="K318" s="5">
        <v>0.05</v>
      </c>
      <c r="L318" s="6">
        <v>1629250</v>
      </c>
      <c r="M318" s="6">
        <v>1015000</v>
      </c>
      <c r="N318" s="6">
        <v>614250</v>
      </c>
      <c r="O318" s="2" t="s">
        <v>63</v>
      </c>
    </row>
    <row r="319" spans="1:15" x14ac:dyDescent="0.35">
      <c r="A319" s="2" t="s">
        <v>444</v>
      </c>
      <c r="B319" s="4">
        <v>46133</v>
      </c>
      <c r="C319" s="2" t="s">
        <v>54</v>
      </c>
      <c r="D319" s="2" t="s">
        <v>31</v>
      </c>
      <c r="E319" s="2" t="s">
        <v>48</v>
      </c>
      <c r="F319" s="2" t="s">
        <v>33</v>
      </c>
      <c r="G319" s="2" t="s">
        <v>55</v>
      </c>
      <c r="H319" s="2" t="s">
        <v>56</v>
      </c>
      <c r="I319" s="2" t="s">
        <v>36</v>
      </c>
      <c r="J319" s="2">
        <v>3</v>
      </c>
      <c r="K319" s="5">
        <v>0.05</v>
      </c>
      <c r="L319" s="6">
        <v>5272500</v>
      </c>
      <c r="M319" s="6">
        <v>3960000</v>
      </c>
      <c r="N319" s="6">
        <v>1312500</v>
      </c>
      <c r="O319" s="2" t="s">
        <v>84</v>
      </c>
    </row>
    <row r="320" spans="1:15" x14ac:dyDescent="0.35">
      <c r="A320" s="2" t="s">
        <v>445</v>
      </c>
      <c r="B320" s="4">
        <v>46124</v>
      </c>
      <c r="C320" s="2" t="s">
        <v>54</v>
      </c>
      <c r="D320" s="2" t="s">
        <v>59</v>
      </c>
      <c r="E320" s="2" t="s">
        <v>32</v>
      </c>
      <c r="F320" s="2" t="s">
        <v>33</v>
      </c>
      <c r="G320" s="2" t="s">
        <v>60</v>
      </c>
      <c r="H320" s="2" t="s">
        <v>61</v>
      </c>
      <c r="I320" s="2" t="s">
        <v>62</v>
      </c>
      <c r="J320" s="2">
        <v>6</v>
      </c>
      <c r="K320" s="5">
        <v>0.05</v>
      </c>
      <c r="L320" s="6">
        <v>370500</v>
      </c>
      <c r="M320" s="6">
        <v>186000</v>
      </c>
      <c r="N320" s="6">
        <v>184500</v>
      </c>
      <c r="O320" s="2" t="s">
        <v>93</v>
      </c>
    </row>
    <row r="321" spans="1:15" x14ac:dyDescent="0.35">
      <c r="A321" s="2" t="s">
        <v>446</v>
      </c>
      <c r="B321" s="4">
        <v>46094</v>
      </c>
      <c r="C321" s="2" t="s">
        <v>30</v>
      </c>
      <c r="D321" s="2" t="s">
        <v>47</v>
      </c>
      <c r="E321" s="2" t="s">
        <v>32</v>
      </c>
      <c r="F321" s="2" t="s">
        <v>33</v>
      </c>
      <c r="G321" s="2" t="s">
        <v>66</v>
      </c>
      <c r="H321" s="2" t="s">
        <v>67</v>
      </c>
      <c r="I321" s="2" t="s">
        <v>51</v>
      </c>
      <c r="J321" s="2">
        <v>7</v>
      </c>
      <c r="K321" s="5">
        <v>0.05</v>
      </c>
      <c r="L321" s="6">
        <v>2061500</v>
      </c>
      <c r="M321" s="6">
        <v>1330000</v>
      </c>
      <c r="N321" s="6">
        <v>731500</v>
      </c>
      <c r="O321" s="2" t="s">
        <v>74</v>
      </c>
    </row>
    <row r="322" spans="1:15" x14ac:dyDescent="0.35">
      <c r="A322" s="2" t="s">
        <v>447</v>
      </c>
      <c r="B322" s="4">
        <v>46141</v>
      </c>
      <c r="C322" s="2" t="s">
        <v>111</v>
      </c>
      <c r="D322" s="2" t="s">
        <v>40</v>
      </c>
      <c r="E322" s="2" t="s">
        <v>48</v>
      </c>
      <c r="F322" s="2" t="s">
        <v>90</v>
      </c>
      <c r="G322" s="2" t="s">
        <v>71</v>
      </c>
      <c r="H322" s="2" t="s">
        <v>72</v>
      </c>
      <c r="I322" s="2" t="s">
        <v>73</v>
      </c>
      <c r="J322" s="2">
        <v>4</v>
      </c>
      <c r="K322" s="5">
        <v>0.08</v>
      </c>
      <c r="L322" s="6">
        <v>460000</v>
      </c>
      <c r="M322" s="6">
        <v>280000</v>
      </c>
      <c r="N322" s="6">
        <v>180000</v>
      </c>
      <c r="O322" s="2" t="s">
        <v>84</v>
      </c>
    </row>
    <row r="323" spans="1:15" x14ac:dyDescent="0.35">
      <c r="A323" s="2" t="s">
        <v>448</v>
      </c>
      <c r="B323" s="4">
        <v>46185</v>
      </c>
      <c r="C323" s="2" t="s">
        <v>65</v>
      </c>
      <c r="D323" s="2" t="s">
        <v>31</v>
      </c>
      <c r="E323" s="2" t="s">
        <v>48</v>
      </c>
      <c r="F323" s="2" t="s">
        <v>33</v>
      </c>
      <c r="G323" s="2" t="s">
        <v>78</v>
      </c>
      <c r="H323" s="2" t="s">
        <v>79</v>
      </c>
      <c r="I323" s="2" t="s">
        <v>62</v>
      </c>
      <c r="J323" s="2">
        <v>5</v>
      </c>
      <c r="K323" s="5">
        <v>0.03</v>
      </c>
      <c r="L323" s="6">
        <v>412250</v>
      </c>
      <c r="M323" s="6">
        <v>215000</v>
      </c>
      <c r="N323" s="6">
        <v>197250</v>
      </c>
      <c r="O323" s="2" t="s">
        <v>37</v>
      </c>
    </row>
    <row r="324" spans="1:15" x14ac:dyDescent="0.35">
      <c r="A324" s="2" t="s">
        <v>449</v>
      </c>
      <c r="B324" s="4">
        <v>46137</v>
      </c>
      <c r="C324" s="2" t="s">
        <v>95</v>
      </c>
      <c r="D324" s="2" t="s">
        <v>47</v>
      </c>
      <c r="E324" s="2" t="s">
        <v>48</v>
      </c>
      <c r="F324" s="2" t="s">
        <v>33</v>
      </c>
      <c r="G324" s="2" t="s">
        <v>82</v>
      </c>
      <c r="H324" s="2" t="s">
        <v>83</v>
      </c>
      <c r="I324" s="2" t="s">
        <v>44</v>
      </c>
      <c r="J324" s="2">
        <v>8</v>
      </c>
      <c r="K324" s="5">
        <v>0.1</v>
      </c>
      <c r="L324" s="6">
        <v>10440000</v>
      </c>
      <c r="M324" s="6">
        <v>7840000</v>
      </c>
      <c r="N324" s="6">
        <v>2600000</v>
      </c>
      <c r="O324" s="2" t="s">
        <v>63</v>
      </c>
    </row>
    <row r="325" spans="1:15" x14ac:dyDescent="0.35">
      <c r="A325" s="2" t="s">
        <v>450</v>
      </c>
      <c r="B325" s="4">
        <v>46202</v>
      </c>
      <c r="C325" s="2" t="s">
        <v>95</v>
      </c>
      <c r="D325" s="2" t="s">
        <v>70</v>
      </c>
      <c r="E325" s="2" t="s">
        <v>32</v>
      </c>
      <c r="F325" s="2" t="s">
        <v>33</v>
      </c>
      <c r="G325" s="2" t="s">
        <v>86</v>
      </c>
      <c r="H325" s="2" t="s">
        <v>87</v>
      </c>
      <c r="I325" s="2" t="s">
        <v>36</v>
      </c>
      <c r="J325" s="2">
        <v>2</v>
      </c>
      <c r="K325" s="5">
        <v>0</v>
      </c>
      <c r="L325" s="6">
        <v>700000</v>
      </c>
      <c r="M325" s="6">
        <v>420000</v>
      </c>
      <c r="N325" s="6">
        <v>280000</v>
      </c>
      <c r="O325" s="2" t="s">
        <v>93</v>
      </c>
    </row>
    <row r="326" spans="1:15" x14ac:dyDescent="0.35">
      <c r="A326" s="2" t="s">
        <v>451</v>
      </c>
      <c r="B326" s="4">
        <v>46107</v>
      </c>
      <c r="C326" s="2" t="s">
        <v>39</v>
      </c>
      <c r="D326" s="2" t="s">
        <v>70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36</v>
      </c>
      <c r="J326" s="2">
        <v>7</v>
      </c>
      <c r="K326" s="5">
        <v>0</v>
      </c>
      <c r="L326" s="6">
        <v>3325000</v>
      </c>
      <c r="M326" s="6">
        <v>1995000</v>
      </c>
      <c r="N326" s="6">
        <v>1330000</v>
      </c>
      <c r="O326" s="2" t="s">
        <v>52</v>
      </c>
    </row>
    <row r="327" spans="1:15" x14ac:dyDescent="0.35">
      <c r="A327" s="2" t="s">
        <v>452</v>
      </c>
      <c r="B327" s="4">
        <v>46118</v>
      </c>
      <c r="C327" s="2" t="s">
        <v>54</v>
      </c>
      <c r="D327" s="2" t="s">
        <v>47</v>
      </c>
      <c r="E327" s="2" t="s">
        <v>32</v>
      </c>
      <c r="F327" s="2" t="s">
        <v>33</v>
      </c>
      <c r="G327" s="2" t="s">
        <v>42</v>
      </c>
      <c r="H327" s="2" t="s">
        <v>43</v>
      </c>
      <c r="I327" s="2" t="s">
        <v>44</v>
      </c>
      <c r="J327" s="2">
        <v>7</v>
      </c>
      <c r="K327" s="5">
        <v>0.08</v>
      </c>
      <c r="L327" s="6">
        <v>1771000</v>
      </c>
      <c r="M327" s="6">
        <v>1085000</v>
      </c>
      <c r="N327" s="6">
        <v>686000</v>
      </c>
      <c r="O327" s="2" t="s">
        <v>74</v>
      </c>
    </row>
    <row r="328" spans="1:15" x14ac:dyDescent="0.35">
      <c r="A328" s="2" t="s">
        <v>453</v>
      </c>
      <c r="B328" s="4">
        <v>46146</v>
      </c>
      <c r="C328" s="2" t="s">
        <v>30</v>
      </c>
      <c r="D328" s="2" t="s">
        <v>40</v>
      </c>
      <c r="E328" s="2" t="s">
        <v>41</v>
      </c>
      <c r="F328" s="2" t="s">
        <v>33</v>
      </c>
      <c r="G328" s="2" t="s">
        <v>49</v>
      </c>
      <c r="H328" s="2" t="s">
        <v>50</v>
      </c>
      <c r="I328" s="2" t="s">
        <v>51</v>
      </c>
      <c r="J328" s="2">
        <v>2</v>
      </c>
      <c r="K328" s="5">
        <v>0.05</v>
      </c>
      <c r="L328" s="6">
        <v>465500</v>
      </c>
      <c r="M328" s="6">
        <v>290000</v>
      </c>
      <c r="N328" s="6">
        <v>175500</v>
      </c>
      <c r="O328" s="2" t="s">
        <v>63</v>
      </c>
    </row>
    <row r="329" spans="1:15" x14ac:dyDescent="0.35">
      <c r="A329" s="2" t="s">
        <v>454</v>
      </c>
      <c r="B329" s="4">
        <v>46102</v>
      </c>
      <c r="C329" s="2" t="s">
        <v>54</v>
      </c>
      <c r="D329" s="2" t="s">
        <v>47</v>
      </c>
      <c r="E329" s="2" t="s">
        <v>48</v>
      </c>
      <c r="F329" s="2" t="s">
        <v>90</v>
      </c>
      <c r="G329" s="2" t="s">
        <v>55</v>
      </c>
      <c r="H329" s="2" t="s">
        <v>56</v>
      </c>
      <c r="I329" s="2" t="s">
        <v>36</v>
      </c>
      <c r="J329" s="2">
        <v>6</v>
      </c>
      <c r="K329" s="5">
        <v>0.08</v>
      </c>
      <c r="L329" s="6">
        <v>10212000</v>
      </c>
      <c r="M329" s="6">
        <v>7920000</v>
      </c>
      <c r="N329" s="6">
        <v>2292000</v>
      </c>
      <c r="O329" s="2" t="s">
        <v>52</v>
      </c>
    </row>
    <row r="330" spans="1:15" x14ac:dyDescent="0.35">
      <c r="A330" s="2" t="s">
        <v>455</v>
      </c>
      <c r="B330" s="4">
        <v>46047</v>
      </c>
      <c r="C330" s="2" t="s">
        <v>76</v>
      </c>
      <c r="D330" s="2" t="s">
        <v>70</v>
      </c>
      <c r="E330" s="2" t="s">
        <v>41</v>
      </c>
      <c r="F330" s="2" t="s">
        <v>33</v>
      </c>
      <c r="G330" s="2" t="s">
        <v>60</v>
      </c>
      <c r="H330" s="2" t="s">
        <v>61</v>
      </c>
      <c r="I330" s="2" t="s">
        <v>62</v>
      </c>
      <c r="J330" s="2">
        <v>8</v>
      </c>
      <c r="K330" s="5">
        <v>0.15</v>
      </c>
      <c r="L330" s="6">
        <v>442000</v>
      </c>
      <c r="M330" s="6">
        <v>248000</v>
      </c>
      <c r="N330" s="6">
        <v>194000</v>
      </c>
      <c r="O330" s="2" t="s">
        <v>74</v>
      </c>
    </row>
    <row r="331" spans="1:15" x14ac:dyDescent="0.35">
      <c r="A331" s="2" t="s">
        <v>456</v>
      </c>
      <c r="B331" s="4">
        <v>46052</v>
      </c>
      <c r="C331" s="2" t="s">
        <v>30</v>
      </c>
      <c r="D331" s="2" t="s">
        <v>31</v>
      </c>
      <c r="E331" s="2" t="s">
        <v>32</v>
      </c>
      <c r="F331" s="2" t="s">
        <v>33</v>
      </c>
      <c r="G331" s="2" t="s">
        <v>66</v>
      </c>
      <c r="H331" s="2" t="s">
        <v>67</v>
      </c>
      <c r="I331" s="2" t="s">
        <v>51</v>
      </c>
      <c r="J331" s="2">
        <v>1</v>
      </c>
      <c r="K331" s="5">
        <v>0.05</v>
      </c>
      <c r="L331" s="6">
        <v>294500</v>
      </c>
      <c r="M331" s="6">
        <v>190000</v>
      </c>
      <c r="N331" s="6">
        <v>104500</v>
      </c>
      <c r="O331" s="2" t="s">
        <v>84</v>
      </c>
    </row>
    <row r="332" spans="1:15" x14ac:dyDescent="0.35">
      <c r="A332" s="2" t="s">
        <v>457</v>
      </c>
      <c r="B332" s="4">
        <v>46107</v>
      </c>
      <c r="C332" s="2" t="s">
        <v>30</v>
      </c>
      <c r="D332" s="2" t="s">
        <v>59</v>
      </c>
      <c r="E332" s="2" t="s">
        <v>32</v>
      </c>
      <c r="F332" s="2" t="s">
        <v>33</v>
      </c>
      <c r="G332" s="2" t="s">
        <v>71</v>
      </c>
      <c r="H332" s="2" t="s">
        <v>72</v>
      </c>
      <c r="I332" s="2" t="s">
        <v>73</v>
      </c>
      <c r="J332" s="2">
        <v>7</v>
      </c>
      <c r="K332" s="5">
        <v>0.08</v>
      </c>
      <c r="L332" s="6">
        <v>805000</v>
      </c>
      <c r="M332" s="6">
        <v>490000</v>
      </c>
      <c r="N332" s="6">
        <v>315000</v>
      </c>
      <c r="O332" s="2" t="s">
        <v>93</v>
      </c>
    </row>
    <row r="333" spans="1:15" x14ac:dyDescent="0.35">
      <c r="A333" s="2" t="s">
        <v>458</v>
      </c>
      <c r="B333" s="4">
        <v>46124</v>
      </c>
      <c r="C333" s="2" t="s">
        <v>65</v>
      </c>
      <c r="D333" s="2" t="s">
        <v>31</v>
      </c>
      <c r="E333" s="2" t="s">
        <v>48</v>
      </c>
      <c r="F333" s="2" t="s">
        <v>33</v>
      </c>
      <c r="G333" s="2" t="s">
        <v>78</v>
      </c>
      <c r="H333" s="2" t="s">
        <v>79</v>
      </c>
      <c r="I333" s="2" t="s">
        <v>62</v>
      </c>
      <c r="J333" s="2">
        <v>1</v>
      </c>
      <c r="K333" s="5">
        <v>0.15</v>
      </c>
      <c r="L333" s="6" t="s">
        <v>459</v>
      </c>
      <c r="M333" s="6">
        <v>43000</v>
      </c>
      <c r="N333" s="6">
        <v>29250</v>
      </c>
      <c r="O333" s="2" t="s">
        <v>93</v>
      </c>
    </row>
    <row r="334" spans="1:15" x14ac:dyDescent="0.35">
      <c r="A334" s="2" t="s">
        <v>460</v>
      </c>
      <c r="B334" s="2" t="s">
        <v>461</v>
      </c>
      <c r="C334" s="2" t="s">
        <v>30</v>
      </c>
      <c r="D334" s="2" t="s">
        <v>40</v>
      </c>
      <c r="E334" s="2" t="s">
        <v>41</v>
      </c>
      <c r="F334" s="2" t="s">
        <v>33</v>
      </c>
      <c r="G334" s="2" t="s">
        <v>82</v>
      </c>
      <c r="H334" s="2" t="s">
        <v>83</v>
      </c>
      <c r="I334" s="2" t="s">
        <v>44</v>
      </c>
      <c r="J334" s="2">
        <v>4</v>
      </c>
      <c r="K334" s="5">
        <v>0.03</v>
      </c>
      <c r="L334" s="6">
        <v>5626000</v>
      </c>
      <c r="M334" s="6">
        <v>3920000</v>
      </c>
      <c r="N334" s="6">
        <v>1706000</v>
      </c>
      <c r="O334" s="2" t="s">
        <v>63</v>
      </c>
    </row>
    <row r="335" spans="1:15" x14ac:dyDescent="0.35">
      <c r="A335" s="2" t="s">
        <v>462</v>
      </c>
      <c r="B335" s="4">
        <v>46106</v>
      </c>
      <c r="C335" s="2" t="s">
        <v>65</v>
      </c>
      <c r="D335" s="2" t="s">
        <v>59</v>
      </c>
      <c r="E335" s="2" t="s">
        <v>81</v>
      </c>
      <c r="F335" s="2" t="s">
        <v>33</v>
      </c>
      <c r="G335" s="2" t="s">
        <v>86</v>
      </c>
      <c r="H335" s="2" t="s">
        <v>87</v>
      </c>
      <c r="I335" s="2" t="s">
        <v>36</v>
      </c>
      <c r="J335" s="2">
        <v>4</v>
      </c>
      <c r="K335" s="5">
        <v>0.08</v>
      </c>
      <c r="L335" s="6">
        <v>1288000</v>
      </c>
      <c r="M335" s="6">
        <v>840000</v>
      </c>
      <c r="N335" s="6">
        <v>448000</v>
      </c>
      <c r="O335" s="2" t="s">
        <v>93</v>
      </c>
    </row>
    <row r="336" spans="1:15" x14ac:dyDescent="0.35">
      <c r="A336" s="2" t="s">
        <v>463</v>
      </c>
      <c r="B336" s="4">
        <v>46173</v>
      </c>
      <c r="C336" s="2" t="s">
        <v>76</v>
      </c>
      <c r="D336" s="2" t="s">
        <v>59</v>
      </c>
      <c r="E336" s="2" t="s">
        <v>32</v>
      </c>
      <c r="F336" s="2" t="s">
        <v>33</v>
      </c>
      <c r="G336" s="2" t="s">
        <v>34</v>
      </c>
      <c r="H336" s="2" t="s">
        <v>35</v>
      </c>
      <c r="I336" s="2" t="s">
        <v>36</v>
      </c>
      <c r="J336" s="2">
        <v>2</v>
      </c>
      <c r="K336" s="5">
        <v>0.05</v>
      </c>
      <c r="L336" s="6">
        <v>902500</v>
      </c>
      <c r="M336" s="6">
        <v>570000</v>
      </c>
      <c r="N336" s="6">
        <v>332500</v>
      </c>
      <c r="O336" s="2" t="s">
        <v>37</v>
      </c>
    </row>
    <row r="337" spans="1:15" x14ac:dyDescent="0.35">
      <c r="A337" s="2" t="s">
        <v>464</v>
      </c>
      <c r="B337" s="2"/>
      <c r="C337" s="2" t="s">
        <v>30</v>
      </c>
      <c r="D337" s="2" t="s">
        <v>70</v>
      </c>
      <c r="E337" s="2" t="s">
        <v>41</v>
      </c>
      <c r="F337" s="2" t="s">
        <v>33</v>
      </c>
      <c r="G337" s="2" t="s">
        <v>42</v>
      </c>
      <c r="H337" s="2" t="s">
        <v>43</v>
      </c>
      <c r="I337" s="2" t="s">
        <v>44</v>
      </c>
      <c r="J337" s="2">
        <v>3</v>
      </c>
      <c r="K337" s="5">
        <v>0.05</v>
      </c>
      <c r="L337" s="6">
        <v>783750</v>
      </c>
      <c r="M337" s="6">
        <v>465000</v>
      </c>
      <c r="N337" s="6">
        <v>318750</v>
      </c>
      <c r="O337" s="2" t="s">
        <v>63</v>
      </c>
    </row>
    <row r="338" spans="1:15" x14ac:dyDescent="0.35">
      <c r="A338" s="2" t="s">
        <v>465</v>
      </c>
      <c r="B338" s="4">
        <v>46200</v>
      </c>
      <c r="C338" s="2" t="s">
        <v>65</v>
      </c>
      <c r="D338" s="2" t="s">
        <v>47</v>
      </c>
      <c r="E338" s="2" t="s">
        <v>32</v>
      </c>
      <c r="F338" s="2" t="s">
        <v>33</v>
      </c>
      <c r="G338" s="2" t="s">
        <v>49</v>
      </c>
      <c r="H338" s="2" t="s">
        <v>50</v>
      </c>
      <c r="I338" s="2" t="s">
        <v>51</v>
      </c>
      <c r="J338" s="2">
        <v>3</v>
      </c>
      <c r="K338" s="5">
        <v>0.1</v>
      </c>
      <c r="L338" s="6">
        <v>661500</v>
      </c>
      <c r="M338" s="6">
        <v>435000</v>
      </c>
      <c r="N338" s="6">
        <v>226500</v>
      </c>
      <c r="O338" s="2" t="s">
        <v>93</v>
      </c>
    </row>
    <row r="339" spans="1:15" x14ac:dyDescent="0.35">
      <c r="A339" s="2" t="s">
        <v>466</v>
      </c>
      <c r="B339" s="4">
        <v>46070</v>
      </c>
      <c r="C339" s="2" t="s">
        <v>111</v>
      </c>
      <c r="D339" s="2" t="s">
        <v>31</v>
      </c>
      <c r="E339" s="2" t="s">
        <v>32</v>
      </c>
      <c r="F339" s="2" t="s">
        <v>33</v>
      </c>
      <c r="G339" s="2" t="s">
        <v>55</v>
      </c>
      <c r="H339" s="2" t="s">
        <v>56</v>
      </c>
      <c r="I339" s="2" t="s">
        <v>36</v>
      </c>
      <c r="J339" s="2">
        <v>8</v>
      </c>
      <c r="K339" s="5">
        <v>0.15</v>
      </c>
      <c r="L339" s="6">
        <v>12580000</v>
      </c>
      <c r="M339" s="6">
        <v>10560000</v>
      </c>
      <c r="N339" s="6">
        <v>2020000</v>
      </c>
      <c r="O339" s="2" t="s">
        <v>57</v>
      </c>
    </row>
    <row r="340" spans="1:15" x14ac:dyDescent="0.35">
      <c r="A340" s="2" t="s">
        <v>467</v>
      </c>
      <c r="B340" s="4">
        <v>46058</v>
      </c>
      <c r="C340" s="2" t="s">
        <v>54</v>
      </c>
      <c r="D340" s="2" t="s">
        <v>47</v>
      </c>
      <c r="E340" s="2" t="s">
        <v>41</v>
      </c>
      <c r="F340" s="2" t="s">
        <v>90</v>
      </c>
      <c r="G340" s="2" t="s">
        <v>60</v>
      </c>
      <c r="H340" s="2" t="s">
        <v>61</v>
      </c>
      <c r="I340" s="2" t="s">
        <v>62</v>
      </c>
      <c r="J340" s="2">
        <v>3</v>
      </c>
      <c r="K340" s="5">
        <v>0.05</v>
      </c>
      <c r="L340" s="6"/>
      <c r="M340" s="6">
        <v>93000</v>
      </c>
      <c r="N340" s="6">
        <v>92250</v>
      </c>
      <c r="O340" s="2" t="s">
        <v>74</v>
      </c>
    </row>
    <row r="341" spans="1:15" x14ac:dyDescent="0.35">
      <c r="A341" s="2" t="s">
        <v>468</v>
      </c>
      <c r="B341" s="4">
        <v>46147</v>
      </c>
      <c r="C341" s="2" t="s">
        <v>65</v>
      </c>
      <c r="D341" s="2" t="s">
        <v>47</v>
      </c>
      <c r="E341" s="2" t="s">
        <v>48</v>
      </c>
      <c r="F341" s="2" t="s">
        <v>90</v>
      </c>
      <c r="G341" s="2" t="s">
        <v>66</v>
      </c>
      <c r="H341" s="2" t="s">
        <v>67</v>
      </c>
      <c r="I341" s="2" t="s">
        <v>51</v>
      </c>
      <c r="J341" s="2">
        <v>3</v>
      </c>
      <c r="K341" s="5">
        <v>0.03</v>
      </c>
      <c r="L341" s="6">
        <v>902100</v>
      </c>
      <c r="M341" s="6">
        <v>570000</v>
      </c>
      <c r="N341" s="6">
        <v>332100</v>
      </c>
      <c r="O341" s="2" t="s">
        <v>52</v>
      </c>
    </row>
    <row r="342" spans="1:15" x14ac:dyDescent="0.35">
      <c r="A342" s="2" t="s">
        <v>469</v>
      </c>
      <c r="B342" s="4">
        <v>46129</v>
      </c>
      <c r="C342" s="2" t="s">
        <v>39</v>
      </c>
      <c r="D342" s="2" t="s">
        <v>47</v>
      </c>
      <c r="E342" s="2" t="s">
        <v>41</v>
      </c>
      <c r="F342" s="2" t="s">
        <v>33</v>
      </c>
      <c r="G342" s="2" t="s">
        <v>71</v>
      </c>
      <c r="H342" s="2" t="s">
        <v>72</v>
      </c>
      <c r="I342" s="2" t="s">
        <v>73</v>
      </c>
      <c r="J342" s="2">
        <v>8</v>
      </c>
      <c r="K342" s="5">
        <v>0.08</v>
      </c>
      <c r="L342" s="6">
        <v>920000</v>
      </c>
      <c r="M342" s="6">
        <v>560000</v>
      </c>
      <c r="N342" s="6">
        <v>360000</v>
      </c>
      <c r="O342" s="2" t="s">
        <v>57</v>
      </c>
    </row>
    <row r="343" spans="1:15" x14ac:dyDescent="0.35">
      <c r="A343" s="2" t="s">
        <v>470</v>
      </c>
      <c r="B343" s="4">
        <v>46031</v>
      </c>
      <c r="C343" s="2" t="s">
        <v>111</v>
      </c>
      <c r="D343" s="2" t="s">
        <v>31</v>
      </c>
      <c r="E343" s="2" t="s">
        <v>48</v>
      </c>
      <c r="F343" s="2" t="s">
        <v>33</v>
      </c>
      <c r="G343" s="2" t="s">
        <v>78</v>
      </c>
      <c r="H343" s="2" t="s">
        <v>79</v>
      </c>
      <c r="I343" s="2" t="s">
        <v>62</v>
      </c>
      <c r="J343" s="2">
        <v>5</v>
      </c>
      <c r="K343" s="5">
        <v>0.03</v>
      </c>
      <c r="L343" s="6">
        <v>412250</v>
      </c>
      <c r="M343" s="6">
        <v>215000</v>
      </c>
      <c r="N343" s="6">
        <v>197250</v>
      </c>
      <c r="O343" s="2" t="s">
        <v>37</v>
      </c>
    </row>
    <row r="344" spans="1:15" x14ac:dyDescent="0.35">
      <c r="A344" s="2" t="s">
        <v>471</v>
      </c>
      <c r="B344" s="4">
        <v>46169</v>
      </c>
      <c r="C344" s="2" t="s">
        <v>111</v>
      </c>
      <c r="D344" s="2" t="s">
        <v>70</v>
      </c>
      <c r="E344" s="2" t="s">
        <v>41</v>
      </c>
      <c r="F344" s="2" t="s">
        <v>122</v>
      </c>
      <c r="G344" s="2" t="s">
        <v>82</v>
      </c>
      <c r="H344" s="2" t="s">
        <v>83</v>
      </c>
      <c r="I344" s="2" t="s">
        <v>44</v>
      </c>
      <c r="J344" s="2">
        <v>2</v>
      </c>
      <c r="K344" s="5">
        <v>0.05</v>
      </c>
      <c r="L344" s="6">
        <v>2755000</v>
      </c>
      <c r="M344" s="6">
        <v>1960000</v>
      </c>
      <c r="N344" s="6">
        <v>795000</v>
      </c>
      <c r="O344" s="2" t="s">
        <v>45</v>
      </c>
    </row>
    <row r="345" spans="1:15" x14ac:dyDescent="0.35">
      <c r="A345" s="2" t="s">
        <v>472</v>
      </c>
      <c r="B345" s="4">
        <v>46131</v>
      </c>
      <c r="C345" s="2" t="s">
        <v>95</v>
      </c>
      <c r="D345" s="2" t="s">
        <v>31</v>
      </c>
      <c r="E345" s="2" t="s">
        <v>81</v>
      </c>
      <c r="F345" s="2" t="s">
        <v>90</v>
      </c>
      <c r="G345" s="2" t="s">
        <v>86</v>
      </c>
      <c r="H345" s="2" t="s">
        <v>87</v>
      </c>
      <c r="I345" s="2" t="s">
        <v>36</v>
      </c>
      <c r="J345" s="2">
        <v>2</v>
      </c>
      <c r="K345" s="5">
        <v>0.15</v>
      </c>
      <c r="L345" s="6">
        <v>595000</v>
      </c>
      <c r="M345" s="6">
        <v>420000</v>
      </c>
      <c r="N345" s="6">
        <v>175000</v>
      </c>
      <c r="O345" s="2" t="s">
        <v>52</v>
      </c>
    </row>
    <row r="346" spans="1:15" x14ac:dyDescent="0.35">
      <c r="A346" s="2" t="s">
        <v>473</v>
      </c>
      <c r="B346" s="4">
        <v>46090</v>
      </c>
      <c r="C346" s="2" t="s">
        <v>39</v>
      </c>
      <c r="D346" s="2" t="s">
        <v>40</v>
      </c>
      <c r="E346" s="2" t="s">
        <v>32</v>
      </c>
      <c r="F346" s="2" t="s">
        <v>33</v>
      </c>
      <c r="G346" s="2" t="s">
        <v>34</v>
      </c>
      <c r="H346" s="2" t="s">
        <v>35</v>
      </c>
      <c r="I346" s="2" t="s">
        <v>125</v>
      </c>
      <c r="J346" s="2">
        <v>6</v>
      </c>
      <c r="K346" s="5">
        <v>0</v>
      </c>
      <c r="L346" s="6">
        <v>2850000</v>
      </c>
      <c r="M346" s="6">
        <v>1710000</v>
      </c>
      <c r="N346" s="6">
        <v>1140000</v>
      </c>
      <c r="O346" s="2" t="s">
        <v>63</v>
      </c>
    </row>
    <row r="347" spans="1:15" x14ac:dyDescent="0.35">
      <c r="A347" s="2" t="s">
        <v>474</v>
      </c>
      <c r="B347" s="4">
        <v>46179</v>
      </c>
      <c r="C347" s="2" t="s">
        <v>95</v>
      </c>
      <c r="D347" s="2" t="s">
        <v>31</v>
      </c>
      <c r="E347" s="2" t="s">
        <v>32</v>
      </c>
      <c r="F347" s="2" t="s">
        <v>33</v>
      </c>
      <c r="G347" s="2" t="s">
        <v>42</v>
      </c>
      <c r="H347" s="2" t="s">
        <v>43</v>
      </c>
      <c r="I347" s="2" t="s">
        <v>44</v>
      </c>
      <c r="J347" s="2">
        <v>7</v>
      </c>
      <c r="K347" s="5">
        <v>0.03</v>
      </c>
      <c r="L347" s="6">
        <v>1867250</v>
      </c>
      <c r="M347" s="6">
        <v>1085000</v>
      </c>
      <c r="N347" s="6">
        <v>782250</v>
      </c>
      <c r="O347" s="2" t="s">
        <v>63</v>
      </c>
    </row>
    <row r="348" spans="1:15" x14ac:dyDescent="0.35">
      <c r="A348" s="2" t="s">
        <v>475</v>
      </c>
      <c r="B348" s="4">
        <v>46159</v>
      </c>
      <c r="C348" s="2" t="s">
        <v>76</v>
      </c>
      <c r="D348" s="2" t="s">
        <v>70</v>
      </c>
      <c r="E348" s="2" t="s">
        <v>81</v>
      </c>
      <c r="F348" s="2" t="s">
        <v>33</v>
      </c>
      <c r="G348" s="2" t="s">
        <v>49</v>
      </c>
      <c r="H348" s="2" t="s">
        <v>50</v>
      </c>
      <c r="I348" s="2" t="s">
        <v>51</v>
      </c>
      <c r="J348" s="2">
        <v>5</v>
      </c>
      <c r="K348" s="5">
        <v>0.1</v>
      </c>
      <c r="L348" s="6">
        <v>1102500</v>
      </c>
      <c r="M348" s="6">
        <v>725000</v>
      </c>
      <c r="N348" s="6">
        <v>377500</v>
      </c>
      <c r="O348" s="2" t="s">
        <v>57</v>
      </c>
    </row>
    <row r="349" spans="1:15" x14ac:dyDescent="0.35">
      <c r="A349" s="2" t="s">
        <v>476</v>
      </c>
      <c r="B349" s="4">
        <v>46154</v>
      </c>
      <c r="C349" s="2" t="s">
        <v>30</v>
      </c>
      <c r="D349" s="2" t="s">
        <v>40</v>
      </c>
      <c r="E349" s="2" t="s">
        <v>283</v>
      </c>
      <c r="F349" s="2" t="s">
        <v>77</v>
      </c>
      <c r="G349" s="2" t="s">
        <v>55</v>
      </c>
      <c r="H349" s="2" t="s">
        <v>56</v>
      </c>
      <c r="I349" s="2" t="s">
        <v>36</v>
      </c>
      <c r="J349" s="2">
        <v>2</v>
      </c>
      <c r="K349" s="5">
        <v>0.03</v>
      </c>
      <c r="L349" s="6">
        <v>897250</v>
      </c>
      <c r="M349" s="6">
        <v>2640000</v>
      </c>
      <c r="N349" s="6">
        <v>-1742750</v>
      </c>
      <c r="O349" s="2" t="s">
        <v>84</v>
      </c>
    </row>
    <row r="350" spans="1:15" x14ac:dyDescent="0.35">
      <c r="A350" s="2" t="s">
        <v>477</v>
      </c>
      <c r="B350" s="4">
        <v>46086</v>
      </c>
      <c r="C350" s="2" t="s">
        <v>111</v>
      </c>
      <c r="D350" s="2" t="s">
        <v>31</v>
      </c>
      <c r="E350" s="2" t="s">
        <v>48</v>
      </c>
      <c r="F350" s="2" t="s">
        <v>33</v>
      </c>
      <c r="G350" s="2" t="s">
        <v>60</v>
      </c>
      <c r="H350" s="2" t="s">
        <v>61</v>
      </c>
      <c r="I350" s="2" t="s">
        <v>62</v>
      </c>
      <c r="J350" s="2">
        <v>3</v>
      </c>
      <c r="K350" s="5">
        <v>0.15</v>
      </c>
      <c r="L350" s="6">
        <v>165750</v>
      </c>
      <c r="M350" s="6">
        <v>93000</v>
      </c>
      <c r="N350" s="6">
        <v>72750</v>
      </c>
      <c r="O350" s="2" t="s">
        <v>84</v>
      </c>
    </row>
    <row r="351" spans="1:15" x14ac:dyDescent="0.35">
      <c r="A351" s="2" t="s">
        <v>478</v>
      </c>
      <c r="B351" s="4">
        <v>46170</v>
      </c>
      <c r="C351" s="2" t="s">
        <v>69</v>
      </c>
      <c r="D351" s="2" t="s">
        <v>59</v>
      </c>
      <c r="E351" s="2" t="s">
        <v>41</v>
      </c>
      <c r="F351" s="2" t="s">
        <v>33</v>
      </c>
      <c r="G351" s="2" t="s">
        <v>66</v>
      </c>
      <c r="H351" s="2" t="s">
        <v>67</v>
      </c>
      <c r="I351" s="2" t="s">
        <v>51</v>
      </c>
      <c r="J351" s="2">
        <v>5</v>
      </c>
      <c r="K351" s="5">
        <v>0.15</v>
      </c>
      <c r="L351" s="6">
        <v>1317500</v>
      </c>
      <c r="M351" s="6">
        <v>950000</v>
      </c>
      <c r="N351" s="6">
        <v>367500</v>
      </c>
      <c r="O351" s="2" t="s">
        <v>93</v>
      </c>
    </row>
    <row r="352" spans="1:15" x14ac:dyDescent="0.35">
      <c r="A352" s="2" t="s">
        <v>479</v>
      </c>
      <c r="B352" s="4">
        <v>46154</v>
      </c>
      <c r="C352" s="2" t="s">
        <v>54</v>
      </c>
      <c r="D352" s="2" t="s">
        <v>59</v>
      </c>
      <c r="E352" s="2" t="s">
        <v>48</v>
      </c>
      <c r="F352" s="2" t="s">
        <v>112</v>
      </c>
      <c r="G352" s="2" t="s">
        <v>71</v>
      </c>
      <c r="H352" s="2" t="s">
        <v>72</v>
      </c>
      <c r="I352" s="2" t="s">
        <v>73</v>
      </c>
      <c r="J352" s="2">
        <v>5</v>
      </c>
      <c r="K352" s="5">
        <v>0.15</v>
      </c>
      <c r="L352" s="6">
        <v>132812</v>
      </c>
      <c r="M352" s="6">
        <v>350000</v>
      </c>
      <c r="N352" s="6">
        <v>-217188</v>
      </c>
      <c r="O352" s="2" t="s">
        <v>74</v>
      </c>
    </row>
    <row r="353" spans="1:15" x14ac:dyDescent="0.35">
      <c r="A353" s="2" t="s">
        <v>480</v>
      </c>
      <c r="B353" s="4">
        <v>46046</v>
      </c>
      <c r="C353" s="2" t="s">
        <v>65</v>
      </c>
      <c r="D353" s="2" t="s">
        <v>70</v>
      </c>
      <c r="E353" s="2" t="s">
        <v>41</v>
      </c>
      <c r="F353" s="2" t="s">
        <v>33</v>
      </c>
      <c r="G353" s="2" t="s">
        <v>78</v>
      </c>
      <c r="H353" s="2" t="s">
        <v>79</v>
      </c>
      <c r="I353" s="2" t="s">
        <v>62</v>
      </c>
      <c r="J353" s="2">
        <v>8</v>
      </c>
      <c r="K353" s="5">
        <v>0.15</v>
      </c>
      <c r="L353" s="6">
        <v>578000</v>
      </c>
      <c r="M353" s="6">
        <v>344000</v>
      </c>
      <c r="N353" s="6">
        <v>234000</v>
      </c>
      <c r="O353" s="2" t="s">
        <v>45</v>
      </c>
    </row>
    <row r="354" spans="1:15" x14ac:dyDescent="0.35">
      <c r="A354" s="2" t="s">
        <v>481</v>
      </c>
      <c r="B354" s="4">
        <v>46132</v>
      </c>
      <c r="C354" s="2" t="s">
        <v>30</v>
      </c>
      <c r="D354" s="2" t="s">
        <v>70</v>
      </c>
      <c r="E354" s="2" t="s">
        <v>81</v>
      </c>
      <c r="F354" s="2" t="s">
        <v>33</v>
      </c>
      <c r="G354" s="2" t="s">
        <v>82</v>
      </c>
      <c r="H354" s="2" t="s">
        <v>83</v>
      </c>
      <c r="I354" s="2" t="s">
        <v>44</v>
      </c>
      <c r="J354" s="2">
        <v>4</v>
      </c>
      <c r="K354" s="5">
        <v>0.08</v>
      </c>
      <c r="L354" s="6">
        <v>5336000</v>
      </c>
      <c r="M354" s="6">
        <v>3920000</v>
      </c>
      <c r="N354" s="6">
        <v>1416000</v>
      </c>
      <c r="O354" s="2" t="s">
        <v>52</v>
      </c>
    </row>
    <row r="355" spans="1:15" x14ac:dyDescent="0.35">
      <c r="A355" s="2" t="s">
        <v>482</v>
      </c>
      <c r="B355" s="4">
        <v>46110</v>
      </c>
      <c r="C355" s="2" t="s">
        <v>69</v>
      </c>
      <c r="D355" s="2" t="s">
        <v>59</v>
      </c>
      <c r="E355" s="2" t="s">
        <v>41</v>
      </c>
      <c r="F355" s="2" t="s">
        <v>33</v>
      </c>
      <c r="G355" s="2" t="s">
        <v>86</v>
      </c>
      <c r="H355" s="2" t="s">
        <v>87</v>
      </c>
      <c r="I355" s="2" t="s">
        <v>36</v>
      </c>
      <c r="J355" s="2">
        <v>1</v>
      </c>
      <c r="K355" s="5">
        <v>0</v>
      </c>
      <c r="L355" s="6">
        <v>350000</v>
      </c>
      <c r="M355" s="6">
        <v>210000</v>
      </c>
      <c r="N355" s="6">
        <v>140000</v>
      </c>
      <c r="O355" s="2" t="s">
        <v>84</v>
      </c>
    </row>
    <row r="356" spans="1:15" x14ac:dyDescent="0.35">
      <c r="A356" s="2" t="s">
        <v>483</v>
      </c>
      <c r="B356" s="4">
        <v>46135</v>
      </c>
      <c r="C356" s="2" t="s">
        <v>76</v>
      </c>
      <c r="D356" s="2" t="s">
        <v>31</v>
      </c>
      <c r="E356" s="2" t="s">
        <v>32</v>
      </c>
      <c r="F356" s="2" t="s">
        <v>77</v>
      </c>
      <c r="G356" s="2" t="s">
        <v>34</v>
      </c>
      <c r="H356" s="2" t="s">
        <v>35</v>
      </c>
      <c r="I356" s="2" t="s">
        <v>36</v>
      </c>
      <c r="J356" s="2">
        <v>8</v>
      </c>
      <c r="K356" s="5">
        <v>0</v>
      </c>
      <c r="L356" s="6">
        <v>950000</v>
      </c>
      <c r="M356" s="6">
        <v>2280000</v>
      </c>
      <c r="N356" s="6">
        <v>-1330000</v>
      </c>
      <c r="O356" s="2" t="s">
        <v>84</v>
      </c>
    </row>
    <row r="357" spans="1:15" x14ac:dyDescent="0.35">
      <c r="A357" s="2" t="s">
        <v>484</v>
      </c>
      <c r="B357" s="4">
        <v>46093</v>
      </c>
      <c r="C357" s="2" t="s">
        <v>30</v>
      </c>
      <c r="D357" s="2" t="s">
        <v>40</v>
      </c>
      <c r="E357" s="2" t="s">
        <v>81</v>
      </c>
      <c r="F357" s="2" t="s">
        <v>33</v>
      </c>
      <c r="G357" s="2" t="s">
        <v>42</v>
      </c>
      <c r="H357" s="2" t="s">
        <v>43</v>
      </c>
      <c r="I357" s="2" t="s">
        <v>44</v>
      </c>
      <c r="J357" s="2">
        <v>2</v>
      </c>
      <c r="K357" s="5">
        <v>0.15</v>
      </c>
      <c r="L357" s="6">
        <v>467500</v>
      </c>
      <c r="M357" s="6">
        <v>310000</v>
      </c>
      <c r="N357" s="6">
        <v>157500</v>
      </c>
      <c r="O357" s="2" t="s">
        <v>74</v>
      </c>
    </row>
    <row r="358" spans="1:15" x14ac:dyDescent="0.35">
      <c r="A358" s="2" t="s">
        <v>485</v>
      </c>
      <c r="B358" s="4">
        <v>46124</v>
      </c>
      <c r="C358" s="2" t="s">
        <v>69</v>
      </c>
      <c r="D358" s="2" t="s">
        <v>31</v>
      </c>
      <c r="E358" s="2" t="s">
        <v>48</v>
      </c>
      <c r="F358" s="2" t="s">
        <v>33</v>
      </c>
      <c r="G358" s="2" t="s">
        <v>49</v>
      </c>
      <c r="H358" s="2" t="s">
        <v>50</v>
      </c>
      <c r="I358" s="2" t="s">
        <v>51</v>
      </c>
      <c r="J358" s="2">
        <v>5</v>
      </c>
      <c r="K358" s="5">
        <v>0.15</v>
      </c>
      <c r="L358" s="6">
        <v>1041250</v>
      </c>
      <c r="M358" s="6">
        <v>725000</v>
      </c>
      <c r="N358" s="6">
        <v>316250</v>
      </c>
      <c r="O358" s="2" t="s">
        <v>37</v>
      </c>
    </row>
    <row r="359" spans="1:15" x14ac:dyDescent="0.35">
      <c r="A359" s="2" t="s">
        <v>486</v>
      </c>
      <c r="B359" s="2" t="s">
        <v>487</v>
      </c>
      <c r="C359" s="2" t="s">
        <v>111</v>
      </c>
      <c r="D359" s="2" t="s">
        <v>47</v>
      </c>
      <c r="E359" s="2" t="s">
        <v>32</v>
      </c>
      <c r="F359" s="2" t="s">
        <v>33</v>
      </c>
      <c r="G359" s="2" t="s">
        <v>55</v>
      </c>
      <c r="H359" s="2" t="s">
        <v>56</v>
      </c>
      <c r="I359" s="2" t="s">
        <v>36</v>
      </c>
      <c r="J359" s="2">
        <v>4</v>
      </c>
      <c r="K359" s="5">
        <v>0.08</v>
      </c>
      <c r="L359" s="6">
        <v>6808000</v>
      </c>
      <c r="M359" s="6">
        <v>5280000</v>
      </c>
      <c r="N359" s="6">
        <v>1528000</v>
      </c>
      <c r="O359" s="2" t="s">
        <v>74</v>
      </c>
    </row>
    <row r="360" spans="1:15" x14ac:dyDescent="0.35">
      <c r="A360" s="2" t="s">
        <v>488</v>
      </c>
      <c r="B360" s="4">
        <v>46025</v>
      </c>
      <c r="C360" s="2" t="s">
        <v>69</v>
      </c>
      <c r="D360" s="2" t="s">
        <v>31</v>
      </c>
      <c r="E360" s="2" t="s">
        <v>48</v>
      </c>
      <c r="F360" s="2" t="s">
        <v>77</v>
      </c>
      <c r="G360" s="2" t="s">
        <v>489</v>
      </c>
      <c r="H360" s="2" t="s">
        <v>61</v>
      </c>
      <c r="I360" s="2" t="s">
        <v>62</v>
      </c>
      <c r="J360" s="2">
        <v>6</v>
      </c>
      <c r="K360" s="5">
        <v>0</v>
      </c>
      <c r="L360" s="6">
        <v>97500</v>
      </c>
      <c r="M360" s="6">
        <v>186000</v>
      </c>
      <c r="N360" s="6">
        <v>-88500</v>
      </c>
      <c r="O360" s="2" t="s">
        <v>45</v>
      </c>
    </row>
    <row r="361" spans="1:15" x14ac:dyDescent="0.35">
      <c r="A361" s="2" t="s">
        <v>490</v>
      </c>
      <c r="B361" s="4">
        <v>46121</v>
      </c>
      <c r="C361" s="2" t="s">
        <v>54</v>
      </c>
      <c r="D361" s="2" t="s">
        <v>40</v>
      </c>
      <c r="E361" s="2" t="s">
        <v>81</v>
      </c>
      <c r="F361" s="2" t="s">
        <v>90</v>
      </c>
      <c r="G361" s="2" t="s">
        <v>66</v>
      </c>
      <c r="H361" s="2" t="s">
        <v>67</v>
      </c>
      <c r="I361" s="2" t="s">
        <v>51</v>
      </c>
      <c r="J361" s="2"/>
      <c r="K361" s="5">
        <v>0.15</v>
      </c>
      <c r="L361" s="6">
        <v>527000</v>
      </c>
      <c r="M361" s="6">
        <v>380000</v>
      </c>
      <c r="N361" s="6">
        <v>147000</v>
      </c>
      <c r="O361" s="2" t="s">
        <v>57</v>
      </c>
    </row>
    <row r="362" spans="1:15" x14ac:dyDescent="0.35">
      <c r="A362" s="2" t="s">
        <v>491</v>
      </c>
      <c r="B362" s="4">
        <v>46058</v>
      </c>
      <c r="C362" s="2" t="s">
        <v>95</v>
      </c>
      <c r="D362" s="2" t="s">
        <v>31</v>
      </c>
      <c r="E362" s="2" t="s">
        <v>41</v>
      </c>
      <c r="F362" s="2" t="s">
        <v>33</v>
      </c>
      <c r="G362" s="2" t="s">
        <v>71</v>
      </c>
      <c r="H362" s="2" t="s">
        <v>72</v>
      </c>
      <c r="I362" s="2" t="s">
        <v>73</v>
      </c>
      <c r="J362" s="2">
        <v>7</v>
      </c>
      <c r="K362" s="5">
        <v>0.03</v>
      </c>
      <c r="L362" s="6">
        <v>848750</v>
      </c>
      <c r="M362" s="6">
        <v>490000</v>
      </c>
      <c r="N362" s="6">
        <v>358750</v>
      </c>
      <c r="O362" s="2" t="s">
        <v>84</v>
      </c>
    </row>
    <row r="363" spans="1:15" x14ac:dyDescent="0.35">
      <c r="A363" s="2" t="s">
        <v>492</v>
      </c>
      <c r="B363" s="4">
        <v>46135</v>
      </c>
      <c r="C363" s="2" t="s">
        <v>111</v>
      </c>
      <c r="D363" s="2" t="s">
        <v>31</v>
      </c>
      <c r="E363" s="2" t="s">
        <v>48</v>
      </c>
      <c r="F363" s="2" t="s">
        <v>33</v>
      </c>
      <c r="G363" s="2" t="s">
        <v>78</v>
      </c>
      <c r="H363" s="2" t="s">
        <v>79</v>
      </c>
      <c r="I363" s="2" t="s">
        <v>62</v>
      </c>
      <c r="J363" s="2">
        <v>6</v>
      </c>
      <c r="K363" s="5">
        <v>0.15</v>
      </c>
      <c r="L363" s="6">
        <v>433500</v>
      </c>
      <c r="M363" s="6">
        <v>258000</v>
      </c>
      <c r="N363" s="6">
        <v>175500</v>
      </c>
      <c r="O363" s="2" t="s">
        <v>45</v>
      </c>
    </row>
    <row r="364" spans="1:15" x14ac:dyDescent="0.35">
      <c r="A364" s="2" t="s">
        <v>493</v>
      </c>
      <c r="B364" s="4">
        <v>46045</v>
      </c>
      <c r="C364" s="2" t="s">
        <v>54</v>
      </c>
      <c r="D364" s="2" t="s">
        <v>47</v>
      </c>
      <c r="E364" s="2" t="s">
        <v>48</v>
      </c>
      <c r="F364" s="2" t="s">
        <v>33</v>
      </c>
      <c r="G364" s="2" t="s">
        <v>82</v>
      </c>
      <c r="H364" s="2" t="s">
        <v>83</v>
      </c>
      <c r="I364" s="2" t="s">
        <v>44</v>
      </c>
      <c r="J364" s="2">
        <v>2</v>
      </c>
      <c r="K364" s="5">
        <v>0.03</v>
      </c>
      <c r="L364" s="6">
        <v>2813000</v>
      </c>
      <c r="M364" s="6">
        <v>1960000</v>
      </c>
      <c r="N364" s="6">
        <v>853000</v>
      </c>
      <c r="O364" s="2" t="s">
        <v>93</v>
      </c>
    </row>
    <row r="365" spans="1:15" x14ac:dyDescent="0.35">
      <c r="A365" s="2" t="s">
        <v>494</v>
      </c>
      <c r="B365" s="4">
        <v>46103</v>
      </c>
      <c r="C365" s="2" t="s">
        <v>76</v>
      </c>
      <c r="D365" s="2" t="s">
        <v>40</v>
      </c>
      <c r="E365" s="2" t="s">
        <v>32</v>
      </c>
      <c r="F365" s="2" t="s">
        <v>33</v>
      </c>
      <c r="G365" s="2" t="s">
        <v>86</v>
      </c>
      <c r="H365" s="2" t="s">
        <v>87</v>
      </c>
      <c r="I365" s="2" t="s">
        <v>36</v>
      </c>
      <c r="J365" s="2">
        <v>3</v>
      </c>
      <c r="K365" s="5">
        <v>0.03</v>
      </c>
      <c r="L365" s="6">
        <v>1018500</v>
      </c>
      <c r="M365" s="6">
        <v>630000</v>
      </c>
      <c r="N365" s="6">
        <v>388500</v>
      </c>
      <c r="O365" s="2" t="s">
        <v>74</v>
      </c>
    </row>
    <row r="366" spans="1:15" x14ac:dyDescent="0.35">
      <c r="A366" s="2" t="s">
        <v>495</v>
      </c>
      <c r="B366" s="4">
        <v>46191</v>
      </c>
      <c r="C366" s="2" t="s">
        <v>65</v>
      </c>
      <c r="D366" s="2" t="s">
        <v>47</v>
      </c>
      <c r="E366" s="2" t="s">
        <v>32</v>
      </c>
      <c r="F366" s="2" t="s">
        <v>146</v>
      </c>
      <c r="G366" s="2" t="s">
        <v>34</v>
      </c>
      <c r="H366" s="2" t="s">
        <v>35</v>
      </c>
      <c r="I366" s="2" t="s">
        <v>36</v>
      </c>
      <c r="J366" s="2">
        <v>5</v>
      </c>
      <c r="K366" s="5">
        <v>0.03</v>
      </c>
      <c r="L366" s="6">
        <v>2303750</v>
      </c>
      <c r="M366" s="6">
        <v>1425000</v>
      </c>
      <c r="N366" s="6">
        <v>878750</v>
      </c>
      <c r="O366" s="2" t="s">
        <v>57</v>
      </c>
    </row>
    <row r="367" spans="1:15" x14ac:dyDescent="0.35">
      <c r="A367" s="2" t="s">
        <v>496</v>
      </c>
      <c r="B367" s="4">
        <v>46188</v>
      </c>
      <c r="C367" s="2" t="s">
        <v>111</v>
      </c>
      <c r="D367" s="2" t="s">
        <v>40</v>
      </c>
      <c r="E367" s="2" t="s">
        <v>32</v>
      </c>
      <c r="F367" s="2" t="s">
        <v>33</v>
      </c>
      <c r="G367" s="2" t="s">
        <v>42</v>
      </c>
      <c r="H367" s="2" t="s">
        <v>43</v>
      </c>
      <c r="I367" s="2" t="s">
        <v>44</v>
      </c>
      <c r="J367" s="2">
        <v>1</v>
      </c>
      <c r="K367" s="5">
        <v>0.03</v>
      </c>
      <c r="L367" s="6">
        <v>266750</v>
      </c>
      <c r="M367" s="6">
        <v>155000</v>
      </c>
      <c r="N367" s="6">
        <v>111750</v>
      </c>
      <c r="O367" s="2" t="s">
        <v>37</v>
      </c>
    </row>
    <row r="368" spans="1:15" x14ac:dyDescent="0.35">
      <c r="A368" s="2" t="s">
        <v>497</v>
      </c>
      <c r="B368" s="4">
        <v>46158</v>
      </c>
      <c r="C368" s="2" t="s">
        <v>54</v>
      </c>
      <c r="D368" s="2" t="s">
        <v>59</v>
      </c>
      <c r="E368" s="2" t="s">
        <v>48</v>
      </c>
      <c r="F368" s="2" t="s">
        <v>112</v>
      </c>
      <c r="G368" s="2" t="s">
        <v>49</v>
      </c>
      <c r="H368" s="2" t="s">
        <v>50</v>
      </c>
      <c r="I368" s="2" t="s">
        <v>498</v>
      </c>
      <c r="J368" s="2">
        <v>1</v>
      </c>
      <c r="K368" s="5">
        <v>0.05</v>
      </c>
      <c r="L368" s="6">
        <v>0</v>
      </c>
      <c r="M368" s="6">
        <v>145000</v>
      </c>
      <c r="N368" s="6">
        <v>-145000</v>
      </c>
      <c r="O368" s="2" t="s">
        <v>84</v>
      </c>
    </row>
    <row r="369" spans="1:15" x14ac:dyDescent="0.35">
      <c r="A369" s="2" t="s">
        <v>499</v>
      </c>
      <c r="B369" s="4">
        <v>46143</v>
      </c>
      <c r="C369" s="2" t="s">
        <v>39</v>
      </c>
      <c r="D369" s="2" t="s">
        <v>500</v>
      </c>
      <c r="E369" s="2" t="s">
        <v>81</v>
      </c>
      <c r="F369" s="2" t="s">
        <v>33</v>
      </c>
      <c r="G369" s="2" t="s">
        <v>55</v>
      </c>
      <c r="H369" s="2" t="s">
        <v>56</v>
      </c>
      <c r="I369" s="2" t="s">
        <v>36</v>
      </c>
      <c r="J369" s="2">
        <v>2</v>
      </c>
      <c r="K369" s="5">
        <v>0</v>
      </c>
      <c r="L369" s="6">
        <v>3700000</v>
      </c>
      <c r="M369" s="6">
        <v>2640000</v>
      </c>
      <c r="N369" s="6">
        <v>1060000</v>
      </c>
      <c r="O369" s="2" t="s">
        <v>74</v>
      </c>
    </row>
    <row r="370" spans="1:15" x14ac:dyDescent="0.35">
      <c r="A370" s="2" t="s">
        <v>501</v>
      </c>
      <c r="B370" s="4">
        <v>46038</v>
      </c>
      <c r="C370" s="2" t="s">
        <v>65</v>
      </c>
      <c r="D370" s="2" t="s">
        <v>47</v>
      </c>
      <c r="E370" s="2" t="s">
        <v>48</v>
      </c>
      <c r="F370" s="2" t="s">
        <v>33</v>
      </c>
      <c r="G370" s="2" t="s">
        <v>60</v>
      </c>
      <c r="H370" s="2" t="s">
        <v>61</v>
      </c>
      <c r="I370" s="2" t="s">
        <v>62</v>
      </c>
      <c r="J370" s="2">
        <v>7</v>
      </c>
      <c r="K370" s="5">
        <v>0.1</v>
      </c>
      <c r="L370" s="6">
        <v>409500</v>
      </c>
      <c r="M370" s="6">
        <v>217000</v>
      </c>
      <c r="N370" s="6">
        <v>192500</v>
      </c>
      <c r="O370" s="2" t="s">
        <v>93</v>
      </c>
    </row>
    <row r="371" spans="1:15" x14ac:dyDescent="0.35">
      <c r="A371" s="2" t="s">
        <v>502</v>
      </c>
      <c r="B371" s="4">
        <v>46044</v>
      </c>
      <c r="C371" s="2" t="s">
        <v>30</v>
      </c>
      <c r="D371" s="2" t="s">
        <v>40</v>
      </c>
      <c r="E371" s="2" t="s">
        <v>226</v>
      </c>
      <c r="F371" s="2" t="s">
        <v>33</v>
      </c>
      <c r="G371" s="2" t="s">
        <v>66</v>
      </c>
      <c r="H371" s="2" t="s">
        <v>67</v>
      </c>
      <c r="I371" s="2" t="s">
        <v>51</v>
      </c>
      <c r="J371" s="2">
        <v>3</v>
      </c>
      <c r="K371" s="5">
        <v>0.05</v>
      </c>
      <c r="L371" s="6">
        <v>883500</v>
      </c>
      <c r="M371" s="6">
        <v>570000</v>
      </c>
      <c r="N371" s="6">
        <v>313500</v>
      </c>
      <c r="O371" s="2" t="s">
        <v>63</v>
      </c>
    </row>
    <row r="372" spans="1:15" x14ac:dyDescent="0.35">
      <c r="A372" s="2" t="s">
        <v>503</v>
      </c>
      <c r="B372" s="4">
        <v>46123</v>
      </c>
      <c r="C372" s="2" t="s">
        <v>39</v>
      </c>
      <c r="D372" s="2" t="s">
        <v>31</v>
      </c>
      <c r="E372" s="2" t="s">
        <v>41</v>
      </c>
      <c r="F372" s="2" t="s">
        <v>33</v>
      </c>
      <c r="G372" s="2" t="s">
        <v>71</v>
      </c>
      <c r="H372" s="2" t="s">
        <v>72</v>
      </c>
      <c r="I372" s="2" t="s">
        <v>73</v>
      </c>
      <c r="J372" s="2">
        <v>2</v>
      </c>
      <c r="K372" s="5">
        <v>0.05</v>
      </c>
      <c r="L372" s="6">
        <v>237500</v>
      </c>
      <c r="M372" s="6">
        <v>140000</v>
      </c>
      <c r="N372" s="6">
        <v>97500</v>
      </c>
      <c r="O372" s="2" t="s">
        <v>37</v>
      </c>
    </row>
    <row r="373" spans="1:15" x14ac:dyDescent="0.35">
      <c r="A373" s="2" t="s">
        <v>504</v>
      </c>
      <c r="B373" s="4">
        <v>46134</v>
      </c>
      <c r="C373" s="2" t="s">
        <v>30</v>
      </c>
      <c r="D373" s="2" t="s">
        <v>40</v>
      </c>
      <c r="E373" s="2" t="s">
        <v>81</v>
      </c>
      <c r="F373" s="2" t="s">
        <v>33</v>
      </c>
      <c r="G373" s="2" t="s">
        <v>78</v>
      </c>
      <c r="H373" s="2" t="s">
        <v>79</v>
      </c>
      <c r="I373" s="2" t="s">
        <v>62</v>
      </c>
      <c r="J373" s="2">
        <v>2</v>
      </c>
      <c r="K373" s="5">
        <v>0.08</v>
      </c>
      <c r="L373" s="6">
        <v>156400</v>
      </c>
      <c r="M373" s="6">
        <v>86000</v>
      </c>
      <c r="N373" s="6">
        <v>70400</v>
      </c>
      <c r="O373" s="2" t="s">
        <v>37</v>
      </c>
    </row>
    <row r="374" spans="1:15" x14ac:dyDescent="0.35">
      <c r="A374" s="2" t="s">
        <v>505</v>
      </c>
      <c r="B374" s="4">
        <v>46026</v>
      </c>
      <c r="C374" s="2" t="s">
        <v>76</v>
      </c>
      <c r="D374" s="2" t="s">
        <v>59</v>
      </c>
      <c r="E374" s="2" t="s">
        <v>81</v>
      </c>
      <c r="F374" s="2" t="s">
        <v>33</v>
      </c>
      <c r="G374" s="2" t="s">
        <v>82</v>
      </c>
      <c r="H374" s="2" t="s">
        <v>83</v>
      </c>
      <c r="I374" s="2" t="s">
        <v>44</v>
      </c>
      <c r="J374" s="2">
        <v>3</v>
      </c>
      <c r="K374" s="5">
        <v>0.15</v>
      </c>
      <c r="L374" s="6" t="s">
        <v>506</v>
      </c>
      <c r="M374" s="6">
        <v>2940000</v>
      </c>
      <c r="N374" s="6">
        <v>757500</v>
      </c>
      <c r="O374" s="2" t="s">
        <v>84</v>
      </c>
    </row>
    <row r="375" spans="1:15" x14ac:dyDescent="0.35">
      <c r="A375" s="2" t="s">
        <v>507</v>
      </c>
      <c r="B375" s="4">
        <v>46118</v>
      </c>
      <c r="C375" s="2" t="s">
        <v>95</v>
      </c>
      <c r="D375" s="2" t="s">
        <v>508</v>
      </c>
      <c r="E375" s="2" t="s">
        <v>41</v>
      </c>
      <c r="F375" s="2" t="s">
        <v>90</v>
      </c>
      <c r="G375" s="2" t="s">
        <v>86</v>
      </c>
      <c r="H375" s="2" t="s">
        <v>87</v>
      </c>
      <c r="I375" s="2" t="s">
        <v>36</v>
      </c>
      <c r="J375" s="2">
        <v>3</v>
      </c>
      <c r="K375" s="5">
        <v>0.15</v>
      </c>
      <c r="L375" s="6">
        <v>892500</v>
      </c>
      <c r="M375" s="6">
        <v>630000</v>
      </c>
      <c r="N375" s="6">
        <v>262500</v>
      </c>
      <c r="O375" s="2" t="s">
        <v>63</v>
      </c>
    </row>
    <row r="376" spans="1:15" x14ac:dyDescent="0.35">
      <c r="A376" s="2" t="s">
        <v>509</v>
      </c>
      <c r="B376" s="4">
        <v>46132</v>
      </c>
      <c r="C376" s="2" t="s">
        <v>111</v>
      </c>
      <c r="D376" s="2" t="s">
        <v>47</v>
      </c>
      <c r="E376" s="2" t="s">
        <v>41</v>
      </c>
      <c r="F376" s="2" t="s">
        <v>33</v>
      </c>
      <c r="G376" s="2" t="s">
        <v>34</v>
      </c>
      <c r="H376" s="2" t="s">
        <v>35</v>
      </c>
      <c r="I376" s="2" t="s">
        <v>36</v>
      </c>
      <c r="J376" s="2">
        <v>5</v>
      </c>
      <c r="K376" s="5">
        <v>0.1</v>
      </c>
      <c r="L376" s="6">
        <v>2137500</v>
      </c>
      <c r="M376" s="6">
        <v>1425000</v>
      </c>
      <c r="N376" s="6">
        <v>712500</v>
      </c>
      <c r="O376" s="2" t="s">
        <v>52</v>
      </c>
    </row>
    <row r="377" spans="1:15" x14ac:dyDescent="0.35">
      <c r="A377" s="2" t="s">
        <v>510</v>
      </c>
      <c r="B377" s="4">
        <v>46153</v>
      </c>
      <c r="C377" s="2" t="s">
        <v>54</v>
      </c>
      <c r="D377" s="2" t="s">
        <v>47</v>
      </c>
      <c r="E377" s="2" t="s">
        <v>32</v>
      </c>
      <c r="F377" s="2" t="s">
        <v>33</v>
      </c>
      <c r="G377" s="2" t="s">
        <v>42</v>
      </c>
      <c r="H377" s="2" t="s">
        <v>43</v>
      </c>
      <c r="I377" s="2" t="s">
        <v>44</v>
      </c>
      <c r="J377" s="2">
        <v>6</v>
      </c>
      <c r="K377" s="5">
        <v>0</v>
      </c>
      <c r="L377" s="6">
        <v>1650000</v>
      </c>
      <c r="M377" s="6">
        <v>930000</v>
      </c>
      <c r="N377" s="6">
        <v>720000</v>
      </c>
      <c r="O377" s="2" t="s">
        <v>84</v>
      </c>
    </row>
    <row r="378" spans="1:15" x14ac:dyDescent="0.35">
      <c r="A378" s="2" t="s">
        <v>511</v>
      </c>
      <c r="B378" s="4">
        <v>46088</v>
      </c>
      <c r="C378" s="2" t="s">
        <v>95</v>
      </c>
      <c r="D378" s="2" t="s">
        <v>40</v>
      </c>
      <c r="E378" s="2" t="s">
        <v>32</v>
      </c>
      <c r="F378" s="2" t="s">
        <v>33</v>
      </c>
      <c r="G378" s="2" t="s">
        <v>49</v>
      </c>
      <c r="H378" s="2" t="s">
        <v>50</v>
      </c>
      <c r="I378" s="2" t="s">
        <v>51</v>
      </c>
      <c r="J378" s="2">
        <v>2</v>
      </c>
      <c r="K378" s="5">
        <v>0.1</v>
      </c>
      <c r="L378" s="6">
        <v>441000</v>
      </c>
      <c r="M378" s="6">
        <v>290000</v>
      </c>
      <c r="N378" s="6">
        <v>151000</v>
      </c>
      <c r="O378" s="2" t="s">
        <v>74</v>
      </c>
    </row>
    <row r="379" spans="1:15" x14ac:dyDescent="0.35">
      <c r="A379" s="2" t="s">
        <v>512</v>
      </c>
      <c r="B379" s="4">
        <v>46026</v>
      </c>
      <c r="C379" s="2" t="s">
        <v>30</v>
      </c>
      <c r="D379" s="2" t="s">
        <v>59</v>
      </c>
      <c r="E379" s="2" t="s">
        <v>32</v>
      </c>
      <c r="F379" s="2" t="s">
        <v>33</v>
      </c>
      <c r="G379" s="2" t="s">
        <v>55</v>
      </c>
      <c r="H379" s="2" t="s">
        <v>56</v>
      </c>
      <c r="I379" s="2" t="s">
        <v>36</v>
      </c>
      <c r="J379" s="2">
        <v>4</v>
      </c>
      <c r="K379" s="5">
        <v>0</v>
      </c>
      <c r="L379" s="6">
        <v>7400000</v>
      </c>
      <c r="M379" s="6">
        <v>5280000</v>
      </c>
      <c r="N379" s="6">
        <v>2120000</v>
      </c>
      <c r="O379" s="2" t="s">
        <v>74</v>
      </c>
    </row>
    <row r="380" spans="1:15" x14ac:dyDescent="0.35">
      <c r="A380" s="2" t="s">
        <v>513</v>
      </c>
      <c r="B380" s="4">
        <v>46164</v>
      </c>
      <c r="C380" s="2" t="s">
        <v>76</v>
      </c>
      <c r="D380" s="2" t="s">
        <v>59</v>
      </c>
      <c r="E380" s="2" t="s">
        <v>81</v>
      </c>
      <c r="F380" s="2" t="s">
        <v>33</v>
      </c>
      <c r="G380" s="2" t="s">
        <v>60</v>
      </c>
      <c r="H380" s="2" t="s">
        <v>61</v>
      </c>
      <c r="I380" s="2" t="s">
        <v>62</v>
      </c>
      <c r="J380" s="2">
        <v>7</v>
      </c>
      <c r="K380" s="5">
        <v>0.03</v>
      </c>
      <c r="L380" s="6">
        <v>441350</v>
      </c>
      <c r="M380" s="6">
        <v>217000</v>
      </c>
      <c r="N380" s="6">
        <v>224350</v>
      </c>
      <c r="O380" s="2" t="s">
        <v>37</v>
      </c>
    </row>
    <row r="381" spans="1:15" x14ac:dyDescent="0.35">
      <c r="A381" s="2" t="s">
        <v>514</v>
      </c>
      <c r="B381" s="2" t="s">
        <v>515</v>
      </c>
      <c r="C381" s="2" t="s">
        <v>39</v>
      </c>
      <c r="D381" s="2" t="s">
        <v>40</v>
      </c>
      <c r="E381" s="2" t="s">
        <v>32</v>
      </c>
      <c r="F381" s="2" t="s">
        <v>33</v>
      </c>
      <c r="G381" s="2" t="s">
        <v>66</v>
      </c>
      <c r="H381" s="2" t="s">
        <v>67</v>
      </c>
      <c r="I381" s="2" t="s">
        <v>51</v>
      </c>
      <c r="J381" s="2">
        <v>6</v>
      </c>
      <c r="K381" s="5">
        <v>0</v>
      </c>
      <c r="L381" s="6">
        <v>1860000</v>
      </c>
      <c r="M381" s="6">
        <v>1140000</v>
      </c>
      <c r="N381" s="6">
        <v>720000</v>
      </c>
      <c r="O381" s="2" t="s">
        <v>74</v>
      </c>
    </row>
    <row r="382" spans="1:15" x14ac:dyDescent="0.35">
      <c r="A382" s="2" t="s">
        <v>516</v>
      </c>
      <c r="B382" s="4">
        <v>46125</v>
      </c>
      <c r="C382" s="2" t="s">
        <v>69</v>
      </c>
      <c r="D382" s="2" t="s">
        <v>70</v>
      </c>
      <c r="E382" s="2" t="s">
        <v>81</v>
      </c>
      <c r="F382" s="2" t="s">
        <v>90</v>
      </c>
      <c r="G382" s="2" t="s">
        <v>71</v>
      </c>
      <c r="H382" s="2" t="s">
        <v>72</v>
      </c>
      <c r="I382" s="2" t="s">
        <v>73</v>
      </c>
      <c r="J382" s="2">
        <v>2</v>
      </c>
      <c r="K382" s="5">
        <v>0.08</v>
      </c>
      <c r="L382" s="6">
        <v>230000</v>
      </c>
      <c r="M382" s="6">
        <v>140000</v>
      </c>
      <c r="N382" s="6">
        <v>90000</v>
      </c>
      <c r="O382" s="2" t="s">
        <v>52</v>
      </c>
    </row>
    <row r="383" spans="1:15" x14ac:dyDescent="0.35">
      <c r="A383" s="2" t="s">
        <v>517</v>
      </c>
      <c r="B383" s="4">
        <v>46025</v>
      </c>
      <c r="C383" s="2" t="s">
        <v>111</v>
      </c>
      <c r="D383" s="2" t="s">
        <v>70</v>
      </c>
      <c r="E383" s="2" t="s">
        <v>32</v>
      </c>
      <c r="F383" s="2" t="s">
        <v>33</v>
      </c>
      <c r="G383" s="2" t="s">
        <v>78</v>
      </c>
      <c r="H383" s="2" t="s">
        <v>79</v>
      </c>
      <c r="I383" s="2" t="s">
        <v>62</v>
      </c>
      <c r="J383" s="2">
        <v>6</v>
      </c>
      <c r="K383" s="5">
        <v>0.03</v>
      </c>
      <c r="L383" s="6">
        <v>494700</v>
      </c>
      <c r="M383" s="6">
        <v>258000</v>
      </c>
      <c r="N383" s="6">
        <v>236700</v>
      </c>
      <c r="O383" s="2" t="s">
        <v>63</v>
      </c>
    </row>
    <row r="384" spans="1:15" x14ac:dyDescent="0.35">
      <c r="A384" s="2" t="s">
        <v>518</v>
      </c>
      <c r="B384" s="4">
        <v>46174</v>
      </c>
      <c r="C384" s="2" t="s">
        <v>30</v>
      </c>
      <c r="D384" s="2" t="s">
        <v>47</v>
      </c>
      <c r="E384" s="2" t="s">
        <v>32</v>
      </c>
      <c r="F384" s="2" t="s">
        <v>33</v>
      </c>
      <c r="G384" s="2" t="s">
        <v>82</v>
      </c>
      <c r="H384" s="2" t="s">
        <v>83</v>
      </c>
      <c r="I384" s="2" t="s">
        <v>44</v>
      </c>
      <c r="J384" s="2">
        <v>8</v>
      </c>
      <c r="K384" s="5">
        <v>0.03</v>
      </c>
      <c r="L384" s="6">
        <v>11252000</v>
      </c>
      <c r="M384" s="6">
        <v>7840000</v>
      </c>
      <c r="N384" s="6">
        <v>3412000</v>
      </c>
      <c r="O384" s="2" t="s">
        <v>74</v>
      </c>
    </row>
    <row r="385" spans="1:15" x14ac:dyDescent="0.35">
      <c r="A385" s="2" t="s">
        <v>519</v>
      </c>
      <c r="B385" s="4">
        <v>46127</v>
      </c>
      <c r="C385" s="2" t="s">
        <v>95</v>
      </c>
      <c r="D385" s="2" t="s">
        <v>40</v>
      </c>
      <c r="E385" s="2" t="s">
        <v>81</v>
      </c>
      <c r="F385" s="2" t="s">
        <v>33</v>
      </c>
      <c r="G385" s="2" t="s">
        <v>86</v>
      </c>
      <c r="H385" s="2" t="s">
        <v>87</v>
      </c>
      <c r="I385" s="2" t="s">
        <v>36</v>
      </c>
      <c r="J385" s="2">
        <v>1</v>
      </c>
      <c r="K385" s="5">
        <v>0.03</v>
      </c>
      <c r="L385" s="6">
        <v>339500</v>
      </c>
      <c r="M385" s="6">
        <v>210000</v>
      </c>
      <c r="N385" s="6">
        <v>129500</v>
      </c>
      <c r="O385" s="2" t="s">
        <v>93</v>
      </c>
    </row>
    <row r="386" spans="1:15" x14ac:dyDescent="0.35">
      <c r="A386" s="2" t="s">
        <v>520</v>
      </c>
      <c r="B386" s="4">
        <v>46101</v>
      </c>
      <c r="C386" s="2" t="s">
        <v>111</v>
      </c>
      <c r="D386" s="2" t="s">
        <v>31</v>
      </c>
      <c r="E386" s="2" t="s">
        <v>48</v>
      </c>
      <c r="F386" s="2" t="s">
        <v>33</v>
      </c>
      <c r="G386" s="2" t="s">
        <v>34</v>
      </c>
      <c r="H386" s="2" t="s">
        <v>35</v>
      </c>
      <c r="I386" s="2" t="s">
        <v>36</v>
      </c>
      <c r="J386" s="2">
        <v>2</v>
      </c>
      <c r="K386" s="5">
        <v>0.03</v>
      </c>
      <c r="L386" s="6">
        <v>921500</v>
      </c>
      <c r="M386" s="6">
        <v>570000</v>
      </c>
      <c r="N386" s="6">
        <v>351500</v>
      </c>
      <c r="O386" s="2" t="s">
        <v>74</v>
      </c>
    </row>
    <row r="387" spans="1:15" x14ac:dyDescent="0.35">
      <c r="A387" s="2" t="s">
        <v>521</v>
      </c>
      <c r="B387" s="4">
        <v>46059</v>
      </c>
      <c r="C387" s="2" t="s">
        <v>54</v>
      </c>
      <c r="D387" s="2" t="s">
        <v>31</v>
      </c>
      <c r="E387" s="2" t="s">
        <v>48</v>
      </c>
      <c r="F387" s="2" t="s">
        <v>122</v>
      </c>
      <c r="G387" s="2" t="s">
        <v>42</v>
      </c>
      <c r="H387" s="2" t="s">
        <v>43</v>
      </c>
      <c r="I387" s="2" t="s">
        <v>44</v>
      </c>
      <c r="J387" s="2">
        <v>5</v>
      </c>
      <c r="K387" s="5">
        <v>0</v>
      </c>
      <c r="L387" s="6">
        <v>1375000</v>
      </c>
      <c r="M387" s="6">
        <v>775000</v>
      </c>
      <c r="N387" s="6">
        <v>600000</v>
      </c>
      <c r="O387" s="2" t="s">
        <v>52</v>
      </c>
    </row>
    <row r="388" spans="1:15" x14ac:dyDescent="0.35">
      <c r="A388" s="2" t="s">
        <v>522</v>
      </c>
      <c r="B388" s="4">
        <v>46044</v>
      </c>
      <c r="C388" s="2" t="s">
        <v>95</v>
      </c>
      <c r="D388" s="2" t="s">
        <v>59</v>
      </c>
      <c r="E388" s="2" t="s">
        <v>41</v>
      </c>
      <c r="F388" s="2" t="s">
        <v>33</v>
      </c>
      <c r="G388" s="2" t="s">
        <v>49</v>
      </c>
      <c r="H388" s="2" t="s">
        <v>50</v>
      </c>
      <c r="I388" s="2" t="s">
        <v>51</v>
      </c>
      <c r="J388" s="2">
        <v>2</v>
      </c>
      <c r="K388" s="5">
        <v>0.1</v>
      </c>
      <c r="L388" s="6">
        <v>441000</v>
      </c>
      <c r="M388" s="6">
        <v>290000</v>
      </c>
      <c r="N388" s="6">
        <v>151000</v>
      </c>
      <c r="O388" s="2" t="s">
        <v>93</v>
      </c>
    </row>
    <row r="389" spans="1:15" x14ac:dyDescent="0.35">
      <c r="A389" s="2" t="s">
        <v>523</v>
      </c>
      <c r="B389" s="4">
        <v>46192</v>
      </c>
      <c r="C389" s="2" t="s">
        <v>54</v>
      </c>
      <c r="D389" s="2" t="s">
        <v>70</v>
      </c>
      <c r="E389" s="2" t="s">
        <v>48</v>
      </c>
      <c r="F389" s="2" t="s">
        <v>33</v>
      </c>
      <c r="G389" s="2" t="s">
        <v>55</v>
      </c>
      <c r="H389" s="2" t="s">
        <v>56</v>
      </c>
      <c r="I389" s="2" t="s">
        <v>125</v>
      </c>
      <c r="J389" s="2">
        <v>3</v>
      </c>
      <c r="K389" s="5">
        <v>0.03</v>
      </c>
      <c r="L389" s="6">
        <v>5383500</v>
      </c>
      <c r="M389" s="6">
        <v>3960000</v>
      </c>
      <c r="N389" s="6">
        <v>1423500</v>
      </c>
      <c r="O389" s="2" t="s">
        <v>63</v>
      </c>
    </row>
    <row r="390" spans="1:15" x14ac:dyDescent="0.35">
      <c r="A390" s="2" t="s">
        <v>524</v>
      </c>
      <c r="B390" s="4">
        <v>46138</v>
      </c>
      <c r="C390" s="2" t="s">
        <v>69</v>
      </c>
      <c r="D390" s="2" t="s">
        <v>31</v>
      </c>
      <c r="E390" s="2" t="s">
        <v>32</v>
      </c>
      <c r="F390" s="2" t="s">
        <v>33</v>
      </c>
      <c r="G390" s="2" t="s">
        <v>60</v>
      </c>
      <c r="H390" s="2" t="s">
        <v>61</v>
      </c>
      <c r="I390" s="2" t="s">
        <v>62</v>
      </c>
      <c r="J390" s="2">
        <v>5</v>
      </c>
      <c r="K390" s="5">
        <v>0.03</v>
      </c>
      <c r="L390" s="6">
        <v>315250</v>
      </c>
      <c r="M390" s="6">
        <v>155000</v>
      </c>
      <c r="N390" s="6">
        <v>160250</v>
      </c>
      <c r="O390" s="2" t="s">
        <v>84</v>
      </c>
    </row>
    <row r="391" spans="1:15" x14ac:dyDescent="0.35">
      <c r="A391" s="2" t="s">
        <v>525</v>
      </c>
      <c r="B391" s="4">
        <v>46050</v>
      </c>
      <c r="C391" s="2" t="s">
        <v>54</v>
      </c>
      <c r="D391" s="2" t="s">
        <v>59</v>
      </c>
      <c r="E391" s="2" t="s">
        <v>41</v>
      </c>
      <c r="F391" s="2" t="s">
        <v>33</v>
      </c>
      <c r="G391" s="2" t="s">
        <v>66</v>
      </c>
      <c r="H391" s="2" t="s">
        <v>67</v>
      </c>
      <c r="I391" s="2" t="s">
        <v>51</v>
      </c>
      <c r="J391" s="2">
        <v>3</v>
      </c>
      <c r="K391" s="5">
        <v>0.08</v>
      </c>
      <c r="L391" s="6">
        <v>855600</v>
      </c>
      <c r="M391" s="6">
        <v>570000</v>
      </c>
      <c r="N391" s="6">
        <v>285600</v>
      </c>
      <c r="O391" s="2" t="s">
        <v>45</v>
      </c>
    </row>
    <row r="392" spans="1:15" x14ac:dyDescent="0.35">
      <c r="A392" s="2" t="s">
        <v>526</v>
      </c>
      <c r="B392" s="4">
        <v>46138</v>
      </c>
      <c r="C392" s="2" t="s">
        <v>30</v>
      </c>
      <c r="D392" s="2" t="s">
        <v>40</v>
      </c>
      <c r="E392" s="2" t="s">
        <v>235</v>
      </c>
      <c r="F392" s="2" t="s">
        <v>33</v>
      </c>
      <c r="G392" s="2" t="s">
        <v>71</v>
      </c>
      <c r="H392" s="2" t="s">
        <v>72</v>
      </c>
      <c r="I392" s="2" t="s">
        <v>73</v>
      </c>
      <c r="J392" s="2">
        <v>5</v>
      </c>
      <c r="K392" s="5">
        <v>0.08</v>
      </c>
      <c r="L392" s="6">
        <v>575000</v>
      </c>
      <c r="M392" s="6">
        <v>350000</v>
      </c>
      <c r="N392" s="6">
        <v>225000</v>
      </c>
      <c r="O392" s="2" t="s">
        <v>57</v>
      </c>
    </row>
    <row r="393" spans="1:15" x14ac:dyDescent="0.35">
      <c r="A393" s="2" t="s">
        <v>527</v>
      </c>
      <c r="B393" s="4">
        <v>46203</v>
      </c>
      <c r="C393" s="2" t="s">
        <v>69</v>
      </c>
      <c r="D393" s="2" t="s">
        <v>70</v>
      </c>
      <c r="E393" s="2" t="s">
        <v>32</v>
      </c>
      <c r="F393" s="2" t="s">
        <v>90</v>
      </c>
      <c r="G393" s="2" t="s">
        <v>78</v>
      </c>
      <c r="H393" s="2" t="s">
        <v>79</v>
      </c>
      <c r="I393" s="2" t="s">
        <v>62</v>
      </c>
      <c r="J393" s="2">
        <v>1</v>
      </c>
      <c r="K393" s="5">
        <v>0.03</v>
      </c>
      <c r="L393" s="6">
        <v>82450</v>
      </c>
      <c r="M393" s="6">
        <v>43000</v>
      </c>
      <c r="N393" s="6">
        <v>39450</v>
      </c>
      <c r="O393" s="2" t="s">
        <v>45</v>
      </c>
    </row>
    <row r="394" spans="1:15" x14ac:dyDescent="0.35">
      <c r="A394" s="2" t="s">
        <v>528</v>
      </c>
      <c r="B394" s="4">
        <v>46114</v>
      </c>
      <c r="C394" s="2" t="s">
        <v>30</v>
      </c>
      <c r="D394" s="2" t="s">
        <v>70</v>
      </c>
      <c r="E394" s="2" t="s">
        <v>81</v>
      </c>
      <c r="F394" s="2" t="s">
        <v>33</v>
      </c>
      <c r="G394" s="2" t="s">
        <v>82</v>
      </c>
      <c r="H394" s="2" t="s">
        <v>83</v>
      </c>
      <c r="I394" s="2" t="s">
        <v>44</v>
      </c>
      <c r="J394" s="2">
        <v>7</v>
      </c>
      <c r="K394" s="5">
        <v>0.1</v>
      </c>
      <c r="L394" s="6">
        <v>9135000</v>
      </c>
      <c r="M394" s="6">
        <v>6860000</v>
      </c>
      <c r="N394" s="6">
        <v>2275000</v>
      </c>
      <c r="O394" s="2" t="s">
        <v>74</v>
      </c>
    </row>
    <row r="395" spans="1:15" x14ac:dyDescent="0.35">
      <c r="A395" s="2" t="s">
        <v>529</v>
      </c>
      <c r="B395" s="4">
        <v>46126</v>
      </c>
      <c r="C395" s="2" t="s">
        <v>111</v>
      </c>
      <c r="D395" s="2" t="s">
        <v>31</v>
      </c>
      <c r="E395" s="2" t="s">
        <v>41</v>
      </c>
      <c r="F395" s="2" t="s">
        <v>33</v>
      </c>
      <c r="G395" s="2" t="s">
        <v>86</v>
      </c>
      <c r="H395" s="2" t="s">
        <v>87</v>
      </c>
      <c r="I395" s="2" t="s">
        <v>36</v>
      </c>
      <c r="J395" s="2">
        <v>8</v>
      </c>
      <c r="K395" s="5">
        <v>0.1</v>
      </c>
      <c r="L395" s="6">
        <v>2520000</v>
      </c>
      <c r="M395" s="6">
        <v>1680000</v>
      </c>
      <c r="N395" s="6">
        <v>840000</v>
      </c>
      <c r="O395" s="2" t="s">
        <v>37</v>
      </c>
    </row>
    <row r="396" spans="1:15" x14ac:dyDescent="0.35">
      <c r="A396" s="2" t="s">
        <v>530</v>
      </c>
      <c r="B396" s="4">
        <v>46058</v>
      </c>
      <c r="C396" s="2" t="s">
        <v>39</v>
      </c>
      <c r="D396" s="2" t="s">
        <v>31</v>
      </c>
      <c r="E396" s="2" t="s">
        <v>32</v>
      </c>
      <c r="F396" s="2" t="s">
        <v>33</v>
      </c>
      <c r="G396" s="2" t="s">
        <v>34</v>
      </c>
      <c r="H396" s="2" t="s">
        <v>35</v>
      </c>
      <c r="I396" s="2" t="s">
        <v>36</v>
      </c>
      <c r="J396" s="2">
        <v>2</v>
      </c>
      <c r="K396" s="5">
        <v>0</v>
      </c>
      <c r="L396" s="6">
        <v>950000</v>
      </c>
      <c r="M396" s="6">
        <v>570000</v>
      </c>
      <c r="N396" s="6">
        <v>380000</v>
      </c>
      <c r="O396" s="2" t="s">
        <v>93</v>
      </c>
    </row>
    <row r="397" spans="1:15" x14ac:dyDescent="0.35">
      <c r="A397" s="2" t="s">
        <v>531</v>
      </c>
      <c r="B397" s="4">
        <v>46118</v>
      </c>
      <c r="C397" s="2" t="s">
        <v>69</v>
      </c>
      <c r="D397" s="2" t="s">
        <v>40</v>
      </c>
      <c r="E397" s="2" t="s">
        <v>41</v>
      </c>
      <c r="F397" s="2" t="s">
        <v>33</v>
      </c>
      <c r="G397" s="2" t="s">
        <v>42</v>
      </c>
      <c r="H397" s="2" t="s">
        <v>43</v>
      </c>
      <c r="I397" s="2" t="s">
        <v>44</v>
      </c>
      <c r="J397" s="2">
        <v>2</v>
      </c>
      <c r="K397" s="5">
        <v>0.1</v>
      </c>
      <c r="L397" s="6">
        <v>495000</v>
      </c>
      <c r="M397" s="6">
        <v>310000</v>
      </c>
      <c r="N397" s="6">
        <v>185000</v>
      </c>
      <c r="O397" s="2" t="s">
        <v>45</v>
      </c>
    </row>
    <row r="398" spans="1:15" x14ac:dyDescent="0.35">
      <c r="A398" s="2" t="s">
        <v>532</v>
      </c>
      <c r="B398" s="4">
        <v>46188</v>
      </c>
      <c r="C398" s="2" t="s">
        <v>95</v>
      </c>
      <c r="D398" s="2" t="s">
        <v>70</v>
      </c>
      <c r="E398" s="2" t="s">
        <v>41</v>
      </c>
      <c r="F398" s="2" t="s">
        <v>33</v>
      </c>
      <c r="G398" s="2" t="s">
        <v>49</v>
      </c>
      <c r="H398" s="2" t="s">
        <v>50</v>
      </c>
      <c r="I398" s="2" t="s">
        <v>51</v>
      </c>
      <c r="J398" s="2">
        <v>8</v>
      </c>
      <c r="K398" s="5">
        <v>0.03</v>
      </c>
      <c r="L398" s="6">
        <v>1901200</v>
      </c>
      <c r="M398" s="6">
        <v>1160000</v>
      </c>
      <c r="N398" s="6">
        <v>741200</v>
      </c>
      <c r="O398" s="2" t="s">
        <v>52</v>
      </c>
    </row>
    <row r="399" spans="1:15" x14ac:dyDescent="0.35">
      <c r="A399" s="2" t="s">
        <v>533</v>
      </c>
      <c r="B399" s="4">
        <v>46035</v>
      </c>
      <c r="C399" s="2" t="s">
        <v>95</v>
      </c>
      <c r="D399" s="2" t="s">
        <v>59</v>
      </c>
      <c r="E399" s="2" t="s">
        <v>48</v>
      </c>
      <c r="F399" s="2" t="s">
        <v>33</v>
      </c>
      <c r="G399" s="2" t="s">
        <v>55</v>
      </c>
      <c r="H399" s="2" t="s">
        <v>56</v>
      </c>
      <c r="I399" s="2" t="s">
        <v>36</v>
      </c>
      <c r="J399" s="2">
        <v>3</v>
      </c>
      <c r="K399" s="5">
        <v>0.1</v>
      </c>
      <c r="L399" s="6">
        <v>4995000</v>
      </c>
      <c r="M399" s="6">
        <v>3960000</v>
      </c>
      <c r="N399" s="6">
        <v>1035000</v>
      </c>
      <c r="O399" s="2" t="s">
        <v>93</v>
      </c>
    </row>
    <row r="400" spans="1:15" x14ac:dyDescent="0.35">
      <c r="A400" s="2" t="s">
        <v>534</v>
      </c>
      <c r="B400" s="4">
        <v>46197</v>
      </c>
      <c r="C400" s="2" t="s">
        <v>76</v>
      </c>
      <c r="D400" s="2" t="s">
        <v>31</v>
      </c>
      <c r="E400" s="2" t="s">
        <v>81</v>
      </c>
      <c r="F400" s="2" t="s">
        <v>33</v>
      </c>
      <c r="G400" s="2" t="s">
        <v>60</v>
      </c>
      <c r="H400" s="2" t="s">
        <v>61</v>
      </c>
      <c r="I400" s="2" t="s">
        <v>62</v>
      </c>
      <c r="J400" s="2">
        <v>7</v>
      </c>
      <c r="K400" s="5">
        <v>0.03</v>
      </c>
      <c r="L400" s="6">
        <v>441350</v>
      </c>
      <c r="M400" s="6">
        <v>217000</v>
      </c>
      <c r="N400" s="6">
        <v>224350</v>
      </c>
      <c r="O400" s="2" t="s">
        <v>52</v>
      </c>
    </row>
    <row r="401" spans="1:15" x14ac:dyDescent="0.35">
      <c r="A401" s="2" t="s">
        <v>535</v>
      </c>
      <c r="B401" s="4">
        <v>46061</v>
      </c>
      <c r="C401" s="2" t="s">
        <v>111</v>
      </c>
      <c r="D401" s="2" t="s">
        <v>31</v>
      </c>
      <c r="E401" s="2" t="s">
        <v>81</v>
      </c>
      <c r="F401" s="2" t="s">
        <v>33</v>
      </c>
      <c r="G401" s="2" t="s">
        <v>66</v>
      </c>
      <c r="H401" s="2" t="s">
        <v>67</v>
      </c>
      <c r="I401" s="2" t="s">
        <v>51</v>
      </c>
      <c r="J401" s="2">
        <v>1</v>
      </c>
      <c r="K401" s="5">
        <v>0.1</v>
      </c>
      <c r="L401" s="6">
        <v>279000</v>
      </c>
      <c r="M401" s="6">
        <v>190000</v>
      </c>
      <c r="N401" s="6">
        <v>89000</v>
      </c>
      <c r="O401" s="2" t="s">
        <v>93</v>
      </c>
    </row>
    <row r="402" spans="1:15" x14ac:dyDescent="0.35">
      <c r="A402" s="2" t="s">
        <v>536</v>
      </c>
      <c r="B402" s="4">
        <v>46163</v>
      </c>
      <c r="C402" s="2" t="s">
        <v>65</v>
      </c>
      <c r="D402" s="2" t="s">
        <v>59</v>
      </c>
      <c r="E402" s="2" t="s">
        <v>32</v>
      </c>
      <c r="F402" s="2" t="s">
        <v>33</v>
      </c>
      <c r="G402" s="2" t="s">
        <v>71</v>
      </c>
      <c r="H402" s="2" t="s">
        <v>72</v>
      </c>
      <c r="I402" s="2" t="s">
        <v>73</v>
      </c>
      <c r="J402" s="2">
        <v>8</v>
      </c>
      <c r="K402" s="5">
        <v>0</v>
      </c>
      <c r="L402" s="6">
        <v>1000000</v>
      </c>
      <c r="M402" s="6">
        <v>560000</v>
      </c>
      <c r="N402" s="6">
        <v>440000</v>
      </c>
      <c r="O402" s="2" t="s">
        <v>45</v>
      </c>
    </row>
    <row r="403" spans="1:15" x14ac:dyDescent="0.35">
      <c r="A403" s="2" t="s">
        <v>537</v>
      </c>
      <c r="B403" s="4">
        <v>46187</v>
      </c>
      <c r="C403" s="2" t="s">
        <v>54</v>
      </c>
      <c r="D403" s="2" t="s">
        <v>40</v>
      </c>
      <c r="E403" s="2" t="s">
        <v>48</v>
      </c>
      <c r="F403" s="2" t="s">
        <v>77</v>
      </c>
      <c r="G403" s="2" t="s">
        <v>78</v>
      </c>
      <c r="H403" s="2" t="s">
        <v>79</v>
      </c>
      <c r="I403" s="2" t="s">
        <v>62</v>
      </c>
      <c r="J403" s="2">
        <v>4</v>
      </c>
      <c r="K403" s="5">
        <v>0.15</v>
      </c>
      <c r="L403" s="6">
        <v>144500</v>
      </c>
      <c r="M403" s="6">
        <v>172000</v>
      </c>
      <c r="N403" s="6">
        <v>-27500</v>
      </c>
      <c r="O403" s="2" t="s">
        <v>52</v>
      </c>
    </row>
    <row r="404" spans="1:15" x14ac:dyDescent="0.35">
      <c r="A404" s="2" t="s">
        <v>538</v>
      </c>
      <c r="B404" s="4">
        <v>46162</v>
      </c>
      <c r="C404" s="2" t="s">
        <v>76</v>
      </c>
      <c r="D404" s="2" t="s">
        <v>70</v>
      </c>
      <c r="E404" s="2" t="s">
        <v>48</v>
      </c>
      <c r="F404" s="2" t="s">
        <v>112</v>
      </c>
      <c r="G404" s="2" t="s">
        <v>82</v>
      </c>
      <c r="H404" s="2" t="s">
        <v>83</v>
      </c>
      <c r="I404" s="2" t="s">
        <v>44</v>
      </c>
      <c r="J404" s="2">
        <v>8</v>
      </c>
      <c r="K404" s="5">
        <v>0.05</v>
      </c>
      <c r="L404" s="6">
        <v>5510000</v>
      </c>
      <c r="M404" s="6">
        <v>7840000</v>
      </c>
      <c r="N404" s="6">
        <v>-2330000</v>
      </c>
      <c r="O404" s="2" t="s">
        <v>84</v>
      </c>
    </row>
    <row r="405" spans="1:15" x14ac:dyDescent="0.35">
      <c r="A405" s="2" t="s">
        <v>539</v>
      </c>
      <c r="B405" s="4">
        <v>46029</v>
      </c>
      <c r="C405" s="2" t="s">
        <v>111</v>
      </c>
      <c r="D405" s="2" t="s">
        <v>70</v>
      </c>
      <c r="E405" s="2" t="s">
        <v>41</v>
      </c>
      <c r="F405" s="2" t="s">
        <v>33</v>
      </c>
      <c r="G405" s="2" t="s">
        <v>86</v>
      </c>
      <c r="H405" s="2" t="s">
        <v>87</v>
      </c>
      <c r="I405" s="2" t="s">
        <v>36</v>
      </c>
      <c r="J405" s="2">
        <v>6</v>
      </c>
      <c r="K405" s="5">
        <v>0.1</v>
      </c>
      <c r="L405" s="6">
        <v>1890000</v>
      </c>
      <c r="M405" s="6">
        <v>1260000</v>
      </c>
      <c r="N405" s="6">
        <v>630000</v>
      </c>
      <c r="O405" s="2" t="s">
        <v>63</v>
      </c>
    </row>
    <row r="406" spans="1:15" x14ac:dyDescent="0.35">
      <c r="A406" s="2" t="s">
        <v>540</v>
      </c>
      <c r="B406" s="4">
        <v>46172</v>
      </c>
      <c r="C406" s="2" t="s">
        <v>95</v>
      </c>
      <c r="D406" s="2" t="s">
        <v>31</v>
      </c>
      <c r="E406" s="2" t="s">
        <v>81</v>
      </c>
      <c r="F406" s="2" t="s">
        <v>33</v>
      </c>
      <c r="G406" s="2" t="s">
        <v>34</v>
      </c>
      <c r="H406" s="2" t="s">
        <v>35</v>
      </c>
      <c r="I406" s="2" t="s">
        <v>36</v>
      </c>
      <c r="J406" s="2">
        <v>4</v>
      </c>
      <c r="K406" s="5">
        <v>0.03</v>
      </c>
      <c r="L406" s="6">
        <v>1843000</v>
      </c>
      <c r="M406" s="6">
        <v>1140000</v>
      </c>
      <c r="N406" s="6">
        <v>703000</v>
      </c>
      <c r="O406" s="2" t="s">
        <v>45</v>
      </c>
    </row>
    <row r="407" spans="1:15" x14ac:dyDescent="0.35">
      <c r="A407" s="2" t="s">
        <v>541</v>
      </c>
      <c r="B407" s="4">
        <v>46170</v>
      </c>
      <c r="C407" s="2" t="s">
        <v>54</v>
      </c>
      <c r="D407" s="2" t="s">
        <v>31</v>
      </c>
      <c r="E407" s="2" t="s">
        <v>32</v>
      </c>
      <c r="F407" s="2" t="s">
        <v>112</v>
      </c>
      <c r="G407" s="2" t="s">
        <v>42</v>
      </c>
      <c r="H407" s="2" t="s">
        <v>43</v>
      </c>
      <c r="I407" s="2" t="s">
        <v>44</v>
      </c>
      <c r="J407" s="2">
        <v>7</v>
      </c>
      <c r="K407" s="5">
        <v>0.05</v>
      </c>
      <c r="L407" s="6"/>
      <c r="M407" s="6">
        <v>1085000</v>
      </c>
      <c r="N407" s="6">
        <v>-1085000</v>
      </c>
      <c r="O407" s="2" t="s">
        <v>63</v>
      </c>
    </row>
    <row r="408" spans="1:15" x14ac:dyDescent="0.35">
      <c r="A408" s="2" t="s">
        <v>542</v>
      </c>
      <c r="B408" s="4">
        <v>46174</v>
      </c>
      <c r="C408" s="2" t="s">
        <v>39</v>
      </c>
      <c r="D408" s="2" t="s">
        <v>47</v>
      </c>
      <c r="E408" s="2" t="s">
        <v>32</v>
      </c>
      <c r="F408" s="2" t="s">
        <v>33</v>
      </c>
      <c r="G408" s="2" t="s">
        <v>49</v>
      </c>
      <c r="H408" s="2" t="s">
        <v>50</v>
      </c>
      <c r="I408" s="2" t="s">
        <v>51</v>
      </c>
      <c r="J408" s="2">
        <v>1</v>
      </c>
      <c r="K408" s="5">
        <v>0.15</v>
      </c>
      <c r="L408" s="6">
        <v>208250</v>
      </c>
      <c r="M408" s="6">
        <v>145000</v>
      </c>
      <c r="N408" s="6">
        <v>63250</v>
      </c>
      <c r="O408" s="2" t="s">
        <v>52</v>
      </c>
    </row>
    <row r="409" spans="1:15" x14ac:dyDescent="0.35">
      <c r="A409" s="2" t="s">
        <v>543</v>
      </c>
      <c r="B409" s="4">
        <v>46161</v>
      </c>
      <c r="C409" s="2" t="s">
        <v>39</v>
      </c>
      <c r="D409" s="2" t="s">
        <v>40</v>
      </c>
      <c r="E409" s="2" t="s">
        <v>41</v>
      </c>
      <c r="F409" s="2" t="s">
        <v>33</v>
      </c>
      <c r="G409" s="2" t="s">
        <v>55</v>
      </c>
      <c r="H409" s="2" t="s">
        <v>56</v>
      </c>
      <c r="I409" s="2" t="s">
        <v>36</v>
      </c>
      <c r="J409" s="2">
        <v>5</v>
      </c>
      <c r="K409" s="5">
        <v>0.03</v>
      </c>
      <c r="L409" s="6">
        <v>8972500</v>
      </c>
      <c r="M409" s="6">
        <v>6600000</v>
      </c>
      <c r="N409" s="6">
        <v>2372500</v>
      </c>
      <c r="O409" s="2" t="s">
        <v>45</v>
      </c>
    </row>
    <row r="410" spans="1:15" x14ac:dyDescent="0.35">
      <c r="A410" s="2" t="s">
        <v>544</v>
      </c>
      <c r="B410" s="4">
        <v>46028</v>
      </c>
      <c r="C410" s="2" t="s">
        <v>30</v>
      </c>
      <c r="D410" s="2" t="s">
        <v>47</v>
      </c>
      <c r="E410" s="2" t="s">
        <v>32</v>
      </c>
      <c r="F410" s="2" t="s">
        <v>33</v>
      </c>
      <c r="G410" s="2" t="s">
        <v>60</v>
      </c>
      <c r="H410" s="2" t="s">
        <v>61</v>
      </c>
      <c r="I410" s="2" t="s">
        <v>62</v>
      </c>
      <c r="J410" s="2">
        <v>8</v>
      </c>
      <c r="K410" s="5">
        <v>0</v>
      </c>
      <c r="L410" s="6">
        <v>520000</v>
      </c>
      <c r="M410" s="6">
        <v>248000</v>
      </c>
      <c r="N410" s="6">
        <v>272000</v>
      </c>
      <c r="O410" s="2" t="s">
        <v>63</v>
      </c>
    </row>
    <row r="411" spans="1:15" x14ac:dyDescent="0.35">
      <c r="A411" s="2" t="s">
        <v>545</v>
      </c>
      <c r="B411" s="4">
        <v>46068</v>
      </c>
      <c r="C411" s="2" t="s">
        <v>69</v>
      </c>
      <c r="D411" s="2" t="s">
        <v>47</v>
      </c>
      <c r="E411" s="2" t="s">
        <v>32</v>
      </c>
      <c r="F411" s="2" t="s">
        <v>33</v>
      </c>
      <c r="G411" s="2" t="s">
        <v>66</v>
      </c>
      <c r="H411" s="2" t="s">
        <v>67</v>
      </c>
      <c r="I411" s="2" t="s">
        <v>51</v>
      </c>
      <c r="J411" s="2">
        <v>6</v>
      </c>
      <c r="K411" s="5">
        <v>0</v>
      </c>
      <c r="L411" s="6">
        <v>1860000</v>
      </c>
      <c r="M411" s="6">
        <v>1140000</v>
      </c>
      <c r="N411" s="6">
        <v>720000</v>
      </c>
      <c r="O411" s="2" t="s">
        <v>63</v>
      </c>
    </row>
    <row r="412" spans="1:15" x14ac:dyDescent="0.35">
      <c r="A412" s="2" t="s">
        <v>546</v>
      </c>
      <c r="B412" s="4">
        <v>46041</v>
      </c>
      <c r="C412" s="2" t="s">
        <v>54</v>
      </c>
      <c r="D412" s="2" t="s">
        <v>47</v>
      </c>
      <c r="E412" s="2" t="s">
        <v>41</v>
      </c>
      <c r="F412" s="2" t="s">
        <v>112</v>
      </c>
      <c r="G412" s="2" t="s">
        <v>71</v>
      </c>
      <c r="H412" s="2" t="s">
        <v>72</v>
      </c>
      <c r="I412" s="2" t="s">
        <v>73</v>
      </c>
      <c r="J412" s="2">
        <v>6</v>
      </c>
      <c r="K412" s="5">
        <v>0.15</v>
      </c>
      <c r="L412" s="6">
        <v>159375</v>
      </c>
      <c r="M412" s="6">
        <v>420000</v>
      </c>
      <c r="N412" s="6">
        <v>-260625</v>
      </c>
      <c r="O412" s="2" t="s">
        <v>57</v>
      </c>
    </row>
    <row r="413" spans="1:15" x14ac:dyDescent="0.35">
      <c r="A413" s="2" t="s">
        <v>547</v>
      </c>
      <c r="B413" s="4">
        <v>46105</v>
      </c>
      <c r="C413" s="2" t="s">
        <v>54</v>
      </c>
      <c r="D413" s="2" t="s">
        <v>59</v>
      </c>
      <c r="E413" s="2" t="s">
        <v>48</v>
      </c>
      <c r="F413" s="2" t="s">
        <v>33</v>
      </c>
      <c r="G413" s="2" t="s">
        <v>78</v>
      </c>
      <c r="H413" s="2" t="s">
        <v>79</v>
      </c>
      <c r="I413" s="2" t="s">
        <v>62</v>
      </c>
      <c r="J413" s="2">
        <v>3</v>
      </c>
      <c r="K413" s="5">
        <v>0.03</v>
      </c>
      <c r="L413" s="6">
        <v>247350</v>
      </c>
      <c r="M413" s="6">
        <v>129000</v>
      </c>
      <c r="N413" s="6">
        <v>118350</v>
      </c>
      <c r="O413" s="2" t="s">
        <v>84</v>
      </c>
    </row>
    <row r="414" spans="1:15" x14ac:dyDescent="0.35">
      <c r="A414" s="2" t="s">
        <v>548</v>
      </c>
      <c r="B414" s="4">
        <v>46166</v>
      </c>
      <c r="C414" s="2" t="s">
        <v>76</v>
      </c>
      <c r="D414" s="2" t="s">
        <v>31</v>
      </c>
      <c r="E414" s="2" t="s">
        <v>48</v>
      </c>
      <c r="F414" s="2" t="s">
        <v>33</v>
      </c>
      <c r="G414" s="2" t="s">
        <v>82</v>
      </c>
      <c r="H414" s="2" t="s">
        <v>83</v>
      </c>
      <c r="I414" s="2" t="s">
        <v>44</v>
      </c>
      <c r="J414" s="2">
        <v>6</v>
      </c>
      <c r="K414" s="5">
        <v>0.03</v>
      </c>
      <c r="L414" s="6">
        <v>8439000</v>
      </c>
      <c r="M414" s="6">
        <v>5880000</v>
      </c>
      <c r="N414" s="6">
        <v>2559000</v>
      </c>
      <c r="O414" s="2" t="s">
        <v>57</v>
      </c>
    </row>
    <row r="415" spans="1:15" x14ac:dyDescent="0.35">
      <c r="A415" s="2" t="s">
        <v>549</v>
      </c>
      <c r="B415" s="4">
        <v>46055</v>
      </c>
      <c r="C415" s="2" t="s">
        <v>95</v>
      </c>
      <c r="D415" s="2" t="s">
        <v>47</v>
      </c>
      <c r="E415" s="2" t="s">
        <v>48</v>
      </c>
      <c r="F415" s="2" t="s">
        <v>33</v>
      </c>
      <c r="G415" s="2" t="s">
        <v>86</v>
      </c>
      <c r="H415" s="2" t="s">
        <v>87</v>
      </c>
      <c r="I415" s="2" t="s">
        <v>36</v>
      </c>
      <c r="J415" s="2">
        <v>3</v>
      </c>
      <c r="K415" s="5">
        <v>0.15</v>
      </c>
      <c r="L415" s="6" t="s">
        <v>550</v>
      </c>
      <c r="M415" s="6">
        <v>630000</v>
      </c>
      <c r="N415" s="6">
        <v>262500</v>
      </c>
      <c r="O415" s="2" t="s">
        <v>84</v>
      </c>
    </row>
    <row r="416" spans="1:15" x14ac:dyDescent="0.35">
      <c r="A416" s="2" t="s">
        <v>551</v>
      </c>
      <c r="B416" s="4">
        <v>46177</v>
      </c>
      <c r="C416" s="2" t="s">
        <v>111</v>
      </c>
      <c r="D416" s="2" t="s">
        <v>47</v>
      </c>
      <c r="E416" s="2" t="s">
        <v>41</v>
      </c>
      <c r="F416" s="2" t="s">
        <v>33</v>
      </c>
      <c r="G416" s="2" t="s">
        <v>34</v>
      </c>
      <c r="H416" s="2" t="s">
        <v>35</v>
      </c>
      <c r="I416" s="2" t="s">
        <v>36</v>
      </c>
      <c r="J416" s="2">
        <v>6</v>
      </c>
      <c r="K416" s="5">
        <v>0.1</v>
      </c>
      <c r="L416" s="6">
        <v>2565000</v>
      </c>
      <c r="M416" s="6">
        <v>1710000</v>
      </c>
      <c r="N416" s="6">
        <v>855000</v>
      </c>
      <c r="O416" s="2" t="s">
        <v>84</v>
      </c>
    </row>
    <row r="417" spans="1:15" x14ac:dyDescent="0.35">
      <c r="A417" s="2" t="s">
        <v>552</v>
      </c>
      <c r="B417" s="4">
        <v>46107</v>
      </c>
      <c r="C417" s="2" t="s">
        <v>69</v>
      </c>
      <c r="D417" s="2" t="s">
        <v>70</v>
      </c>
      <c r="E417" s="2" t="s">
        <v>32</v>
      </c>
      <c r="F417" s="2" t="s">
        <v>33</v>
      </c>
      <c r="G417" s="2" t="s">
        <v>42</v>
      </c>
      <c r="H417" s="2" t="s">
        <v>43</v>
      </c>
      <c r="I417" s="2" t="s">
        <v>44</v>
      </c>
      <c r="J417" s="2">
        <v>2</v>
      </c>
      <c r="K417" s="5">
        <v>0.03</v>
      </c>
      <c r="L417" s="6">
        <v>533500</v>
      </c>
      <c r="M417" s="6">
        <v>310000</v>
      </c>
      <c r="N417" s="6">
        <v>223500</v>
      </c>
      <c r="O417" s="2" t="s">
        <v>63</v>
      </c>
    </row>
    <row r="418" spans="1:15" x14ac:dyDescent="0.35">
      <c r="A418" s="2" t="s">
        <v>553</v>
      </c>
      <c r="B418" s="2" t="s">
        <v>554</v>
      </c>
      <c r="C418" s="2" t="s">
        <v>76</v>
      </c>
      <c r="D418" s="2" t="s">
        <v>40</v>
      </c>
      <c r="E418" s="2" t="s">
        <v>81</v>
      </c>
      <c r="F418" s="2" t="s">
        <v>33</v>
      </c>
      <c r="G418" s="2" t="s">
        <v>49</v>
      </c>
      <c r="H418" s="2" t="s">
        <v>50</v>
      </c>
      <c r="I418" s="2" t="s">
        <v>51</v>
      </c>
      <c r="J418" s="2">
        <v>1</v>
      </c>
      <c r="K418" s="5">
        <v>0.05</v>
      </c>
      <c r="L418" s="6">
        <v>232750</v>
      </c>
      <c r="M418" s="6">
        <v>145000</v>
      </c>
      <c r="N418" s="6">
        <v>87750</v>
      </c>
      <c r="O418" s="2" t="s">
        <v>37</v>
      </c>
    </row>
    <row r="419" spans="1:15" x14ac:dyDescent="0.35">
      <c r="A419" s="2" t="s">
        <v>555</v>
      </c>
      <c r="B419" s="4">
        <v>46023</v>
      </c>
      <c r="C419" s="2" t="s">
        <v>65</v>
      </c>
      <c r="D419" s="2" t="s">
        <v>59</v>
      </c>
      <c r="E419" s="2" t="s">
        <v>32</v>
      </c>
      <c r="F419" s="2" t="s">
        <v>33</v>
      </c>
      <c r="G419" s="2" t="s">
        <v>55</v>
      </c>
      <c r="H419" s="2" t="s">
        <v>56</v>
      </c>
      <c r="I419" s="2" t="s">
        <v>36</v>
      </c>
      <c r="J419" s="2">
        <v>1</v>
      </c>
      <c r="K419" s="5">
        <v>0.08</v>
      </c>
      <c r="L419" s="6">
        <v>1702000</v>
      </c>
      <c r="M419" s="6">
        <v>1320000</v>
      </c>
      <c r="N419" s="6">
        <v>382000</v>
      </c>
      <c r="O419" s="2" t="s">
        <v>52</v>
      </c>
    </row>
    <row r="420" spans="1:15" x14ac:dyDescent="0.35">
      <c r="A420" s="2" t="s">
        <v>556</v>
      </c>
      <c r="B420" s="2"/>
      <c r="C420" s="2" t="s">
        <v>30</v>
      </c>
      <c r="D420" s="2" t="s">
        <v>59</v>
      </c>
      <c r="E420" s="2" t="s">
        <v>32</v>
      </c>
      <c r="F420" s="2" t="s">
        <v>33</v>
      </c>
      <c r="G420" s="2" t="s">
        <v>60</v>
      </c>
      <c r="H420" s="2" t="s">
        <v>61</v>
      </c>
      <c r="I420" s="2" t="s">
        <v>62</v>
      </c>
      <c r="J420" s="2">
        <v>6</v>
      </c>
      <c r="K420" s="5">
        <v>0.1</v>
      </c>
      <c r="L420" s="6">
        <v>351000</v>
      </c>
      <c r="M420" s="6">
        <v>186000</v>
      </c>
      <c r="N420" s="6">
        <v>165000</v>
      </c>
      <c r="O420" s="2" t="s">
        <v>52</v>
      </c>
    </row>
    <row r="421" spans="1:15" x14ac:dyDescent="0.35">
      <c r="A421" s="2" t="s">
        <v>557</v>
      </c>
      <c r="B421" s="4">
        <v>46041</v>
      </c>
      <c r="C421" s="2" t="s">
        <v>69</v>
      </c>
      <c r="D421" s="2" t="s">
        <v>384</v>
      </c>
      <c r="E421" s="2" t="s">
        <v>41</v>
      </c>
      <c r="F421" s="2" t="s">
        <v>33</v>
      </c>
      <c r="G421" s="2" t="s">
        <v>66</v>
      </c>
      <c r="H421" s="2" t="s">
        <v>67</v>
      </c>
      <c r="I421" s="2" t="s">
        <v>51</v>
      </c>
      <c r="J421" s="2">
        <v>1</v>
      </c>
      <c r="K421" s="5">
        <v>0.05</v>
      </c>
      <c r="L421" s="6">
        <v>294500</v>
      </c>
      <c r="M421" s="6">
        <v>190000</v>
      </c>
      <c r="N421" s="6">
        <v>104500</v>
      </c>
      <c r="O421" s="2" t="s">
        <v>63</v>
      </c>
    </row>
    <row r="422" spans="1:15" x14ac:dyDescent="0.35">
      <c r="A422" s="2" t="s">
        <v>558</v>
      </c>
      <c r="B422" s="4">
        <v>46066</v>
      </c>
      <c r="C422" s="2" t="s">
        <v>54</v>
      </c>
      <c r="D422" s="2" t="s">
        <v>47</v>
      </c>
      <c r="E422" s="2" t="s">
        <v>41</v>
      </c>
      <c r="F422" s="2" t="s">
        <v>33</v>
      </c>
      <c r="G422" s="2" t="s">
        <v>71</v>
      </c>
      <c r="H422" s="2" t="s">
        <v>72</v>
      </c>
      <c r="I422" s="2" t="s">
        <v>73</v>
      </c>
      <c r="J422" s="2">
        <v>7</v>
      </c>
      <c r="K422" s="5">
        <v>0.03</v>
      </c>
      <c r="L422" s="6">
        <v>848750</v>
      </c>
      <c r="M422" s="6">
        <v>490000</v>
      </c>
      <c r="N422" s="6">
        <v>358750</v>
      </c>
      <c r="O422" s="2" t="s">
        <v>52</v>
      </c>
    </row>
    <row r="423" spans="1:15" x14ac:dyDescent="0.35">
      <c r="A423" s="2" t="s">
        <v>559</v>
      </c>
      <c r="B423" s="4">
        <v>46203</v>
      </c>
      <c r="C423" s="2" t="s">
        <v>30</v>
      </c>
      <c r="D423" s="2" t="s">
        <v>47</v>
      </c>
      <c r="E423" s="2" t="s">
        <v>48</v>
      </c>
      <c r="F423" s="2" t="s">
        <v>112</v>
      </c>
      <c r="G423" s="2" t="s">
        <v>78</v>
      </c>
      <c r="H423" s="2" t="s">
        <v>79</v>
      </c>
      <c r="I423" s="2" t="s">
        <v>62</v>
      </c>
      <c r="J423" s="2">
        <v>1</v>
      </c>
      <c r="K423" s="5">
        <v>0.08</v>
      </c>
      <c r="L423" s="6">
        <v>0</v>
      </c>
      <c r="M423" s="6">
        <v>43000</v>
      </c>
      <c r="N423" s="6">
        <v>-43000</v>
      </c>
      <c r="O423" s="2" t="s">
        <v>74</v>
      </c>
    </row>
    <row r="424" spans="1:15" x14ac:dyDescent="0.35">
      <c r="A424" s="2" t="s">
        <v>560</v>
      </c>
      <c r="B424" s="4">
        <v>46048</v>
      </c>
      <c r="C424" s="2" t="s">
        <v>76</v>
      </c>
      <c r="D424" s="2" t="s">
        <v>47</v>
      </c>
      <c r="E424" s="2" t="s">
        <v>81</v>
      </c>
      <c r="F424" s="2" t="s">
        <v>77</v>
      </c>
      <c r="G424" s="2" t="s">
        <v>82</v>
      </c>
      <c r="H424" s="2" t="s">
        <v>83</v>
      </c>
      <c r="I424" s="2" t="s">
        <v>44</v>
      </c>
      <c r="J424" s="2">
        <v>6</v>
      </c>
      <c r="K424" s="5">
        <v>0.03</v>
      </c>
      <c r="L424" s="6">
        <v>2109750</v>
      </c>
      <c r="M424" s="6">
        <v>5880000</v>
      </c>
      <c r="N424" s="6">
        <v>-3770250</v>
      </c>
      <c r="O424" s="2" t="s">
        <v>57</v>
      </c>
    </row>
    <row r="425" spans="1:15" x14ac:dyDescent="0.35">
      <c r="A425" s="2" t="s">
        <v>561</v>
      </c>
      <c r="B425" s="4">
        <v>46083</v>
      </c>
      <c r="C425" s="2" t="s">
        <v>30</v>
      </c>
      <c r="D425" s="2" t="s">
        <v>47</v>
      </c>
      <c r="E425" s="2" t="s">
        <v>48</v>
      </c>
      <c r="F425" s="2" t="s">
        <v>33</v>
      </c>
      <c r="G425" s="2" t="s">
        <v>86</v>
      </c>
      <c r="H425" s="2" t="s">
        <v>87</v>
      </c>
      <c r="I425" s="2" t="s">
        <v>36</v>
      </c>
      <c r="J425" s="2">
        <v>2</v>
      </c>
      <c r="K425" s="5">
        <v>0</v>
      </c>
      <c r="L425" s="6">
        <v>700000</v>
      </c>
      <c r="M425" s="6">
        <v>420000</v>
      </c>
      <c r="N425" s="6">
        <v>280000</v>
      </c>
      <c r="O425" s="2" t="s">
        <v>74</v>
      </c>
    </row>
    <row r="426" spans="1:15" x14ac:dyDescent="0.35">
      <c r="A426" s="2" t="s">
        <v>562</v>
      </c>
      <c r="B426" s="4">
        <v>46115</v>
      </c>
      <c r="C426" s="2" t="s">
        <v>39</v>
      </c>
      <c r="D426" s="2" t="s">
        <v>47</v>
      </c>
      <c r="E426" s="2" t="s">
        <v>48</v>
      </c>
      <c r="F426" s="2" t="s">
        <v>33</v>
      </c>
      <c r="G426" s="2" t="s">
        <v>34</v>
      </c>
      <c r="H426" s="2" t="s">
        <v>35</v>
      </c>
      <c r="I426" s="2" t="s">
        <v>36</v>
      </c>
      <c r="J426" s="2">
        <v>1</v>
      </c>
      <c r="K426" s="5">
        <v>0.08</v>
      </c>
      <c r="L426" s="6">
        <v>437000</v>
      </c>
      <c r="M426" s="6">
        <v>285000</v>
      </c>
      <c r="N426" s="6">
        <v>152000</v>
      </c>
      <c r="O426" s="2" t="s">
        <v>37</v>
      </c>
    </row>
    <row r="427" spans="1:15" x14ac:dyDescent="0.35">
      <c r="A427" s="2" t="s">
        <v>563</v>
      </c>
      <c r="B427" s="4">
        <v>46029</v>
      </c>
      <c r="C427" s="2" t="s">
        <v>69</v>
      </c>
      <c r="D427" s="2" t="s">
        <v>40</v>
      </c>
      <c r="E427" s="2" t="s">
        <v>48</v>
      </c>
      <c r="F427" s="2" t="s">
        <v>146</v>
      </c>
      <c r="G427" s="2" t="s">
        <v>42</v>
      </c>
      <c r="H427" s="2" t="s">
        <v>43</v>
      </c>
      <c r="I427" s="2" t="s">
        <v>44</v>
      </c>
      <c r="J427" s="2">
        <v>4</v>
      </c>
      <c r="K427" s="5">
        <v>0.03</v>
      </c>
      <c r="L427" s="6">
        <v>1067000</v>
      </c>
      <c r="M427" s="6">
        <v>620000</v>
      </c>
      <c r="N427" s="6">
        <v>447000</v>
      </c>
      <c r="O427" s="2" t="s">
        <v>57</v>
      </c>
    </row>
    <row r="428" spans="1:15" x14ac:dyDescent="0.35">
      <c r="A428" s="2" t="s">
        <v>564</v>
      </c>
      <c r="B428" s="2" t="s">
        <v>565</v>
      </c>
      <c r="C428" s="2" t="s">
        <v>30</v>
      </c>
      <c r="D428" s="2" t="s">
        <v>40</v>
      </c>
      <c r="E428" s="2" t="s">
        <v>48</v>
      </c>
      <c r="F428" s="2" t="s">
        <v>112</v>
      </c>
      <c r="G428" s="2" t="s">
        <v>49</v>
      </c>
      <c r="H428" s="2" t="s">
        <v>50</v>
      </c>
      <c r="I428" s="2" t="s">
        <v>51</v>
      </c>
      <c r="J428" s="2">
        <v>8</v>
      </c>
      <c r="K428" s="5">
        <v>0.08</v>
      </c>
      <c r="L428" s="6">
        <v>450800</v>
      </c>
      <c r="M428" s="6">
        <v>1160000</v>
      </c>
      <c r="N428" s="6">
        <v>-709200</v>
      </c>
      <c r="O428" s="2" t="s">
        <v>63</v>
      </c>
    </row>
    <row r="429" spans="1:15" x14ac:dyDescent="0.35">
      <c r="A429" s="2" t="s">
        <v>566</v>
      </c>
      <c r="B429" s="4">
        <v>46120</v>
      </c>
      <c r="C429" s="2" t="s">
        <v>111</v>
      </c>
      <c r="D429" s="2" t="s">
        <v>70</v>
      </c>
      <c r="E429" s="2" t="s">
        <v>48</v>
      </c>
      <c r="F429" s="2" t="s">
        <v>33</v>
      </c>
      <c r="G429" s="2" t="s">
        <v>55</v>
      </c>
      <c r="H429" s="2" t="s">
        <v>56</v>
      </c>
      <c r="I429" s="2" t="s">
        <v>293</v>
      </c>
      <c r="J429" s="2">
        <v>6</v>
      </c>
      <c r="K429" s="5">
        <v>0.03</v>
      </c>
      <c r="L429" s="6">
        <v>10767000</v>
      </c>
      <c r="M429" s="6">
        <v>7920000</v>
      </c>
      <c r="N429" s="6">
        <v>2847000</v>
      </c>
      <c r="O429" s="2" t="s">
        <v>57</v>
      </c>
    </row>
    <row r="430" spans="1:15" x14ac:dyDescent="0.35">
      <c r="A430" s="2" t="s">
        <v>567</v>
      </c>
      <c r="B430" s="4">
        <v>46080</v>
      </c>
      <c r="C430" s="2" t="s">
        <v>54</v>
      </c>
      <c r="D430" s="2" t="s">
        <v>40</v>
      </c>
      <c r="E430" s="2" t="s">
        <v>41</v>
      </c>
      <c r="F430" s="2" t="s">
        <v>122</v>
      </c>
      <c r="G430" s="2" t="s">
        <v>60</v>
      </c>
      <c r="H430" s="2" t="s">
        <v>61</v>
      </c>
      <c r="I430" s="2" t="s">
        <v>62</v>
      </c>
      <c r="J430" s="2">
        <v>5</v>
      </c>
      <c r="K430" s="5">
        <v>0.1</v>
      </c>
      <c r="L430" s="6">
        <v>292500</v>
      </c>
      <c r="M430" s="6">
        <v>155000</v>
      </c>
      <c r="N430" s="6">
        <v>137500</v>
      </c>
      <c r="O430" s="2" t="s">
        <v>93</v>
      </c>
    </row>
    <row r="431" spans="1:15" x14ac:dyDescent="0.35">
      <c r="A431" s="2" t="s">
        <v>568</v>
      </c>
      <c r="B431" s="4">
        <v>46173</v>
      </c>
      <c r="C431" s="2" t="s">
        <v>111</v>
      </c>
      <c r="D431" s="2" t="s">
        <v>59</v>
      </c>
      <c r="E431" s="2" t="s">
        <v>48</v>
      </c>
      <c r="F431" s="2" t="s">
        <v>33</v>
      </c>
      <c r="G431" s="2" t="s">
        <v>569</v>
      </c>
      <c r="H431" s="2" t="s">
        <v>67</v>
      </c>
      <c r="I431" s="2" t="s">
        <v>51</v>
      </c>
      <c r="J431" s="2">
        <v>4</v>
      </c>
      <c r="K431" s="5">
        <v>0.1</v>
      </c>
      <c r="L431" s="6">
        <v>1116000</v>
      </c>
      <c r="M431" s="6">
        <v>760000</v>
      </c>
      <c r="N431" s="6">
        <v>356000</v>
      </c>
      <c r="O431" s="2" t="s">
        <v>45</v>
      </c>
    </row>
    <row r="432" spans="1:15" x14ac:dyDescent="0.35">
      <c r="A432" s="2" t="s">
        <v>570</v>
      </c>
      <c r="B432" s="4">
        <v>46144</v>
      </c>
      <c r="C432" s="2" t="s">
        <v>69</v>
      </c>
      <c r="D432" s="2" t="s">
        <v>40</v>
      </c>
      <c r="E432" s="2" t="s">
        <v>226</v>
      </c>
      <c r="F432" s="2" t="s">
        <v>33</v>
      </c>
      <c r="G432" s="2" t="s">
        <v>71</v>
      </c>
      <c r="H432" s="2" t="s">
        <v>72</v>
      </c>
      <c r="I432" s="2" t="s">
        <v>571</v>
      </c>
      <c r="J432" s="2">
        <v>5</v>
      </c>
      <c r="K432" s="5">
        <v>0</v>
      </c>
      <c r="L432" s="6">
        <v>625000</v>
      </c>
      <c r="M432" s="6">
        <v>350000</v>
      </c>
      <c r="N432" s="6">
        <v>275000</v>
      </c>
      <c r="O432" s="2" t="s">
        <v>52</v>
      </c>
    </row>
    <row r="433" spans="1:15" x14ac:dyDescent="0.35">
      <c r="A433" s="2" t="s">
        <v>572</v>
      </c>
      <c r="B433" s="4">
        <v>46067</v>
      </c>
      <c r="C433" s="2" t="s">
        <v>65</v>
      </c>
      <c r="D433" s="2" t="s">
        <v>31</v>
      </c>
      <c r="E433" s="2" t="s">
        <v>41</v>
      </c>
      <c r="F433" s="2" t="s">
        <v>90</v>
      </c>
      <c r="G433" s="2" t="s">
        <v>78</v>
      </c>
      <c r="H433" s="2" t="s">
        <v>79</v>
      </c>
      <c r="I433" s="2" t="s">
        <v>62</v>
      </c>
      <c r="J433" s="2">
        <v>3</v>
      </c>
      <c r="K433" s="5">
        <v>0.03</v>
      </c>
      <c r="L433" s="6">
        <v>247350</v>
      </c>
      <c r="M433" s="6">
        <v>129000</v>
      </c>
      <c r="N433" s="6">
        <v>118350</v>
      </c>
      <c r="O433" s="2" t="s">
        <v>37</v>
      </c>
    </row>
    <row r="434" spans="1:15" x14ac:dyDescent="0.35">
      <c r="A434" s="2" t="s">
        <v>573</v>
      </c>
      <c r="B434" s="4">
        <v>46197</v>
      </c>
      <c r="C434" s="2" t="s">
        <v>54</v>
      </c>
      <c r="D434" s="2" t="s">
        <v>31</v>
      </c>
      <c r="E434" s="2" t="s">
        <v>81</v>
      </c>
      <c r="F434" s="2" t="s">
        <v>77</v>
      </c>
      <c r="G434" s="2" t="s">
        <v>82</v>
      </c>
      <c r="H434" s="2" t="s">
        <v>83</v>
      </c>
      <c r="I434" s="2" t="s">
        <v>44</v>
      </c>
      <c r="J434" s="2">
        <v>7</v>
      </c>
      <c r="K434" s="5">
        <v>0.03</v>
      </c>
      <c r="L434" s="6">
        <v>4922750</v>
      </c>
      <c r="M434" s="6">
        <v>6860000</v>
      </c>
      <c r="N434" s="6">
        <v>-1937250</v>
      </c>
      <c r="O434" s="2" t="s">
        <v>37</v>
      </c>
    </row>
    <row r="435" spans="1:15" x14ac:dyDescent="0.35">
      <c r="A435" s="2" t="s">
        <v>574</v>
      </c>
      <c r="B435" s="4">
        <v>46045</v>
      </c>
      <c r="C435" s="2" t="s">
        <v>111</v>
      </c>
      <c r="D435" s="2" t="s">
        <v>70</v>
      </c>
      <c r="E435" s="2" t="s">
        <v>283</v>
      </c>
      <c r="F435" s="2" t="s">
        <v>33</v>
      </c>
      <c r="G435" s="2" t="s">
        <v>86</v>
      </c>
      <c r="H435" s="2" t="s">
        <v>87</v>
      </c>
      <c r="I435" s="2" t="s">
        <v>36</v>
      </c>
      <c r="J435" s="2">
        <v>7</v>
      </c>
      <c r="K435" s="5">
        <v>0.1</v>
      </c>
      <c r="L435" s="6">
        <v>2205000</v>
      </c>
      <c r="M435" s="6">
        <v>1470000</v>
      </c>
      <c r="N435" s="6">
        <v>735000</v>
      </c>
      <c r="O435" s="2" t="s">
        <v>74</v>
      </c>
    </row>
    <row r="436" spans="1:15" x14ac:dyDescent="0.35">
      <c r="A436" s="2" t="s">
        <v>575</v>
      </c>
      <c r="B436" s="4">
        <v>46202</v>
      </c>
      <c r="C436" s="2" t="s">
        <v>69</v>
      </c>
      <c r="D436" s="2" t="s">
        <v>31</v>
      </c>
      <c r="E436" s="2" t="s">
        <v>41</v>
      </c>
      <c r="F436" s="2" t="s">
        <v>33</v>
      </c>
      <c r="G436" s="2" t="s">
        <v>34</v>
      </c>
      <c r="H436" s="2" t="s">
        <v>35</v>
      </c>
      <c r="I436" s="2" t="s">
        <v>36</v>
      </c>
      <c r="J436" s="2">
        <v>7</v>
      </c>
      <c r="K436" s="5">
        <v>0</v>
      </c>
      <c r="L436" s="6">
        <v>3325000</v>
      </c>
      <c r="M436" s="6">
        <v>1995000</v>
      </c>
      <c r="N436" s="6">
        <v>1330000</v>
      </c>
      <c r="O436" s="2" t="s">
        <v>37</v>
      </c>
    </row>
    <row r="437" spans="1:15" x14ac:dyDescent="0.35">
      <c r="A437" s="2" t="s">
        <v>576</v>
      </c>
      <c r="B437" s="4">
        <v>46096</v>
      </c>
      <c r="C437" s="2" t="s">
        <v>95</v>
      </c>
      <c r="D437" s="2" t="s">
        <v>59</v>
      </c>
      <c r="E437" s="2" t="s">
        <v>48</v>
      </c>
      <c r="F437" s="2" t="s">
        <v>33</v>
      </c>
      <c r="G437" s="2" t="s">
        <v>42</v>
      </c>
      <c r="H437" s="2" t="s">
        <v>43</v>
      </c>
      <c r="I437" s="2" t="s">
        <v>44</v>
      </c>
      <c r="J437" s="2">
        <v>6</v>
      </c>
      <c r="K437" s="5">
        <v>0.08</v>
      </c>
      <c r="L437" s="6">
        <v>1518000</v>
      </c>
      <c r="M437" s="6">
        <v>930000</v>
      </c>
      <c r="N437" s="6">
        <v>588000</v>
      </c>
      <c r="O437" s="2" t="s">
        <v>84</v>
      </c>
    </row>
    <row r="438" spans="1:15" x14ac:dyDescent="0.35">
      <c r="A438" s="2" t="s">
        <v>577</v>
      </c>
      <c r="B438" s="4">
        <v>46093</v>
      </c>
      <c r="C438" s="2" t="s">
        <v>65</v>
      </c>
      <c r="D438" s="2" t="s">
        <v>59</v>
      </c>
      <c r="E438" s="2" t="s">
        <v>41</v>
      </c>
      <c r="F438" s="2" t="s">
        <v>33</v>
      </c>
      <c r="G438" s="2" t="s">
        <v>49</v>
      </c>
      <c r="H438" s="2" t="s">
        <v>50</v>
      </c>
      <c r="I438" s="2" t="s">
        <v>51</v>
      </c>
      <c r="J438" s="2">
        <v>7</v>
      </c>
      <c r="K438" s="5">
        <v>0.03</v>
      </c>
      <c r="L438" s="6">
        <v>1663550</v>
      </c>
      <c r="M438" s="6">
        <v>1015000</v>
      </c>
      <c r="N438" s="6">
        <v>648550</v>
      </c>
      <c r="O438" s="2" t="s">
        <v>63</v>
      </c>
    </row>
    <row r="439" spans="1:15" x14ac:dyDescent="0.35">
      <c r="A439" s="2" t="s">
        <v>578</v>
      </c>
      <c r="B439" s="4">
        <v>46199</v>
      </c>
      <c r="C439" s="2" t="s">
        <v>95</v>
      </c>
      <c r="D439" s="2" t="s">
        <v>70</v>
      </c>
      <c r="E439" s="2" t="s">
        <v>81</v>
      </c>
      <c r="F439" s="2" t="s">
        <v>33</v>
      </c>
      <c r="G439" s="2" t="s">
        <v>55</v>
      </c>
      <c r="H439" s="2" t="s">
        <v>56</v>
      </c>
      <c r="I439" s="2" t="s">
        <v>36</v>
      </c>
      <c r="J439" s="2">
        <v>4</v>
      </c>
      <c r="K439" s="5">
        <v>0</v>
      </c>
      <c r="L439" s="6">
        <v>7400000</v>
      </c>
      <c r="M439" s="6">
        <v>5280000</v>
      </c>
      <c r="N439" s="6">
        <v>2120000</v>
      </c>
      <c r="O439" s="2" t="s">
        <v>63</v>
      </c>
    </row>
    <row r="440" spans="1:15" x14ac:dyDescent="0.35">
      <c r="A440" s="2" t="s">
        <v>579</v>
      </c>
      <c r="B440" s="4">
        <v>46100</v>
      </c>
      <c r="C440" s="2" t="s">
        <v>30</v>
      </c>
      <c r="D440" s="2" t="s">
        <v>40</v>
      </c>
      <c r="E440" s="2" t="s">
        <v>32</v>
      </c>
      <c r="F440" s="2" t="s">
        <v>90</v>
      </c>
      <c r="G440" s="2" t="s">
        <v>60</v>
      </c>
      <c r="H440" s="2" t="s">
        <v>61</v>
      </c>
      <c r="I440" s="2" t="s">
        <v>62</v>
      </c>
      <c r="J440" s="2">
        <v>5</v>
      </c>
      <c r="K440" s="5">
        <v>0.05</v>
      </c>
      <c r="L440" s="6">
        <v>308750</v>
      </c>
      <c r="M440" s="6">
        <v>155000</v>
      </c>
      <c r="N440" s="6">
        <v>153750</v>
      </c>
      <c r="O440" s="2" t="s">
        <v>57</v>
      </c>
    </row>
    <row r="441" spans="1:15" x14ac:dyDescent="0.35">
      <c r="A441" s="2" t="s">
        <v>580</v>
      </c>
      <c r="B441" s="4">
        <v>46136</v>
      </c>
      <c r="C441" s="2" t="s">
        <v>39</v>
      </c>
      <c r="D441" s="2" t="s">
        <v>47</v>
      </c>
      <c r="E441" s="2" t="s">
        <v>41</v>
      </c>
      <c r="F441" s="2" t="s">
        <v>33</v>
      </c>
      <c r="G441" s="2" t="s">
        <v>66</v>
      </c>
      <c r="H441" s="2" t="s">
        <v>67</v>
      </c>
      <c r="I441" s="2" t="s">
        <v>51</v>
      </c>
      <c r="J441" s="2">
        <v>6</v>
      </c>
      <c r="K441" s="5">
        <v>0.05</v>
      </c>
      <c r="L441" s="6">
        <v>1767000</v>
      </c>
      <c r="M441" s="6">
        <v>1140000</v>
      </c>
      <c r="N441" s="6">
        <v>627000</v>
      </c>
      <c r="O441" s="2" t="s">
        <v>52</v>
      </c>
    </row>
    <row r="442" spans="1:15" x14ac:dyDescent="0.35">
      <c r="A442" s="2" t="s">
        <v>581</v>
      </c>
      <c r="B442" s="4">
        <v>46077</v>
      </c>
      <c r="C442" s="2" t="s">
        <v>95</v>
      </c>
      <c r="D442" s="2" t="s">
        <v>47</v>
      </c>
      <c r="E442" s="2" t="s">
        <v>81</v>
      </c>
      <c r="F442" s="2" t="s">
        <v>33</v>
      </c>
      <c r="G442" s="2" t="s">
        <v>71</v>
      </c>
      <c r="H442" s="2" t="s">
        <v>72</v>
      </c>
      <c r="I442" s="2" t="s">
        <v>73</v>
      </c>
      <c r="J442" s="2">
        <v>7</v>
      </c>
      <c r="K442" s="5">
        <v>0.15</v>
      </c>
      <c r="L442" s="6">
        <v>743750</v>
      </c>
      <c r="M442" s="6">
        <v>490000</v>
      </c>
      <c r="N442" s="6">
        <v>253750</v>
      </c>
      <c r="O442" s="2" t="s">
        <v>84</v>
      </c>
    </row>
    <row r="443" spans="1:15" x14ac:dyDescent="0.35">
      <c r="A443" s="2" t="s">
        <v>582</v>
      </c>
      <c r="B443" s="4">
        <v>46039</v>
      </c>
      <c r="C443" s="2" t="s">
        <v>30</v>
      </c>
      <c r="D443" s="2" t="s">
        <v>31</v>
      </c>
      <c r="E443" s="2" t="s">
        <v>41</v>
      </c>
      <c r="F443" s="2" t="s">
        <v>33</v>
      </c>
      <c r="G443" s="2" t="s">
        <v>78</v>
      </c>
      <c r="H443" s="2" t="s">
        <v>79</v>
      </c>
      <c r="I443" s="2" t="s">
        <v>62</v>
      </c>
      <c r="J443" s="2">
        <v>5</v>
      </c>
      <c r="K443" s="5">
        <v>0.15</v>
      </c>
      <c r="L443" s="6">
        <v>361250</v>
      </c>
      <c r="M443" s="6">
        <v>215000</v>
      </c>
      <c r="N443" s="6">
        <v>146250</v>
      </c>
      <c r="O443" s="2" t="s">
        <v>45</v>
      </c>
    </row>
    <row r="444" spans="1:15" x14ac:dyDescent="0.35">
      <c r="A444" s="2" t="s">
        <v>583</v>
      </c>
      <c r="B444" s="4">
        <v>46074</v>
      </c>
      <c r="C444" s="2" t="s">
        <v>39</v>
      </c>
      <c r="D444" s="2" t="s">
        <v>40</v>
      </c>
      <c r="E444" s="2" t="s">
        <v>81</v>
      </c>
      <c r="F444" s="2" t="s">
        <v>33</v>
      </c>
      <c r="G444" s="2" t="s">
        <v>82</v>
      </c>
      <c r="H444" s="2" t="s">
        <v>83</v>
      </c>
      <c r="I444" s="2" t="s">
        <v>44</v>
      </c>
      <c r="J444" s="2">
        <v>1</v>
      </c>
      <c r="K444" s="5">
        <v>0.03</v>
      </c>
      <c r="L444" s="6">
        <v>1406500</v>
      </c>
      <c r="M444" s="6">
        <v>980000</v>
      </c>
      <c r="N444" s="6">
        <v>426500</v>
      </c>
      <c r="O444" s="2" t="s">
        <v>57</v>
      </c>
    </row>
    <row r="445" spans="1:15" x14ac:dyDescent="0.35">
      <c r="A445" s="2" t="s">
        <v>584</v>
      </c>
      <c r="B445" s="4">
        <v>46117</v>
      </c>
      <c r="C445" s="2" t="s">
        <v>39</v>
      </c>
      <c r="D445" s="2" t="s">
        <v>40</v>
      </c>
      <c r="E445" s="2" t="s">
        <v>41</v>
      </c>
      <c r="F445" s="2" t="s">
        <v>33</v>
      </c>
      <c r="G445" s="2" t="s">
        <v>86</v>
      </c>
      <c r="H445" s="2" t="s">
        <v>87</v>
      </c>
      <c r="I445" s="2" t="s">
        <v>36</v>
      </c>
      <c r="J445" s="2">
        <v>8</v>
      </c>
      <c r="K445" s="5">
        <v>0.1</v>
      </c>
      <c r="L445" s="6">
        <v>2520000</v>
      </c>
      <c r="M445" s="6">
        <v>1680000</v>
      </c>
      <c r="N445" s="6">
        <v>840000</v>
      </c>
      <c r="O445" s="2" t="s">
        <v>63</v>
      </c>
    </row>
    <row r="446" spans="1:15" x14ac:dyDescent="0.35">
      <c r="A446" s="2" t="s">
        <v>585</v>
      </c>
      <c r="B446" s="4">
        <v>46148</v>
      </c>
      <c r="C446" s="2" t="s">
        <v>54</v>
      </c>
      <c r="D446" s="2" t="s">
        <v>47</v>
      </c>
      <c r="E446" s="2" t="s">
        <v>81</v>
      </c>
      <c r="F446" s="2" t="s">
        <v>77</v>
      </c>
      <c r="G446" s="2" t="s">
        <v>34</v>
      </c>
      <c r="H446" s="2" t="s">
        <v>35</v>
      </c>
      <c r="I446" s="2" t="s">
        <v>36</v>
      </c>
      <c r="J446" s="2">
        <v>8</v>
      </c>
      <c r="K446" s="5">
        <v>0.03</v>
      </c>
      <c r="L446" s="6">
        <v>921500</v>
      </c>
      <c r="M446" s="6">
        <v>2280000</v>
      </c>
      <c r="N446" s="6">
        <v>-1358500</v>
      </c>
      <c r="O446" s="2" t="s">
        <v>84</v>
      </c>
    </row>
    <row r="447" spans="1:15" x14ac:dyDescent="0.35">
      <c r="A447" s="2" t="s">
        <v>586</v>
      </c>
      <c r="B447" s="4">
        <v>46089</v>
      </c>
      <c r="C447" s="2" t="s">
        <v>39</v>
      </c>
      <c r="D447" s="2" t="s">
        <v>40</v>
      </c>
      <c r="E447" s="2" t="s">
        <v>32</v>
      </c>
      <c r="F447" s="2" t="s">
        <v>33</v>
      </c>
      <c r="G447" s="2" t="s">
        <v>42</v>
      </c>
      <c r="H447" s="2" t="s">
        <v>43</v>
      </c>
      <c r="I447" s="2" t="s">
        <v>44</v>
      </c>
      <c r="J447" s="2">
        <v>2</v>
      </c>
      <c r="K447" s="5">
        <v>0.05</v>
      </c>
      <c r="L447" s="6">
        <v>522500</v>
      </c>
      <c r="M447" s="6">
        <v>310000</v>
      </c>
      <c r="N447" s="6">
        <v>212500</v>
      </c>
      <c r="O447" s="2" t="s">
        <v>45</v>
      </c>
    </row>
    <row r="448" spans="1:15" x14ac:dyDescent="0.35">
      <c r="A448" s="2" t="s">
        <v>587</v>
      </c>
      <c r="B448" s="4">
        <v>46188</v>
      </c>
      <c r="C448" s="2" t="s">
        <v>95</v>
      </c>
      <c r="D448" s="2" t="s">
        <v>59</v>
      </c>
      <c r="E448" s="2" t="s">
        <v>41</v>
      </c>
      <c r="F448" s="2" t="s">
        <v>33</v>
      </c>
      <c r="G448" s="2" t="s">
        <v>49</v>
      </c>
      <c r="H448" s="2" t="s">
        <v>50</v>
      </c>
      <c r="I448" s="2" t="s">
        <v>51</v>
      </c>
      <c r="J448" s="2">
        <v>4</v>
      </c>
      <c r="K448" s="5">
        <v>0.15</v>
      </c>
      <c r="L448" s="6">
        <v>833000</v>
      </c>
      <c r="M448" s="6">
        <v>580000</v>
      </c>
      <c r="N448" s="6">
        <v>253000</v>
      </c>
      <c r="O448" s="2" t="s">
        <v>52</v>
      </c>
    </row>
    <row r="449" spans="1:15" x14ac:dyDescent="0.35">
      <c r="A449" s="2" t="s">
        <v>588</v>
      </c>
      <c r="B449" s="4">
        <v>46056</v>
      </c>
      <c r="C449" s="2" t="s">
        <v>76</v>
      </c>
      <c r="D449" s="2" t="s">
        <v>120</v>
      </c>
      <c r="E449" s="2" t="s">
        <v>81</v>
      </c>
      <c r="F449" s="2" t="s">
        <v>90</v>
      </c>
      <c r="G449" s="2" t="s">
        <v>55</v>
      </c>
      <c r="H449" s="2" t="s">
        <v>56</v>
      </c>
      <c r="I449" s="2" t="s">
        <v>36</v>
      </c>
      <c r="J449" s="2">
        <v>3</v>
      </c>
      <c r="K449" s="5">
        <v>0.1</v>
      </c>
      <c r="L449" s="6">
        <v>4995000</v>
      </c>
      <c r="M449" s="6">
        <v>3960000</v>
      </c>
      <c r="N449" s="6">
        <v>1035000</v>
      </c>
      <c r="O449" s="2" t="s">
        <v>57</v>
      </c>
    </row>
    <row r="450" spans="1:15" x14ac:dyDescent="0.35">
      <c r="A450" s="2" t="s">
        <v>589</v>
      </c>
      <c r="B450" s="4">
        <v>46131</v>
      </c>
      <c r="C450" s="2" t="s">
        <v>76</v>
      </c>
      <c r="D450" s="2" t="s">
        <v>31</v>
      </c>
      <c r="E450" s="2" t="s">
        <v>48</v>
      </c>
      <c r="F450" s="2" t="s">
        <v>33</v>
      </c>
      <c r="G450" s="2" t="s">
        <v>60</v>
      </c>
      <c r="H450" s="2" t="s">
        <v>61</v>
      </c>
      <c r="I450" s="2" t="s">
        <v>62</v>
      </c>
      <c r="J450" s="2"/>
      <c r="K450" s="5">
        <v>0.05</v>
      </c>
      <c r="L450" s="6">
        <v>432250</v>
      </c>
      <c r="M450" s="6">
        <v>217000</v>
      </c>
      <c r="N450" s="6">
        <v>215250</v>
      </c>
      <c r="O450" s="2" t="s">
        <v>93</v>
      </c>
    </row>
    <row r="451" spans="1:15" x14ac:dyDescent="0.35">
      <c r="A451" s="2" t="s">
        <v>590</v>
      </c>
      <c r="B451" s="4">
        <v>46172</v>
      </c>
      <c r="C451" s="2" t="s">
        <v>76</v>
      </c>
      <c r="D451" s="2" t="s">
        <v>70</v>
      </c>
      <c r="E451" s="2" t="s">
        <v>81</v>
      </c>
      <c r="F451" s="2" t="s">
        <v>33</v>
      </c>
      <c r="G451" s="2" t="s">
        <v>66</v>
      </c>
      <c r="H451" s="2" t="s">
        <v>67</v>
      </c>
      <c r="I451" s="2" t="s">
        <v>51</v>
      </c>
      <c r="J451" s="2">
        <v>2</v>
      </c>
      <c r="K451" s="5">
        <v>0</v>
      </c>
      <c r="L451" s="6">
        <v>620000</v>
      </c>
      <c r="M451" s="6">
        <v>380000</v>
      </c>
      <c r="N451" s="6">
        <v>240000</v>
      </c>
      <c r="O451" s="2" t="s">
        <v>37</v>
      </c>
    </row>
    <row r="452" spans="1:15" x14ac:dyDescent="0.35">
      <c r="A452" s="2" t="s">
        <v>591</v>
      </c>
      <c r="B452" s="4">
        <v>46146</v>
      </c>
      <c r="C452" s="2" t="s">
        <v>76</v>
      </c>
      <c r="D452" s="2" t="s">
        <v>70</v>
      </c>
      <c r="E452" s="2" t="s">
        <v>81</v>
      </c>
      <c r="F452" s="2" t="s">
        <v>77</v>
      </c>
      <c r="G452" s="2" t="s">
        <v>71</v>
      </c>
      <c r="H452" s="2" t="s">
        <v>72</v>
      </c>
      <c r="I452" s="2" t="s">
        <v>73</v>
      </c>
      <c r="J452" s="2">
        <v>2</v>
      </c>
      <c r="K452" s="5">
        <v>0.05</v>
      </c>
      <c r="L452" s="6">
        <v>118750</v>
      </c>
      <c r="M452" s="6">
        <v>140000</v>
      </c>
      <c r="N452" s="6">
        <v>-21250</v>
      </c>
      <c r="O452" s="2" t="s">
        <v>57</v>
      </c>
    </row>
    <row r="453" spans="1:15" x14ac:dyDescent="0.35">
      <c r="A453" s="2" t="s">
        <v>592</v>
      </c>
      <c r="B453" s="4">
        <v>46071</v>
      </c>
      <c r="C453" s="2" t="s">
        <v>54</v>
      </c>
      <c r="D453" s="2" t="s">
        <v>40</v>
      </c>
      <c r="E453" s="2" t="s">
        <v>48</v>
      </c>
      <c r="F453" s="2" t="s">
        <v>33</v>
      </c>
      <c r="G453" s="2" t="s">
        <v>78</v>
      </c>
      <c r="H453" s="2" t="s">
        <v>79</v>
      </c>
      <c r="I453" s="2" t="s">
        <v>62</v>
      </c>
      <c r="J453" s="2">
        <v>3</v>
      </c>
      <c r="K453" s="5">
        <v>0.1</v>
      </c>
      <c r="L453" s="6">
        <v>229500</v>
      </c>
      <c r="M453" s="6">
        <v>129000</v>
      </c>
      <c r="N453" s="6">
        <v>100500</v>
      </c>
      <c r="O453" s="2" t="s">
        <v>84</v>
      </c>
    </row>
    <row r="454" spans="1:15" x14ac:dyDescent="0.35">
      <c r="A454" s="2" t="s">
        <v>593</v>
      </c>
      <c r="B454" s="4">
        <v>46029</v>
      </c>
      <c r="C454" s="2" t="s">
        <v>65</v>
      </c>
      <c r="D454" s="2" t="s">
        <v>59</v>
      </c>
      <c r="E454" s="2" t="s">
        <v>48</v>
      </c>
      <c r="F454" s="2" t="s">
        <v>33</v>
      </c>
      <c r="G454" s="2" t="s">
        <v>82</v>
      </c>
      <c r="H454" s="2" t="s">
        <v>83</v>
      </c>
      <c r="I454" s="2" t="s">
        <v>44</v>
      </c>
      <c r="J454" s="2">
        <v>8</v>
      </c>
      <c r="K454" s="5">
        <v>0.05</v>
      </c>
      <c r="L454" s="6">
        <v>11020000</v>
      </c>
      <c r="M454" s="6">
        <v>7840000</v>
      </c>
      <c r="N454" s="6">
        <v>3180000</v>
      </c>
      <c r="O454" s="2" t="s">
        <v>74</v>
      </c>
    </row>
    <row r="455" spans="1:15" x14ac:dyDescent="0.35">
      <c r="A455" s="2" t="s">
        <v>594</v>
      </c>
      <c r="B455" s="4">
        <v>46172</v>
      </c>
      <c r="C455" s="2" t="s">
        <v>54</v>
      </c>
      <c r="D455" s="2" t="s">
        <v>31</v>
      </c>
      <c r="E455" s="2" t="s">
        <v>48</v>
      </c>
      <c r="F455" s="2" t="s">
        <v>33</v>
      </c>
      <c r="G455" s="2" t="s">
        <v>86</v>
      </c>
      <c r="H455" s="2" t="s">
        <v>87</v>
      </c>
      <c r="I455" s="2" t="s">
        <v>36</v>
      </c>
      <c r="J455" s="2">
        <v>4</v>
      </c>
      <c r="K455" s="5">
        <v>0.05</v>
      </c>
      <c r="L455" s="6">
        <v>1330000</v>
      </c>
      <c r="M455" s="6">
        <v>840000</v>
      </c>
      <c r="N455" s="6">
        <v>490000</v>
      </c>
      <c r="O455" s="2" t="s">
        <v>57</v>
      </c>
    </row>
    <row r="456" spans="1:15" x14ac:dyDescent="0.35">
      <c r="A456" s="2" t="s">
        <v>595</v>
      </c>
      <c r="B456" s="4">
        <v>46066</v>
      </c>
      <c r="C456" s="2" t="s">
        <v>30</v>
      </c>
      <c r="D456" s="2" t="s">
        <v>31</v>
      </c>
      <c r="E456" s="2" t="s">
        <v>81</v>
      </c>
      <c r="F456" s="2" t="s">
        <v>33</v>
      </c>
      <c r="G456" s="2" t="s">
        <v>34</v>
      </c>
      <c r="H456" s="2" t="s">
        <v>35</v>
      </c>
      <c r="I456" s="2" t="s">
        <v>36</v>
      </c>
      <c r="J456" s="2">
        <v>3</v>
      </c>
      <c r="K456" s="5">
        <v>0.05</v>
      </c>
      <c r="L456" s="6" t="s">
        <v>596</v>
      </c>
      <c r="M456" s="6">
        <v>855000</v>
      </c>
      <c r="N456" s="6">
        <v>498750</v>
      </c>
      <c r="O456" s="2" t="s">
        <v>63</v>
      </c>
    </row>
    <row r="457" spans="1:15" x14ac:dyDescent="0.35">
      <c r="A457" s="2" t="s">
        <v>597</v>
      </c>
      <c r="B457" s="4">
        <v>46190</v>
      </c>
      <c r="C457" s="2" t="s">
        <v>54</v>
      </c>
      <c r="D457" s="2" t="s">
        <v>70</v>
      </c>
      <c r="E457" s="2" t="s">
        <v>48</v>
      </c>
      <c r="F457" s="2" t="s">
        <v>33</v>
      </c>
      <c r="G457" s="2" t="s">
        <v>42</v>
      </c>
      <c r="H457" s="2" t="s">
        <v>43</v>
      </c>
      <c r="I457" s="2" t="s">
        <v>44</v>
      </c>
      <c r="J457" s="2">
        <v>2</v>
      </c>
      <c r="K457" s="5">
        <v>0.03</v>
      </c>
      <c r="L457" s="6">
        <v>533500</v>
      </c>
      <c r="M457" s="6">
        <v>310000</v>
      </c>
      <c r="N457" s="6">
        <v>223500</v>
      </c>
      <c r="O457" s="2" t="s">
        <v>63</v>
      </c>
    </row>
    <row r="458" spans="1:15" x14ac:dyDescent="0.35">
      <c r="A458" s="2" t="s">
        <v>598</v>
      </c>
      <c r="B458" s="4">
        <v>46089</v>
      </c>
      <c r="C458" s="2" t="s">
        <v>69</v>
      </c>
      <c r="D458" s="2" t="s">
        <v>59</v>
      </c>
      <c r="E458" s="2" t="s">
        <v>41</v>
      </c>
      <c r="F458" s="2" t="s">
        <v>90</v>
      </c>
      <c r="G458" s="2" t="s">
        <v>49</v>
      </c>
      <c r="H458" s="2" t="s">
        <v>50</v>
      </c>
      <c r="I458" s="2" t="s">
        <v>51</v>
      </c>
      <c r="J458" s="2">
        <v>5</v>
      </c>
      <c r="K458" s="5">
        <v>0.08</v>
      </c>
      <c r="L458" s="6">
        <v>1127000</v>
      </c>
      <c r="M458" s="6">
        <v>725000</v>
      </c>
      <c r="N458" s="6">
        <v>402000</v>
      </c>
      <c r="O458" s="2" t="s">
        <v>52</v>
      </c>
    </row>
    <row r="459" spans="1:15" x14ac:dyDescent="0.35">
      <c r="A459" s="2" t="s">
        <v>599</v>
      </c>
      <c r="B459" s="4">
        <v>46072</v>
      </c>
      <c r="C459" s="2" t="s">
        <v>95</v>
      </c>
      <c r="D459" s="2" t="s">
        <v>70</v>
      </c>
      <c r="E459" s="2" t="s">
        <v>48</v>
      </c>
      <c r="F459" s="2" t="s">
        <v>33</v>
      </c>
      <c r="G459" s="2" t="s">
        <v>55</v>
      </c>
      <c r="H459" s="2" t="s">
        <v>56</v>
      </c>
      <c r="I459" s="2" t="s">
        <v>36</v>
      </c>
      <c r="J459" s="2">
        <v>2</v>
      </c>
      <c r="K459" s="5">
        <v>0.15</v>
      </c>
      <c r="L459" s="6">
        <v>3145000</v>
      </c>
      <c r="M459" s="6">
        <v>2640000</v>
      </c>
      <c r="N459" s="6">
        <v>505000</v>
      </c>
      <c r="O459" s="2" t="s">
        <v>84</v>
      </c>
    </row>
    <row r="460" spans="1:15" x14ac:dyDescent="0.35">
      <c r="A460" s="2" t="s">
        <v>600</v>
      </c>
      <c r="B460" s="4">
        <v>46058</v>
      </c>
      <c r="C460" s="2" t="s">
        <v>30</v>
      </c>
      <c r="D460" s="2" t="s">
        <v>47</v>
      </c>
      <c r="E460" s="2" t="s">
        <v>48</v>
      </c>
      <c r="F460" s="2" t="s">
        <v>33</v>
      </c>
      <c r="G460" s="2" t="s">
        <v>60</v>
      </c>
      <c r="H460" s="2" t="s">
        <v>61</v>
      </c>
      <c r="I460" s="2" t="s">
        <v>62</v>
      </c>
      <c r="J460" s="2">
        <v>4</v>
      </c>
      <c r="K460" s="5">
        <v>0.05</v>
      </c>
      <c r="L460" s="6">
        <v>247000</v>
      </c>
      <c r="M460" s="6">
        <v>124000</v>
      </c>
      <c r="N460" s="6">
        <v>123000</v>
      </c>
      <c r="O460" s="2" t="s">
        <v>63</v>
      </c>
    </row>
    <row r="461" spans="1:15" x14ac:dyDescent="0.35">
      <c r="A461" s="2" t="s">
        <v>601</v>
      </c>
      <c r="B461" s="4">
        <v>46069</v>
      </c>
      <c r="C461" s="2" t="s">
        <v>95</v>
      </c>
      <c r="D461" s="2" t="s">
        <v>31</v>
      </c>
      <c r="E461" s="2" t="s">
        <v>81</v>
      </c>
      <c r="F461" s="2" t="s">
        <v>33</v>
      </c>
      <c r="G461" s="2" t="s">
        <v>66</v>
      </c>
      <c r="H461" s="2" t="s">
        <v>67</v>
      </c>
      <c r="I461" s="2" t="s">
        <v>51</v>
      </c>
      <c r="J461" s="2">
        <v>2</v>
      </c>
      <c r="K461" s="5">
        <v>0.08</v>
      </c>
      <c r="L461" s="6">
        <v>570400</v>
      </c>
      <c r="M461" s="6">
        <v>380000</v>
      </c>
      <c r="N461" s="6">
        <v>190400</v>
      </c>
      <c r="O461" s="2" t="s">
        <v>74</v>
      </c>
    </row>
    <row r="462" spans="1:15" x14ac:dyDescent="0.35">
      <c r="A462" s="2" t="s">
        <v>602</v>
      </c>
      <c r="B462" s="4">
        <v>46138</v>
      </c>
      <c r="C462" s="2" t="s">
        <v>111</v>
      </c>
      <c r="D462" s="2" t="s">
        <v>31</v>
      </c>
      <c r="E462" s="2" t="s">
        <v>32</v>
      </c>
      <c r="F462" s="2" t="s">
        <v>33</v>
      </c>
      <c r="G462" s="2" t="s">
        <v>71</v>
      </c>
      <c r="H462" s="2" t="s">
        <v>72</v>
      </c>
      <c r="I462" s="2" t="s">
        <v>73</v>
      </c>
      <c r="J462" s="2">
        <v>5</v>
      </c>
      <c r="K462" s="5">
        <v>0.03</v>
      </c>
      <c r="L462" s="6">
        <v>606250</v>
      </c>
      <c r="M462" s="6">
        <v>350000</v>
      </c>
      <c r="N462" s="6">
        <v>256250</v>
      </c>
      <c r="O462" s="2" t="s">
        <v>37</v>
      </c>
    </row>
    <row r="463" spans="1:15" x14ac:dyDescent="0.35">
      <c r="A463" s="2" t="s">
        <v>603</v>
      </c>
      <c r="B463" s="4">
        <v>46056</v>
      </c>
      <c r="C463" s="2" t="s">
        <v>65</v>
      </c>
      <c r="D463" s="2" t="s">
        <v>59</v>
      </c>
      <c r="E463" s="2" t="s">
        <v>48</v>
      </c>
      <c r="F463" s="2" t="s">
        <v>33</v>
      </c>
      <c r="G463" s="2" t="s">
        <v>78</v>
      </c>
      <c r="H463" s="2" t="s">
        <v>79</v>
      </c>
      <c r="I463" s="2" t="s">
        <v>62</v>
      </c>
      <c r="J463" s="2">
        <v>7</v>
      </c>
      <c r="K463" s="5">
        <v>0.15</v>
      </c>
      <c r="L463" s="6">
        <v>505750</v>
      </c>
      <c r="M463" s="6">
        <v>301000</v>
      </c>
      <c r="N463" s="6">
        <v>204750</v>
      </c>
      <c r="O463" s="2" t="s">
        <v>74</v>
      </c>
    </row>
    <row r="464" spans="1:15" x14ac:dyDescent="0.35">
      <c r="A464" s="2" t="s">
        <v>604</v>
      </c>
      <c r="B464" s="4">
        <v>46032</v>
      </c>
      <c r="C464" s="2" t="s">
        <v>39</v>
      </c>
      <c r="D464" s="2" t="s">
        <v>40</v>
      </c>
      <c r="E464" s="2" t="s">
        <v>81</v>
      </c>
      <c r="F464" s="2" t="s">
        <v>33</v>
      </c>
      <c r="G464" s="2" t="s">
        <v>82</v>
      </c>
      <c r="H464" s="2" t="s">
        <v>83</v>
      </c>
      <c r="I464" s="2" t="s">
        <v>44</v>
      </c>
      <c r="J464" s="2">
        <v>4</v>
      </c>
      <c r="K464" s="5">
        <v>0.15</v>
      </c>
      <c r="L464" s="6">
        <v>4930000</v>
      </c>
      <c r="M464" s="6">
        <v>3920000</v>
      </c>
      <c r="N464" s="6">
        <v>1010000</v>
      </c>
      <c r="O464" s="2" t="s">
        <v>74</v>
      </c>
    </row>
    <row r="465" spans="1:15" x14ac:dyDescent="0.35">
      <c r="A465" s="2" t="s">
        <v>605</v>
      </c>
      <c r="B465" s="4">
        <v>46196</v>
      </c>
      <c r="C465" s="2" t="s">
        <v>76</v>
      </c>
      <c r="D465" s="2" t="s">
        <v>31</v>
      </c>
      <c r="E465" s="2" t="s">
        <v>81</v>
      </c>
      <c r="F465" s="2" t="s">
        <v>33</v>
      </c>
      <c r="G465" s="2" t="s">
        <v>86</v>
      </c>
      <c r="H465" s="2" t="s">
        <v>87</v>
      </c>
      <c r="I465" s="2" t="s">
        <v>36</v>
      </c>
      <c r="J465" s="2">
        <v>1</v>
      </c>
      <c r="K465" s="5">
        <v>0.15</v>
      </c>
      <c r="L465" s="6">
        <v>297500</v>
      </c>
      <c r="M465" s="6">
        <v>210000</v>
      </c>
      <c r="N465" s="6">
        <v>87500</v>
      </c>
      <c r="O465" s="2" t="s">
        <v>84</v>
      </c>
    </row>
    <row r="466" spans="1:15" x14ac:dyDescent="0.35">
      <c r="A466" s="2" t="s">
        <v>606</v>
      </c>
      <c r="B466" s="4">
        <v>46049</v>
      </c>
      <c r="C466" s="2" t="s">
        <v>95</v>
      </c>
      <c r="D466" s="2" t="s">
        <v>31</v>
      </c>
      <c r="E466" s="2" t="s">
        <v>41</v>
      </c>
      <c r="F466" s="2" t="s">
        <v>33</v>
      </c>
      <c r="G466" s="2" t="s">
        <v>34</v>
      </c>
      <c r="H466" s="2" t="s">
        <v>35</v>
      </c>
      <c r="I466" s="2" t="s">
        <v>36</v>
      </c>
      <c r="J466" s="2">
        <v>7</v>
      </c>
      <c r="K466" s="5">
        <v>0.1</v>
      </c>
      <c r="L466" s="6">
        <v>2992500</v>
      </c>
      <c r="M466" s="6">
        <v>1995000</v>
      </c>
      <c r="N466" s="6">
        <v>997500</v>
      </c>
      <c r="O466" s="2" t="s">
        <v>57</v>
      </c>
    </row>
    <row r="467" spans="1:15" x14ac:dyDescent="0.35">
      <c r="A467" s="2" t="s">
        <v>607</v>
      </c>
      <c r="B467" s="4">
        <v>46097</v>
      </c>
      <c r="C467" s="2" t="s">
        <v>65</v>
      </c>
      <c r="D467" s="2" t="s">
        <v>47</v>
      </c>
      <c r="E467" s="2" t="s">
        <v>81</v>
      </c>
      <c r="F467" s="2" t="s">
        <v>33</v>
      </c>
      <c r="G467" s="2" t="s">
        <v>42</v>
      </c>
      <c r="H467" s="2" t="s">
        <v>43</v>
      </c>
      <c r="I467" s="2" t="s">
        <v>44</v>
      </c>
      <c r="J467" s="2">
        <v>8</v>
      </c>
      <c r="K467" s="5">
        <v>0.15</v>
      </c>
      <c r="L467" s="6">
        <v>1870000</v>
      </c>
      <c r="M467" s="6">
        <v>1240000</v>
      </c>
      <c r="N467" s="6">
        <v>630000</v>
      </c>
      <c r="O467" s="2" t="s">
        <v>84</v>
      </c>
    </row>
    <row r="468" spans="1:15" x14ac:dyDescent="0.35">
      <c r="A468" s="2" t="s">
        <v>608</v>
      </c>
      <c r="B468" s="4">
        <v>46110</v>
      </c>
      <c r="C468" s="2" t="s">
        <v>95</v>
      </c>
      <c r="D468" s="2" t="s">
        <v>31</v>
      </c>
      <c r="E468" s="2" t="s">
        <v>48</v>
      </c>
      <c r="F468" s="2" t="s">
        <v>33</v>
      </c>
      <c r="G468" s="2" t="s">
        <v>49</v>
      </c>
      <c r="H468" s="2" t="s">
        <v>50</v>
      </c>
      <c r="I468" s="2" t="s">
        <v>51</v>
      </c>
      <c r="J468" s="2">
        <v>8</v>
      </c>
      <c r="K468" s="5">
        <v>0.05</v>
      </c>
      <c r="L468" s="6">
        <v>1862000</v>
      </c>
      <c r="M468" s="6">
        <v>1160000</v>
      </c>
      <c r="N468" s="6">
        <v>702000</v>
      </c>
      <c r="O468" s="2" t="s">
        <v>45</v>
      </c>
    </row>
    <row r="469" spans="1:15" x14ac:dyDescent="0.35">
      <c r="A469" s="2" t="s">
        <v>609</v>
      </c>
      <c r="B469" s="4">
        <v>46080</v>
      </c>
      <c r="C469" s="2" t="s">
        <v>69</v>
      </c>
      <c r="D469" s="2" t="s">
        <v>47</v>
      </c>
      <c r="E469" s="2" t="s">
        <v>32</v>
      </c>
      <c r="F469" s="2" t="s">
        <v>33</v>
      </c>
      <c r="G469" s="2" t="s">
        <v>55</v>
      </c>
      <c r="H469" s="2" t="s">
        <v>56</v>
      </c>
      <c r="I469" s="2" t="s">
        <v>36</v>
      </c>
      <c r="J469" s="2">
        <v>3</v>
      </c>
      <c r="K469" s="5">
        <v>0.03</v>
      </c>
      <c r="L469" s="6">
        <v>5383500</v>
      </c>
      <c r="M469" s="6">
        <v>3960000</v>
      </c>
      <c r="N469" s="6">
        <v>1423500</v>
      </c>
      <c r="O469" s="2" t="s">
        <v>63</v>
      </c>
    </row>
    <row r="470" spans="1:15" x14ac:dyDescent="0.35">
      <c r="A470" s="2" t="s">
        <v>610</v>
      </c>
      <c r="B470" s="4">
        <v>46189</v>
      </c>
      <c r="C470" s="2" t="s">
        <v>95</v>
      </c>
      <c r="D470" s="2" t="s">
        <v>70</v>
      </c>
      <c r="E470" s="2" t="s">
        <v>41</v>
      </c>
      <c r="F470" s="2" t="s">
        <v>90</v>
      </c>
      <c r="G470" s="2" t="s">
        <v>60</v>
      </c>
      <c r="H470" s="2" t="s">
        <v>61</v>
      </c>
      <c r="I470" s="2" t="s">
        <v>62</v>
      </c>
      <c r="J470" s="2">
        <v>1</v>
      </c>
      <c r="K470" s="5">
        <v>0.08</v>
      </c>
      <c r="L470" s="6">
        <v>59800</v>
      </c>
      <c r="M470" s="6">
        <v>31000</v>
      </c>
      <c r="N470" s="6">
        <v>28800</v>
      </c>
      <c r="O470" s="2" t="s">
        <v>37</v>
      </c>
    </row>
    <row r="471" spans="1:15" x14ac:dyDescent="0.35">
      <c r="A471" s="2" t="s">
        <v>611</v>
      </c>
      <c r="B471" s="4">
        <v>46190</v>
      </c>
      <c r="C471" s="2" t="s">
        <v>65</v>
      </c>
      <c r="D471" s="2" t="s">
        <v>59</v>
      </c>
      <c r="E471" s="2" t="s">
        <v>48</v>
      </c>
      <c r="F471" s="2" t="s">
        <v>33</v>
      </c>
      <c r="G471" s="2" t="s">
        <v>66</v>
      </c>
      <c r="H471" s="2" t="s">
        <v>67</v>
      </c>
      <c r="I471" s="2" t="s">
        <v>51</v>
      </c>
      <c r="J471" s="2">
        <v>1</v>
      </c>
      <c r="K471" s="5">
        <v>0</v>
      </c>
      <c r="L471" s="6">
        <v>310000</v>
      </c>
      <c r="M471" s="6">
        <v>190000</v>
      </c>
      <c r="N471" s="6">
        <v>120000</v>
      </c>
      <c r="O471" s="2" t="s">
        <v>37</v>
      </c>
    </row>
    <row r="472" spans="1:15" x14ac:dyDescent="0.35">
      <c r="A472" s="2" t="s">
        <v>612</v>
      </c>
      <c r="B472" s="4">
        <v>46163</v>
      </c>
      <c r="C472" s="2" t="s">
        <v>76</v>
      </c>
      <c r="D472" s="2" t="s">
        <v>31</v>
      </c>
      <c r="E472" s="2" t="s">
        <v>41</v>
      </c>
      <c r="F472" s="2" t="s">
        <v>33</v>
      </c>
      <c r="G472" s="2" t="s">
        <v>71</v>
      </c>
      <c r="H472" s="2" t="s">
        <v>72</v>
      </c>
      <c r="I472" s="2" t="s">
        <v>73</v>
      </c>
      <c r="J472" s="2">
        <v>5</v>
      </c>
      <c r="K472" s="5">
        <v>0.08</v>
      </c>
      <c r="L472" s="6">
        <v>575000</v>
      </c>
      <c r="M472" s="6">
        <v>350000</v>
      </c>
      <c r="N472" s="6">
        <v>225000</v>
      </c>
      <c r="O472" s="2" t="s">
        <v>93</v>
      </c>
    </row>
    <row r="473" spans="1:15" x14ac:dyDescent="0.35">
      <c r="A473" s="2" t="s">
        <v>613</v>
      </c>
      <c r="B473" s="4">
        <v>46192</v>
      </c>
      <c r="C473" s="2" t="s">
        <v>65</v>
      </c>
      <c r="D473" s="2" t="s">
        <v>204</v>
      </c>
      <c r="E473" s="2" t="s">
        <v>32</v>
      </c>
      <c r="F473" s="2" t="s">
        <v>122</v>
      </c>
      <c r="G473" s="2" t="s">
        <v>78</v>
      </c>
      <c r="H473" s="2" t="s">
        <v>79</v>
      </c>
      <c r="I473" s="2" t="s">
        <v>62</v>
      </c>
      <c r="J473" s="2">
        <v>2</v>
      </c>
      <c r="K473" s="5">
        <v>0.15</v>
      </c>
      <c r="L473" s="6">
        <v>144500</v>
      </c>
      <c r="M473" s="6">
        <v>86000</v>
      </c>
      <c r="N473" s="6">
        <v>58500</v>
      </c>
      <c r="O473" s="2" t="s">
        <v>37</v>
      </c>
    </row>
    <row r="474" spans="1:15" x14ac:dyDescent="0.35">
      <c r="A474" s="2" t="s">
        <v>614</v>
      </c>
      <c r="B474" s="4">
        <v>46153</v>
      </c>
      <c r="C474" s="2" t="s">
        <v>39</v>
      </c>
      <c r="D474" s="2" t="s">
        <v>40</v>
      </c>
      <c r="E474" s="2" t="s">
        <v>48</v>
      </c>
      <c r="F474" s="2" t="s">
        <v>33</v>
      </c>
      <c r="G474" s="2" t="s">
        <v>82</v>
      </c>
      <c r="H474" s="2" t="s">
        <v>83</v>
      </c>
      <c r="I474" s="2" t="s">
        <v>44</v>
      </c>
      <c r="J474" s="2">
        <v>2</v>
      </c>
      <c r="K474" s="5">
        <v>0.05</v>
      </c>
      <c r="L474" s="6"/>
      <c r="M474" s="6">
        <v>1960000</v>
      </c>
      <c r="N474" s="6">
        <v>795000</v>
      </c>
      <c r="O474" s="2" t="s">
        <v>45</v>
      </c>
    </row>
    <row r="475" spans="1:15" x14ac:dyDescent="0.35">
      <c r="A475" s="2" t="s">
        <v>615</v>
      </c>
      <c r="B475" s="2" t="s">
        <v>616</v>
      </c>
      <c r="C475" s="2" t="s">
        <v>95</v>
      </c>
      <c r="D475" s="2" t="s">
        <v>70</v>
      </c>
      <c r="E475" s="2" t="s">
        <v>32</v>
      </c>
      <c r="F475" s="2" t="s">
        <v>33</v>
      </c>
      <c r="G475" s="2" t="s">
        <v>86</v>
      </c>
      <c r="H475" s="2" t="s">
        <v>87</v>
      </c>
      <c r="I475" s="2" t="s">
        <v>125</v>
      </c>
      <c r="J475" s="2">
        <v>4</v>
      </c>
      <c r="K475" s="5">
        <v>0.05</v>
      </c>
      <c r="L475" s="6">
        <v>1330000</v>
      </c>
      <c r="M475" s="6">
        <v>840000</v>
      </c>
      <c r="N475" s="6">
        <v>490000</v>
      </c>
      <c r="O475" s="2" t="s">
        <v>52</v>
      </c>
    </row>
    <row r="476" spans="1:15" x14ac:dyDescent="0.35">
      <c r="A476" s="2" t="s">
        <v>617</v>
      </c>
      <c r="B476" s="4">
        <v>46076</v>
      </c>
      <c r="C476" s="2" t="s">
        <v>69</v>
      </c>
      <c r="D476" s="2" t="s">
        <v>40</v>
      </c>
      <c r="E476" s="2" t="s">
        <v>41</v>
      </c>
      <c r="F476" s="2" t="s">
        <v>33</v>
      </c>
      <c r="G476" s="2" t="s">
        <v>34</v>
      </c>
      <c r="H476" s="2" t="s">
        <v>35</v>
      </c>
      <c r="I476" s="2" t="s">
        <v>36</v>
      </c>
      <c r="J476" s="2">
        <v>8</v>
      </c>
      <c r="K476" s="5">
        <v>0.05</v>
      </c>
      <c r="L476" s="6">
        <v>3610000</v>
      </c>
      <c r="M476" s="6">
        <v>2280000</v>
      </c>
      <c r="N476" s="6">
        <v>1330000</v>
      </c>
      <c r="O476" s="2" t="s">
        <v>52</v>
      </c>
    </row>
    <row r="477" spans="1:15" x14ac:dyDescent="0.35">
      <c r="A477" s="2" t="s">
        <v>618</v>
      </c>
      <c r="B477" s="2" t="s">
        <v>619</v>
      </c>
      <c r="C477" s="2" t="s">
        <v>39</v>
      </c>
      <c r="D477" s="2" t="s">
        <v>40</v>
      </c>
      <c r="E477" s="2" t="s">
        <v>81</v>
      </c>
      <c r="F477" s="2" t="s">
        <v>33</v>
      </c>
      <c r="G477" s="2" t="s">
        <v>42</v>
      </c>
      <c r="H477" s="2" t="s">
        <v>43</v>
      </c>
      <c r="I477" s="2" t="s">
        <v>44</v>
      </c>
      <c r="J477" s="2">
        <v>2</v>
      </c>
      <c r="K477" s="5">
        <v>0.1</v>
      </c>
      <c r="L477" s="6">
        <v>495000</v>
      </c>
      <c r="M477" s="6">
        <v>310000</v>
      </c>
      <c r="N477" s="6">
        <v>185000</v>
      </c>
      <c r="O477" s="2" t="s">
        <v>52</v>
      </c>
    </row>
    <row r="478" spans="1:15" x14ac:dyDescent="0.35">
      <c r="A478" s="2" t="s">
        <v>620</v>
      </c>
      <c r="B478" s="4">
        <v>46098</v>
      </c>
      <c r="C478" s="2" t="s">
        <v>76</v>
      </c>
      <c r="D478" s="2" t="s">
        <v>31</v>
      </c>
      <c r="E478" s="2" t="s">
        <v>235</v>
      </c>
      <c r="F478" s="2" t="s">
        <v>33</v>
      </c>
      <c r="G478" s="2" t="s">
        <v>49</v>
      </c>
      <c r="H478" s="2" t="s">
        <v>50</v>
      </c>
      <c r="I478" s="2" t="s">
        <v>51</v>
      </c>
      <c r="J478" s="2">
        <v>5</v>
      </c>
      <c r="K478" s="5">
        <v>0.08</v>
      </c>
      <c r="L478" s="6">
        <v>1127000</v>
      </c>
      <c r="M478" s="6">
        <v>725000</v>
      </c>
      <c r="N478" s="6">
        <v>402000</v>
      </c>
      <c r="O478" s="2" t="s">
        <v>63</v>
      </c>
    </row>
    <row r="479" spans="1:15" x14ac:dyDescent="0.35">
      <c r="A479" s="2" t="s">
        <v>621</v>
      </c>
      <c r="B479" s="4">
        <v>46196</v>
      </c>
      <c r="C479" s="2" t="s">
        <v>95</v>
      </c>
      <c r="D479" s="2" t="s">
        <v>40</v>
      </c>
      <c r="E479" s="2" t="s">
        <v>41</v>
      </c>
      <c r="F479" s="2" t="s">
        <v>33</v>
      </c>
      <c r="G479" s="2" t="s">
        <v>55</v>
      </c>
      <c r="H479" s="2" t="s">
        <v>56</v>
      </c>
      <c r="I479" s="2" t="s">
        <v>36</v>
      </c>
      <c r="J479" s="2">
        <v>6</v>
      </c>
      <c r="K479" s="5">
        <v>0.08</v>
      </c>
      <c r="L479" s="6">
        <v>10212000</v>
      </c>
      <c r="M479" s="6">
        <v>7920000</v>
      </c>
      <c r="N479" s="6">
        <v>2292000</v>
      </c>
      <c r="O479" s="2" t="s">
        <v>84</v>
      </c>
    </row>
    <row r="480" spans="1:15" x14ac:dyDescent="0.35">
      <c r="A480" s="2" t="s">
        <v>622</v>
      </c>
      <c r="B480" s="4">
        <v>46192</v>
      </c>
      <c r="C480" s="2" t="s">
        <v>69</v>
      </c>
      <c r="D480" s="2" t="s">
        <v>59</v>
      </c>
      <c r="E480" s="2" t="s">
        <v>81</v>
      </c>
      <c r="F480" s="2" t="s">
        <v>33</v>
      </c>
      <c r="G480" s="2" t="s">
        <v>60</v>
      </c>
      <c r="H480" s="2" t="s">
        <v>61</v>
      </c>
      <c r="I480" s="2" t="s">
        <v>62</v>
      </c>
      <c r="J480" s="2">
        <v>3</v>
      </c>
      <c r="K480" s="5">
        <v>0.05</v>
      </c>
      <c r="L480" s="6">
        <v>185250</v>
      </c>
      <c r="M480" s="6">
        <v>93000</v>
      </c>
      <c r="N480" s="6">
        <v>92250</v>
      </c>
      <c r="O480" s="2" t="s">
        <v>63</v>
      </c>
    </row>
    <row r="481" spans="1:15" x14ac:dyDescent="0.35">
      <c r="A481" s="2" t="s">
        <v>623</v>
      </c>
      <c r="B481" s="4">
        <v>46110</v>
      </c>
      <c r="C481" s="2" t="s">
        <v>65</v>
      </c>
      <c r="D481" s="2" t="s">
        <v>59</v>
      </c>
      <c r="E481" s="2" t="s">
        <v>81</v>
      </c>
      <c r="F481" s="2" t="s">
        <v>33</v>
      </c>
      <c r="G481" s="2" t="s">
        <v>66</v>
      </c>
      <c r="H481" s="2" t="s">
        <v>67</v>
      </c>
      <c r="I481" s="2" t="s">
        <v>51</v>
      </c>
      <c r="J481" s="2">
        <v>3</v>
      </c>
      <c r="K481" s="5">
        <v>0</v>
      </c>
      <c r="L481" s="6">
        <v>930000</v>
      </c>
      <c r="M481" s="6">
        <v>570000</v>
      </c>
      <c r="N481" s="6">
        <v>360000</v>
      </c>
      <c r="O481" s="2" t="s">
        <v>52</v>
      </c>
    </row>
    <row r="482" spans="1:15" x14ac:dyDescent="0.35">
      <c r="A482" s="2" t="s">
        <v>624</v>
      </c>
      <c r="B482" s="4">
        <v>46130</v>
      </c>
      <c r="C482" s="2" t="s">
        <v>69</v>
      </c>
      <c r="D482" s="2" t="s">
        <v>40</v>
      </c>
      <c r="E482" s="2" t="s">
        <v>32</v>
      </c>
      <c r="F482" s="2" t="s">
        <v>33</v>
      </c>
      <c r="G482" s="2" t="s">
        <v>71</v>
      </c>
      <c r="H482" s="2" t="s">
        <v>72</v>
      </c>
      <c r="I482" s="2" t="s">
        <v>73</v>
      </c>
      <c r="J482" s="2">
        <v>3</v>
      </c>
      <c r="K482" s="5">
        <v>0</v>
      </c>
      <c r="L482" s="6">
        <v>375000</v>
      </c>
      <c r="M482" s="6">
        <v>210000</v>
      </c>
      <c r="N482" s="6">
        <v>165000</v>
      </c>
      <c r="O482" s="2" t="s">
        <v>93</v>
      </c>
    </row>
    <row r="483" spans="1:15" x14ac:dyDescent="0.35">
      <c r="A483" s="2" t="s">
        <v>625</v>
      </c>
      <c r="B483" s="4">
        <v>46174</v>
      </c>
      <c r="C483" s="2" t="s">
        <v>54</v>
      </c>
      <c r="D483" s="2" t="s">
        <v>31</v>
      </c>
      <c r="E483" s="2" t="s">
        <v>48</v>
      </c>
      <c r="F483" s="2" t="s">
        <v>33</v>
      </c>
      <c r="G483" s="2" t="s">
        <v>78</v>
      </c>
      <c r="H483" s="2" t="s">
        <v>79</v>
      </c>
      <c r="I483" s="2" t="s">
        <v>62</v>
      </c>
      <c r="J483" s="2">
        <v>8</v>
      </c>
      <c r="K483" s="5">
        <v>0.1</v>
      </c>
      <c r="L483" s="6">
        <v>612000</v>
      </c>
      <c r="M483" s="6">
        <v>344000</v>
      </c>
      <c r="N483" s="6">
        <v>268000</v>
      </c>
      <c r="O483" s="2" t="s">
        <v>74</v>
      </c>
    </row>
    <row r="484" spans="1:15" x14ac:dyDescent="0.35">
      <c r="A484" s="2" t="s">
        <v>626</v>
      </c>
      <c r="B484" s="4">
        <v>46198</v>
      </c>
      <c r="C484" s="2" t="s">
        <v>95</v>
      </c>
      <c r="D484" s="2" t="s">
        <v>59</v>
      </c>
      <c r="E484" s="2" t="s">
        <v>48</v>
      </c>
      <c r="F484" s="2" t="s">
        <v>112</v>
      </c>
      <c r="G484" s="2" t="s">
        <v>82</v>
      </c>
      <c r="H484" s="2" t="s">
        <v>83</v>
      </c>
      <c r="I484" s="2" t="s">
        <v>44</v>
      </c>
      <c r="J484" s="2">
        <v>3</v>
      </c>
      <c r="K484" s="5">
        <v>0.08</v>
      </c>
      <c r="L484" s="6">
        <v>0</v>
      </c>
      <c r="M484" s="6">
        <v>2940000</v>
      </c>
      <c r="N484" s="6">
        <v>-2940000</v>
      </c>
      <c r="O484" s="2" t="s">
        <v>37</v>
      </c>
    </row>
    <row r="485" spans="1:15" x14ac:dyDescent="0.35">
      <c r="A485" s="2" t="s">
        <v>627</v>
      </c>
      <c r="B485" s="4">
        <v>46089</v>
      </c>
      <c r="C485" s="2" t="s">
        <v>54</v>
      </c>
      <c r="D485" s="2" t="s">
        <v>47</v>
      </c>
      <c r="E485" s="2" t="s">
        <v>32</v>
      </c>
      <c r="F485" s="2" t="s">
        <v>33</v>
      </c>
      <c r="G485" s="2" t="s">
        <v>86</v>
      </c>
      <c r="H485" s="2" t="s">
        <v>87</v>
      </c>
      <c r="I485" s="2" t="s">
        <v>36</v>
      </c>
      <c r="J485" s="2">
        <v>6</v>
      </c>
      <c r="K485" s="5">
        <v>0</v>
      </c>
      <c r="L485" s="6">
        <v>2100000</v>
      </c>
      <c r="M485" s="6">
        <v>1260000</v>
      </c>
      <c r="N485" s="6">
        <v>840000</v>
      </c>
      <c r="O485" s="2" t="s">
        <v>37</v>
      </c>
    </row>
    <row r="486" spans="1:15" x14ac:dyDescent="0.35">
      <c r="A486" s="2" t="s">
        <v>628</v>
      </c>
      <c r="B486" s="4">
        <v>46133</v>
      </c>
      <c r="C486" s="2" t="s">
        <v>95</v>
      </c>
      <c r="D486" s="2" t="s">
        <v>59</v>
      </c>
      <c r="E486" s="2" t="s">
        <v>32</v>
      </c>
      <c r="F486" s="2" t="s">
        <v>33</v>
      </c>
      <c r="G486" s="2" t="s">
        <v>34</v>
      </c>
      <c r="H486" s="2" t="s">
        <v>35</v>
      </c>
      <c r="I486" s="2" t="s">
        <v>36</v>
      </c>
      <c r="J486" s="2">
        <v>4</v>
      </c>
      <c r="K486" s="5">
        <v>0.08</v>
      </c>
      <c r="L486" s="6">
        <v>1748000</v>
      </c>
      <c r="M486" s="6">
        <v>1140000</v>
      </c>
      <c r="N486" s="6">
        <v>608000</v>
      </c>
      <c r="O486" s="2" t="s">
        <v>74</v>
      </c>
    </row>
    <row r="487" spans="1:15" x14ac:dyDescent="0.35">
      <c r="A487" s="2" t="s">
        <v>629</v>
      </c>
      <c r="B487" s="4">
        <v>46187</v>
      </c>
      <c r="C487" s="2" t="s">
        <v>69</v>
      </c>
      <c r="D487" s="2" t="s">
        <v>59</v>
      </c>
      <c r="E487" s="2" t="s">
        <v>32</v>
      </c>
      <c r="F487" s="2" t="s">
        <v>90</v>
      </c>
      <c r="G487" s="2" t="s">
        <v>42</v>
      </c>
      <c r="H487" s="2" t="s">
        <v>43</v>
      </c>
      <c r="I487" s="2" t="s">
        <v>44</v>
      </c>
      <c r="J487" s="2">
        <v>3</v>
      </c>
      <c r="K487" s="5">
        <v>0.1</v>
      </c>
      <c r="L487" s="6">
        <v>742500</v>
      </c>
      <c r="M487" s="6">
        <v>465000</v>
      </c>
      <c r="N487" s="6">
        <v>277500</v>
      </c>
      <c r="O487" s="2" t="s">
        <v>52</v>
      </c>
    </row>
    <row r="488" spans="1:15" x14ac:dyDescent="0.35">
      <c r="A488" s="2" t="s">
        <v>630</v>
      </c>
      <c r="B488" s="4">
        <v>46105</v>
      </c>
      <c r="C488" s="2" t="s">
        <v>65</v>
      </c>
      <c r="D488" s="2" t="s">
        <v>47</v>
      </c>
      <c r="E488" s="2" t="s">
        <v>32</v>
      </c>
      <c r="F488" s="2" t="s">
        <v>218</v>
      </c>
      <c r="G488" s="2" t="s">
        <v>49</v>
      </c>
      <c r="H488" s="2" t="s">
        <v>50</v>
      </c>
      <c r="I488" s="2" t="s">
        <v>51</v>
      </c>
      <c r="J488" s="2">
        <v>4</v>
      </c>
      <c r="K488" s="5">
        <v>0.05</v>
      </c>
      <c r="L488" s="6">
        <v>0</v>
      </c>
      <c r="M488" s="6">
        <v>580000</v>
      </c>
      <c r="N488" s="6">
        <v>-580000</v>
      </c>
      <c r="O488" s="2" t="s">
        <v>93</v>
      </c>
    </row>
    <row r="489" spans="1:15" x14ac:dyDescent="0.35">
      <c r="A489" s="2" t="s">
        <v>631</v>
      </c>
      <c r="B489" s="4">
        <v>46083</v>
      </c>
      <c r="C489" s="2" t="s">
        <v>69</v>
      </c>
      <c r="D489" s="2" t="s">
        <v>47</v>
      </c>
      <c r="E489" s="2" t="s">
        <v>48</v>
      </c>
      <c r="F489" s="2" t="s">
        <v>33</v>
      </c>
      <c r="G489" s="2" t="s">
        <v>55</v>
      </c>
      <c r="H489" s="2" t="s">
        <v>56</v>
      </c>
      <c r="I489" s="2" t="s">
        <v>36</v>
      </c>
      <c r="J489" s="2">
        <v>2</v>
      </c>
      <c r="K489" s="5">
        <v>0.08</v>
      </c>
      <c r="L489" s="6">
        <v>3404000</v>
      </c>
      <c r="M489" s="6">
        <v>2640000</v>
      </c>
      <c r="N489" s="6">
        <v>764000</v>
      </c>
      <c r="O489" s="2" t="s">
        <v>52</v>
      </c>
    </row>
    <row r="490" spans="1:15" x14ac:dyDescent="0.35">
      <c r="A490" s="2" t="s">
        <v>632</v>
      </c>
      <c r="B490" s="4">
        <v>46137</v>
      </c>
      <c r="C490" s="2" t="s">
        <v>65</v>
      </c>
      <c r="D490" s="2" t="s">
        <v>40</v>
      </c>
      <c r="E490" s="2" t="s">
        <v>41</v>
      </c>
      <c r="F490" s="2" t="s">
        <v>77</v>
      </c>
      <c r="G490" s="2" t="s">
        <v>60</v>
      </c>
      <c r="H490" s="2" t="s">
        <v>61</v>
      </c>
      <c r="I490" s="2" t="s">
        <v>149</v>
      </c>
      <c r="J490" s="2">
        <v>6</v>
      </c>
      <c r="K490" s="5">
        <v>0</v>
      </c>
      <c r="L490" s="6">
        <v>195000</v>
      </c>
      <c r="M490" s="6">
        <v>186000</v>
      </c>
      <c r="N490" s="6">
        <v>9000</v>
      </c>
      <c r="O490" s="2" t="s">
        <v>93</v>
      </c>
    </row>
    <row r="491" spans="1:15" x14ac:dyDescent="0.35">
      <c r="A491" s="2" t="s">
        <v>633</v>
      </c>
      <c r="B491" s="4">
        <v>46032</v>
      </c>
      <c r="C491" s="2" t="s">
        <v>39</v>
      </c>
      <c r="D491" s="2" t="s">
        <v>47</v>
      </c>
      <c r="E491" s="2" t="s">
        <v>81</v>
      </c>
      <c r="F491" s="2" t="s">
        <v>90</v>
      </c>
      <c r="G491" s="2" t="s">
        <v>66</v>
      </c>
      <c r="H491" s="2" t="s">
        <v>67</v>
      </c>
      <c r="I491" s="2" t="s">
        <v>51</v>
      </c>
      <c r="J491" s="2">
        <v>1</v>
      </c>
      <c r="K491" s="5">
        <v>0</v>
      </c>
      <c r="L491" s="6">
        <v>310000</v>
      </c>
      <c r="M491" s="6">
        <v>190000</v>
      </c>
      <c r="N491" s="6">
        <v>120000</v>
      </c>
      <c r="O491" s="2" t="s">
        <v>52</v>
      </c>
    </row>
    <row r="492" spans="1:15" x14ac:dyDescent="0.35">
      <c r="A492" s="2" t="s">
        <v>634</v>
      </c>
      <c r="B492" s="4">
        <v>46110</v>
      </c>
      <c r="C492" s="2" t="s">
        <v>111</v>
      </c>
      <c r="D492" s="2" t="s">
        <v>59</v>
      </c>
      <c r="E492" s="2" t="s">
        <v>81</v>
      </c>
      <c r="F492" s="2" t="s">
        <v>90</v>
      </c>
      <c r="G492" s="2" t="s">
        <v>71</v>
      </c>
      <c r="H492" s="2" t="s">
        <v>72</v>
      </c>
      <c r="I492" s="2" t="s">
        <v>73</v>
      </c>
      <c r="J492" s="2">
        <v>6</v>
      </c>
      <c r="K492" s="5">
        <v>0</v>
      </c>
      <c r="L492" s="6">
        <v>750000</v>
      </c>
      <c r="M492" s="6">
        <v>420000</v>
      </c>
      <c r="N492" s="6">
        <v>330000</v>
      </c>
      <c r="O492" s="2" t="s">
        <v>63</v>
      </c>
    </row>
    <row r="493" spans="1:15" x14ac:dyDescent="0.35">
      <c r="A493" s="2" t="s">
        <v>635</v>
      </c>
      <c r="B493" s="4">
        <v>46138</v>
      </c>
      <c r="C493" s="2" t="s">
        <v>54</v>
      </c>
      <c r="D493" s="2" t="s">
        <v>31</v>
      </c>
      <c r="E493" s="2" t="s">
        <v>154</v>
      </c>
      <c r="F493" s="2" t="s">
        <v>33</v>
      </c>
      <c r="G493" s="2" t="s">
        <v>78</v>
      </c>
      <c r="H493" s="2" t="s">
        <v>79</v>
      </c>
      <c r="I493" s="2" t="s">
        <v>62</v>
      </c>
      <c r="J493" s="2">
        <v>2</v>
      </c>
      <c r="K493" s="5">
        <v>0</v>
      </c>
      <c r="L493" s="6">
        <v>170000</v>
      </c>
      <c r="M493" s="6">
        <v>86000</v>
      </c>
      <c r="N493" s="6">
        <v>84000</v>
      </c>
      <c r="O493" s="2" t="s">
        <v>63</v>
      </c>
    </row>
    <row r="494" spans="1:15" x14ac:dyDescent="0.35">
      <c r="A494" s="2" t="s">
        <v>636</v>
      </c>
      <c r="B494" s="4">
        <v>46185</v>
      </c>
      <c r="C494" s="2" t="s">
        <v>30</v>
      </c>
      <c r="D494" s="2" t="s">
        <v>40</v>
      </c>
      <c r="E494" s="2" t="s">
        <v>41</v>
      </c>
      <c r="F494" s="2" t="s">
        <v>33</v>
      </c>
      <c r="G494" s="2" t="s">
        <v>82</v>
      </c>
      <c r="H494" s="2" t="s">
        <v>83</v>
      </c>
      <c r="I494" s="2" t="s">
        <v>44</v>
      </c>
      <c r="J494" s="2">
        <v>5</v>
      </c>
      <c r="K494" s="5">
        <v>0.1</v>
      </c>
      <c r="L494" s="6">
        <v>6525000</v>
      </c>
      <c r="M494" s="6">
        <v>4900000</v>
      </c>
      <c r="N494" s="6">
        <v>1625000</v>
      </c>
      <c r="O494" s="2" t="s">
        <v>52</v>
      </c>
    </row>
    <row r="495" spans="1:15" x14ac:dyDescent="0.35">
      <c r="A495" s="2" t="s">
        <v>637</v>
      </c>
      <c r="B495" s="4">
        <v>46058</v>
      </c>
      <c r="C495" s="2" t="s">
        <v>69</v>
      </c>
      <c r="D495" s="2" t="s">
        <v>31</v>
      </c>
      <c r="E495" s="2" t="s">
        <v>32</v>
      </c>
      <c r="F495" s="2" t="s">
        <v>33</v>
      </c>
      <c r="G495" s="2" t="s">
        <v>86</v>
      </c>
      <c r="H495" s="2" t="s">
        <v>87</v>
      </c>
      <c r="I495" s="2" t="s">
        <v>36</v>
      </c>
      <c r="J495" s="2">
        <v>7</v>
      </c>
      <c r="K495" s="5">
        <v>0</v>
      </c>
      <c r="L495" s="6">
        <v>2450000</v>
      </c>
      <c r="M495" s="6">
        <v>1470000</v>
      </c>
      <c r="N495" s="6">
        <v>980000</v>
      </c>
      <c r="O495" s="2" t="s">
        <v>93</v>
      </c>
    </row>
    <row r="496" spans="1:15" x14ac:dyDescent="0.35">
      <c r="A496" s="2" t="s">
        <v>638</v>
      </c>
      <c r="B496" s="4">
        <v>46078</v>
      </c>
      <c r="C496" s="2" t="s">
        <v>95</v>
      </c>
      <c r="D496" s="2" t="s">
        <v>40</v>
      </c>
      <c r="E496" s="2" t="s">
        <v>48</v>
      </c>
      <c r="F496" s="2" t="s">
        <v>33</v>
      </c>
      <c r="G496" s="2" t="s">
        <v>34</v>
      </c>
      <c r="H496" s="2" t="s">
        <v>35</v>
      </c>
      <c r="I496" s="2" t="s">
        <v>36</v>
      </c>
      <c r="J496" s="2">
        <v>8</v>
      </c>
      <c r="K496" s="5">
        <v>0.03</v>
      </c>
      <c r="L496" s="6">
        <v>3686000</v>
      </c>
      <c r="M496" s="6">
        <v>2280000</v>
      </c>
      <c r="N496" s="6">
        <v>1406000</v>
      </c>
      <c r="O496" s="2" t="s">
        <v>37</v>
      </c>
    </row>
    <row r="497" spans="1:15" x14ac:dyDescent="0.35">
      <c r="A497" s="2" t="s">
        <v>639</v>
      </c>
      <c r="B497" s="4">
        <v>46138</v>
      </c>
      <c r="C497" s="2" t="s">
        <v>111</v>
      </c>
      <c r="D497" s="2" t="s">
        <v>47</v>
      </c>
      <c r="E497" s="2" t="s">
        <v>32</v>
      </c>
      <c r="F497" s="2" t="s">
        <v>33</v>
      </c>
      <c r="G497" s="2" t="s">
        <v>42</v>
      </c>
      <c r="H497" s="2" t="s">
        <v>43</v>
      </c>
      <c r="I497" s="2" t="s">
        <v>44</v>
      </c>
      <c r="J497" s="2">
        <v>8</v>
      </c>
      <c r="K497" s="5">
        <v>0.15</v>
      </c>
      <c r="L497" s="6" t="s">
        <v>640</v>
      </c>
      <c r="M497" s="6">
        <v>1240000</v>
      </c>
      <c r="N497" s="6">
        <v>630000</v>
      </c>
      <c r="O497" s="2" t="s">
        <v>74</v>
      </c>
    </row>
    <row r="498" spans="1:15" x14ac:dyDescent="0.35">
      <c r="A498" s="2" t="s">
        <v>641</v>
      </c>
      <c r="B498" s="4">
        <v>46158</v>
      </c>
      <c r="C498" s="2" t="s">
        <v>30</v>
      </c>
      <c r="D498" s="2" t="s">
        <v>59</v>
      </c>
      <c r="E498" s="2" t="s">
        <v>32</v>
      </c>
      <c r="F498" s="2" t="s">
        <v>112</v>
      </c>
      <c r="G498" s="2" t="s">
        <v>49</v>
      </c>
      <c r="H498" s="2" t="s">
        <v>50</v>
      </c>
      <c r="I498" s="2" t="s">
        <v>51</v>
      </c>
      <c r="J498" s="2">
        <v>1</v>
      </c>
      <c r="K498" s="5">
        <v>0.1</v>
      </c>
      <c r="L498" s="6">
        <v>110250</v>
      </c>
      <c r="M498" s="6">
        <v>145000</v>
      </c>
      <c r="N498" s="6">
        <v>-34750</v>
      </c>
      <c r="O498" s="2" t="s">
        <v>84</v>
      </c>
    </row>
    <row r="499" spans="1:15" x14ac:dyDescent="0.35">
      <c r="A499" s="2" t="s">
        <v>642</v>
      </c>
      <c r="B499" s="4">
        <v>46049</v>
      </c>
      <c r="C499" s="2" t="s">
        <v>65</v>
      </c>
      <c r="D499" s="2" t="s">
        <v>70</v>
      </c>
      <c r="E499" s="2" t="s">
        <v>48</v>
      </c>
      <c r="F499" s="2" t="s">
        <v>33</v>
      </c>
      <c r="G499" s="2" t="s">
        <v>55</v>
      </c>
      <c r="H499" s="2" t="s">
        <v>56</v>
      </c>
      <c r="I499" s="2" t="s">
        <v>36</v>
      </c>
      <c r="J499" s="2">
        <v>7</v>
      </c>
      <c r="K499" s="5">
        <v>0.15</v>
      </c>
      <c r="L499" s="6">
        <v>11007500</v>
      </c>
      <c r="M499" s="6">
        <v>9240000</v>
      </c>
      <c r="N499" s="6">
        <v>1767500</v>
      </c>
      <c r="O499" s="2" t="s">
        <v>45</v>
      </c>
    </row>
    <row r="500" spans="1:15" x14ac:dyDescent="0.35">
      <c r="A500" s="2" t="s">
        <v>643</v>
      </c>
      <c r="B500" s="4">
        <v>46093</v>
      </c>
      <c r="C500" s="2" t="s">
        <v>65</v>
      </c>
      <c r="D500" s="2" t="s">
        <v>31</v>
      </c>
      <c r="E500" s="2" t="s">
        <v>32</v>
      </c>
      <c r="F500" s="2" t="s">
        <v>77</v>
      </c>
      <c r="G500" s="2" t="s">
        <v>60</v>
      </c>
      <c r="H500" s="2" t="s">
        <v>61</v>
      </c>
      <c r="I500" s="2" t="s">
        <v>62</v>
      </c>
      <c r="J500" s="2">
        <v>7</v>
      </c>
      <c r="K500" s="5">
        <v>0.05</v>
      </c>
      <c r="L500" s="6">
        <v>108062</v>
      </c>
      <c r="M500" s="6">
        <v>217000</v>
      </c>
      <c r="N500" s="6">
        <v>-108938</v>
      </c>
      <c r="O500" s="2" t="s">
        <v>57</v>
      </c>
    </row>
    <row r="501" spans="1:15" x14ac:dyDescent="0.35">
      <c r="A501" s="2" t="s">
        <v>644</v>
      </c>
      <c r="B501" s="4">
        <v>46202</v>
      </c>
      <c r="C501" s="2" t="s">
        <v>39</v>
      </c>
      <c r="D501" s="2" t="s">
        <v>47</v>
      </c>
      <c r="E501" s="2" t="s">
        <v>32</v>
      </c>
      <c r="F501" s="2" t="s">
        <v>33</v>
      </c>
      <c r="G501" s="2" t="s">
        <v>66</v>
      </c>
      <c r="H501" s="2" t="s">
        <v>67</v>
      </c>
      <c r="I501" s="2" t="s">
        <v>51</v>
      </c>
      <c r="J501" s="2">
        <v>6</v>
      </c>
      <c r="K501" s="5">
        <v>0.15</v>
      </c>
      <c r="L501" s="6">
        <v>1581000</v>
      </c>
      <c r="M501" s="6">
        <v>1140000</v>
      </c>
      <c r="N501" s="6">
        <v>441000</v>
      </c>
      <c r="O501" s="2" t="s">
        <v>45</v>
      </c>
    </row>
    <row r="502" spans="1:15" x14ac:dyDescent="0.35">
      <c r="A502" s="2" t="s">
        <v>645</v>
      </c>
      <c r="B502" s="4">
        <v>46182</v>
      </c>
      <c r="C502" s="2" t="s">
        <v>54</v>
      </c>
      <c r="D502" s="2" t="s">
        <v>31</v>
      </c>
      <c r="E502" s="2" t="s">
        <v>32</v>
      </c>
      <c r="F502" s="2" t="s">
        <v>33</v>
      </c>
      <c r="G502" s="2" t="s">
        <v>646</v>
      </c>
      <c r="H502" s="2" t="s">
        <v>72</v>
      </c>
      <c r="I502" s="2" t="s">
        <v>73</v>
      </c>
      <c r="J502" s="2">
        <v>5</v>
      </c>
      <c r="K502" s="5">
        <v>0.15</v>
      </c>
      <c r="L502" s="6">
        <v>531250</v>
      </c>
      <c r="M502" s="6">
        <v>350000</v>
      </c>
      <c r="N502" s="6">
        <v>181250</v>
      </c>
      <c r="O502" s="2" t="s">
        <v>37</v>
      </c>
    </row>
    <row r="503" spans="1:15" x14ac:dyDescent="0.35">
      <c r="A503" s="2" t="s">
        <v>647</v>
      </c>
      <c r="B503" s="2"/>
      <c r="C503" s="2" t="s">
        <v>65</v>
      </c>
      <c r="D503" s="2" t="s">
        <v>59</v>
      </c>
      <c r="E503" s="2" t="s">
        <v>81</v>
      </c>
      <c r="F503" s="2" t="s">
        <v>33</v>
      </c>
      <c r="G503" s="2" t="s">
        <v>78</v>
      </c>
      <c r="H503" s="2" t="s">
        <v>79</v>
      </c>
      <c r="I503" s="2" t="s">
        <v>62</v>
      </c>
      <c r="J503" s="2">
        <v>8</v>
      </c>
      <c r="K503" s="5">
        <v>0.1</v>
      </c>
      <c r="L503" s="6">
        <v>612000</v>
      </c>
      <c r="M503" s="6">
        <v>344000</v>
      </c>
      <c r="N503" s="6">
        <v>268000</v>
      </c>
      <c r="O503" s="2" t="s">
        <v>74</v>
      </c>
    </row>
    <row r="504" spans="1:15" x14ac:dyDescent="0.35">
      <c r="A504" s="2" t="s">
        <v>648</v>
      </c>
      <c r="B504" s="4">
        <v>46156</v>
      </c>
      <c r="C504" s="2" t="s">
        <v>39</v>
      </c>
      <c r="D504" s="2" t="s">
        <v>40</v>
      </c>
      <c r="E504" s="2" t="s">
        <v>41</v>
      </c>
      <c r="F504" s="2" t="s">
        <v>33</v>
      </c>
      <c r="G504" s="2" t="s">
        <v>82</v>
      </c>
      <c r="H504" s="2" t="s">
        <v>83</v>
      </c>
      <c r="I504" s="2" t="s">
        <v>44</v>
      </c>
      <c r="J504" s="2">
        <v>2</v>
      </c>
      <c r="K504" s="5">
        <v>0</v>
      </c>
      <c r="L504" s="6">
        <v>2900000</v>
      </c>
      <c r="M504" s="6">
        <v>1960000</v>
      </c>
      <c r="N504" s="6">
        <v>940000</v>
      </c>
      <c r="O504" s="2" t="s">
        <v>57</v>
      </c>
    </row>
    <row r="505" spans="1:15" x14ac:dyDescent="0.35">
      <c r="A505" s="2" t="s">
        <v>649</v>
      </c>
      <c r="B505" s="4">
        <v>46064</v>
      </c>
      <c r="C505" s="2" t="s">
        <v>39</v>
      </c>
      <c r="D505" s="2" t="s">
        <v>40</v>
      </c>
      <c r="E505" s="2" t="s">
        <v>81</v>
      </c>
      <c r="F505" s="2" t="s">
        <v>33</v>
      </c>
      <c r="G505" s="2" t="s">
        <v>86</v>
      </c>
      <c r="H505" s="2" t="s">
        <v>87</v>
      </c>
      <c r="I505" s="2" t="s">
        <v>36</v>
      </c>
      <c r="J505" s="2">
        <v>5</v>
      </c>
      <c r="K505" s="5">
        <v>0.15</v>
      </c>
      <c r="L505" s="6">
        <v>1487500</v>
      </c>
      <c r="M505" s="6">
        <v>1050000</v>
      </c>
      <c r="N505" s="6">
        <v>437500</v>
      </c>
      <c r="O505" s="2" t="s">
        <v>74</v>
      </c>
    </row>
    <row r="506" spans="1:15" x14ac:dyDescent="0.35">
      <c r="A506" s="2" t="s">
        <v>650</v>
      </c>
      <c r="B506" s="4">
        <v>46114</v>
      </c>
      <c r="C506" s="2" t="s">
        <v>65</v>
      </c>
      <c r="D506" s="2" t="s">
        <v>47</v>
      </c>
      <c r="E506" s="2" t="s">
        <v>32</v>
      </c>
      <c r="F506" s="2" t="s">
        <v>33</v>
      </c>
      <c r="G506" s="2" t="s">
        <v>34</v>
      </c>
      <c r="H506" s="2" t="s">
        <v>35</v>
      </c>
      <c r="I506" s="2" t="s">
        <v>36</v>
      </c>
      <c r="J506" s="2">
        <v>8</v>
      </c>
      <c r="K506" s="5">
        <v>0</v>
      </c>
      <c r="L506" s="6">
        <v>3800000</v>
      </c>
      <c r="M506" s="6">
        <v>2280000</v>
      </c>
      <c r="N506" s="6">
        <v>1520000</v>
      </c>
      <c r="O506" s="2" t="s">
        <v>45</v>
      </c>
    </row>
    <row r="507" spans="1:15" x14ac:dyDescent="0.35">
      <c r="A507" s="2" t="s">
        <v>651</v>
      </c>
      <c r="B507" s="4">
        <v>46153</v>
      </c>
      <c r="C507" s="2" t="s">
        <v>65</v>
      </c>
      <c r="D507" s="2" t="s">
        <v>59</v>
      </c>
      <c r="E507" s="2" t="s">
        <v>48</v>
      </c>
      <c r="F507" s="2" t="s">
        <v>33</v>
      </c>
      <c r="G507" s="2" t="s">
        <v>42</v>
      </c>
      <c r="H507" s="2" t="s">
        <v>43</v>
      </c>
      <c r="I507" s="2" t="s">
        <v>44</v>
      </c>
      <c r="J507" s="2">
        <v>5</v>
      </c>
      <c r="K507" s="5">
        <v>0.15</v>
      </c>
      <c r="L507" s="6">
        <v>1168750</v>
      </c>
      <c r="M507" s="6">
        <v>775000</v>
      </c>
      <c r="N507" s="6">
        <v>393750</v>
      </c>
      <c r="O507" s="2" t="s">
        <v>63</v>
      </c>
    </row>
    <row r="508" spans="1:15" x14ac:dyDescent="0.35">
      <c r="A508" s="2" t="s">
        <v>652</v>
      </c>
      <c r="B508" s="4">
        <v>46164</v>
      </c>
      <c r="C508" s="2" t="s">
        <v>39</v>
      </c>
      <c r="D508" s="2" t="s">
        <v>31</v>
      </c>
      <c r="E508" s="2" t="s">
        <v>48</v>
      </c>
      <c r="F508" s="2" t="s">
        <v>33</v>
      </c>
      <c r="G508" s="2" t="s">
        <v>49</v>
      </c>
      <c r="H508" s="2" t="s">
        <v>50</v>
      </c>
      <c r="I508" s="2" t="s">
        <v>51</v>
      </c>
      <c r="J508" s="2">
        <v>1</v>
      </c>
      <c r="K508" s="5">
        <v>0</v>
      </c>
      <c r="L508" s="6">
        <v>245000</v>
      </c>
      <c r="M508" s="6">
        <v>145000</v>
      </c>
      <c r="N508" s="6">
        <v>100000</v>
      </c>
      <c r="O508" s="2" t="s">
        <v>63</v>
      </c>
    </row>
    <row r="509" spans="1:15" x14ac:dyDescent="0.35">
      <c r="A509" s="2" t="s">
        <v>653</v>
      </c>
      <c r="B509" s="4">
        <v>46173</v>
      </c>
      <c r="C509" s="2" t="s">
        <v>69</v>
      </c>
      <c r="D509" s="2" t="s">
        <v>59</v>
      </c>
      <c r="E509" s="2" t="s">
        <v>32</v>
      </c>
      <c r="F509" s="2" t="s">
        <v>77</v>
      </c>
      <c r="G509" s="2" t="s">
        <v>55</v>
      </c>
      <c r="H509" s="2" t="s">
        <v>56</v>
      </c>
      <c r="I509" s="2" t="s">
        <v>36</v>
      </c>
      <c r="J509" s="2">
        <v>4</v>
      </c>
      <c r="K509" s="5">
        <v>0.15</v>
      </c>
      <c r="L509" s="6">
        <v>1572500</v>
      </c>
      <c r="M509" s="6">
        <v>5280000</v>
      </c>
      <c r="N509" s="6">
        <v>-3707500</v>
      </c>
      <c r="O509" s="2" t="s">
        <v>84</v>
      </c>
    </row>
    <row r="510" spans="1:15" x14ac:dyDescent="0.35">
      <c r="A510" s="2" t="s">
        <v>654</v>
      </c>
      <c r="B510" s="4">
        <v>46067</v>
      </c>
      <c r="C510" s="2" t="s">
        <v>30</v>
      </c>
      <c r="D510" s="2" t="s">
        <v>70</v>
      </c>
      <c r="E510" s="2" t="s">
        <v>81</v>
      </c>
      <c r="F510" s="2" t="s">
        <v>33</v>
      </c>
      <c r="G510" s="2" t="s">
        <v>60</v>
      </c>
      <c r="H510" s="2" t="s">
        <v>61</v>
      </c>
      <c r="I510" s="2" t="s">
        <v>62</v>
      </c>
      <c r="J510" s="2">
        <v>2</v>
      </c>
      <c r="K510" s="5">
        <v>0.08</v>
      </c>
      <c r="L510" s="6">
        <v>119600</v>
      </c>
      <c r="M510" s="6">
        <v>62000</v>
      </c>
      <c r="N510" s="6">
        <v>57600</v>
      </c>
      <c r="O510" s="2" t="s">
        <v>84</v>
      </c>
    </row>
    <row r="511" spans="1:15" x14ac:dyDescent="0.35">
      <c r="A511" s="2" t="s">
        <v>655</v>
      </c>
      <c r="B511" s="4">
        <v>46172</v>
      </c>
      <c r="C511" s="2" t="s">
        <v>30</v>
      </c>
      <c r="D511" s="2" t="s">
        <v>31</v>
      </c>
      <c r="E511" s="2" t="s">
        <v>41</v>
      </c>
      <c r="F511" s="2" t="s">
        <v>33</v>
      </c>
      <c r="G511" s="2" t="s">
        <v>66</v>
      </c>
      <c r="H511" s="2" t="s">
        <v>67</v>
      </c>
      <c r="I511" s="2" t="s">
        <v>51</v>
      </c>
      <c r="J511" s="2">
        <v>5</v>
      </c>
      <c r="K511" s="5">
        <v>0</v>
      </c>
      <c r="L511" s="6">
        <v>1550000</v>
      </c>
      <c r="M511" s="6">
        <v>950000</v>
      </c>
      <c r="N511" s="6">
        <v>600000</v>
      </c>
      <c r="O511" s="2" t="s">
        <v>63</v>
      </c>
    </row>
    <row r="512" spans="1:15" x14ac:dyDescent="0.35">
      <c r="A512" s="2" t="s">
        <v>656</v>
      </c>
      <c r="B512" s="4">
        <v>46175</v>
      </c>
      <c r="C512" s="2" t="s">
        <v>54</v>
      </c>
      <c r="D512" s="2" t="s">
        <v>70</v>
      </c>
      <c r="E512" s="2" t="s">
        <v>48</v>
      </c>
      <c r="F512" s="2" t="s">
        <v>33</v>
      </c>
      <c r="G512" s="2" t="s">
        <v>71</v>
      </c>
      <c r="H512" s="2" t="s">
        <v>72</v>
      </c>
      <c r="I512" s="2" t="s">
        <v>73</v>
      </c>
      <c r="J512" s="2">
        <v>1</v>
      </c>
      <c r="K512" s="5">
        <v>0.15</v>
      </c>
      <c r="L512" s="6">
        <v>106250</v>
      </c>
      <c r="M512" s="6">
        <v>70000</v>
      </c>
      <c r="N512" s="6">
        <v>36250</v>
      </c>
      <c r="O512" s="2" t="s">
        <v>37</v>
      </c>
    </row>
    <row r="513" spans="1:15" x14ac:dyDescent="0.35">
      <c r="A513" s="2" t="s">
        <v>657</v>
      </c>
      <c r="B513" s="4">
        <v>46104</v>
      </c>
      <c r="C513" s="2" t="s">
        <v>65</v>
      </c>
      <c r="D513" s="2" t="s">
        <v>47</v>
      </c>
      <c r="E513" s="2" t="s">
        <v>32</v>
      </c>
      <c r="F513" s="2" t="s">
        <v>33</v>
      </c>
      <c r="G513" s="2" t="s">
        <v>78</v>
      </c>
      <c r="H513" s="2" t="s">
        <v>79</v>
      </c>
      <c r="I513" s="2" t="s">
        <v>62</v>
      </c>
      <c r="J513" s="2">
        <v>4</v>
      </c>
      <c r="K513" s="5">
        <v>0.03</v>
      </c>
      <c r="L513" s="6">
        <v>329800</v>
      </c>
      <c r="M513" s="6">
        <v>172000</v>
      </c>
      <c r="N513" s="6">
        <v>157800</v>
      </c>
      <c r="O513" s="2" t="s">
        <v>93</v>
      </c>
    </row>
    <row r="514" spans="1:15" x14ac:dyDescent="0.35">
      <c r="A514" s="2" t="s">
        <v>658</v>
      </c>
      <c r="B514" s="4">
        <v>46046</v>
      </c>
      <c r="C514" s="2" t="s">
        <v>54</v>
      </c>
      <c r="D514" s="2" t="s">
        <v>70</v>
      </c>
      <c r="E514" s="2" t="s">
        <v>81</v>
      </c>
      <c r="F514" s="2" t="s">
        <v>90</v>
      </c>
      <c r="G514" s="2" t="s">
        <v>82</v>
      </c>
      <c r="H514" s="2" t="s">
        <v>83</v>
      </c>
      <c r="I514" s="2" t="s">
        <v>44</v>
      </c>
      <c r="J514" s="2">
        <v>6</v>
      </c>
      <c r="K514" s="5">
        <v>0.03</v>
      </c>
      <c r="L514" s="6">
        <v>8439000</v>
      </c>
      <c r="M514" s="6">
        <v>5880000</v>
      </c>
      <c r="N514" s="6">
        <v>2559000</v>
      </c>
      <c r="O514" s="2" t="s">
        <v>57</v>
      </c>
    </row>
    <row r="515" spans="1:15" x14ac:dyDescent="0.35">
      <c r="A515" s="2" t="s">
        <v>659</v>
      </c>
      <c r="B515" s="4">
        <v>46078</v>
      </c>
      <c r="C515" s="2" t="s">
        <v>54</v>
      </c>
      <c r="D515" s="2" t="s">
        <v>40</v>
      </c>
      <c r="E515" s="2" t="s">
        <v>41</v>
      </c>
      <c r="F515" s="2" t="s">
        <v>90</v>
      </c>
      <c r="G515" s="2" t="s">
        <v>86</v>
      </c>
      <c r="H515" s="2" t="s">
        <v>87</v>
      </c>
      <c r="I515" s="2" t="s">
        <v>36</v>
      </c>
      <c r="J515" s="2">
        <v>8</v>
      </c>
      <c r="K515" s="5">
        <v>0.1</v>
      </c>
      <c r="L515" s="6">
        <v>2520000</v>
      </c>
      <c r="M515" s="6">
        <v>1680000</v>
      </c>
      <c r="N515" s="6">
        <v>840000</v>
      </c>
      <c r="O515" s="2" t="s">
        <v>52</v>
      </c>
    </row>
    <row r="516" spans="1:15" x14ac:dyDescent="0.35">
      <c r="A516" s="2" t="s">
        <v>660</v>
      </c>
      <c r="B516" s="4">
        <v>46084</v>
      </c>
      <c r="C516" s="2" t="s">
        <v>69</v>
      </c>
      <c r="D516" s="2" t="s">
        <v>70</v>
      </c>
      <c r="E516" s="2" t="s">
        <v>48</v>
      </c>
      <c r="F516" s="2" t="s">
        <v>122</v>
      </c>
      <c r="G516" s="2" t="s">
        <v>34</v>
      </c>
      <c r="H516" s="2" t="s">
        <v>35</v>
      </c>
      <c r="I516" s="2" t="s">
        <v>36</v>
      </c>
      <c r="J516" s="2">
        <v>4</v>
      </c>
      <c r="K516" s="5">
        <v>0</v>
      </c>
      <c r="L516" s="6">
        <v>1900000</v>
      </c>
      <c r="M516" s="6">
        <v>1140000</v>
      </c>
      <c r="N516" s="6">
        <v>760000</v>
      </c>
      <c r="O516" s="2" t="s">
        <v>93</v>
      </c>
    </row>
    <row r="517" spans="1:15" x14ac:dyDescent="0.35">
      <c r="A517" s="2" t="s">
        <v>661</v>
      </c>
      <c r="B517" s="4">
        <v>46088</v>
      </c>
      <c r="C517" s="2" t="s">
        <v>111</v>
      </c>
      <c r="D517" s="2" t="s">
        <v>47</v>
      </c>
      <c r="E517" s="2" t="s">
        <v>48</v>
      </c>
      <c r="F517" s="2" t="s">
        <v>112</v>
      </c>
      <c r="G517" s="2" t="s">
        <v>42</v>
      </c>
      <c r="H517" s="2" t="s">
        <v>43</v>
      </c>
      <c r="I517" s="2" t="s">
        <v>44</v>
      </c>
      <c r="J517" s="2">
        <v>5</v>
      </c>
      <c r="K517" s="5">
        <v>0</v>
      </c>
      <c r="L517" s="6">
        <v>343750</v>
      </c>
      <c r="M517" s="6">
        <v>775000</v>
      </c>
      <c r="N517" s="6">
        <v>-431250</v>
      </c>
      <c r="O517" s="2" t="s">
        <v>74</v>
      </c>
    </row>
    <row r="518" spans="1:15" x14ac:dyDescent="0.35">
      <c r="A518" s="2" t="s">
        <v>662</v>
      </c>
      <c r="B518" s="4">
        <v>46098</v>
      </c>
      <c r="C518" s="2" t="s">
        <v>95</v>
      </c>
      <c r="D518" s="2" t="s">
        <v>40</v>
      </c>
      <c r="E518" s="2" t="s">
        <v>32</v>
      </c>
      <c r="F518" s="2" t="s">
        <v>33</v>
      </c>
      <c r="G518" s="2" t="s">
        <v>49</v>
      </c>
      <c r="H518" s="2" t="s">
        <v>50</v>
      </c>
      <c r="I518" s="2" t="s">
        <v>181</v>
      </c>
      <c r="J518" s="2">
        <v>4</v>
      </c>
      <c r="K518" s="5">
        <v>0.05</v>
      </c>
      <c r="L518" s="6">
        <v>931000</v>
      </c>
      <c r="M518" s="6">
        <v>580000</v>
      </c>
      <c r="N518" s="6">
        <v>351000</v>
      </c>
      <c r="O518" s="2" t="s">
        <v>37</v>
      </c>
    </row>
    <row r="519" spans="1:15" x14ac:dyDescent="0.35">
      <c r="A519" s="2" t="s">
        <v>663</v>
      </c>
      <c r="B519" s="4">
        <v>46076</v>
      </c>
      <c r="C519" s="2" t="s">
        <v>65</v>
      </c>
      <c r="D519" s="2" t="s">
        <v>40</v>
      </c>
      <c r="E519" s="2" t="s">
        <v>32</v>
      </c>
      <c r="F519" s="2" t="s">
        <v>33</v>
      </c>
      <c r="G519" s="2" t="s">
        <v>55</v>
      </c>
      <c r="H519" s="2" t="s">
        <v>56</v>
      </c>
      <c r="I519" s="2" t="s">
        <v>36</v>
      </c>
      <c r="J519" s="2">
        <v>4</v>
      </c>
      <c r="K519" s="5">
        <v>0.15</v>
      </c>
      <c r="L519" s="6">
        <v>6290000</v>
      </c>
      <c r="M519" s="6">
        <v>5280000</v>
      </c>
      <c r="N519" s="6">
        <v>1010000</v>
      </c>
      <c r="O519" s="2" t="s">
        <v>37</v>
      </c>
    </row>
    <row r="520" spans="1:15" x14ac:dyDescent="0.35">
      <c r="A520" s="2" t="s">
        <v>664</v>
      </c>
      <c r="B520" s="4">
        <v>46198</v>
      </c>
      <c r="C520" s="2" t="s">
        <v>69</v>
      </c>
      <c r="D520" s="2" t="s">
        <v>70</v>
      </c>
      <c r="E520" s="2" t="s">
        <v>41</v>
      </c>
      <c r="F520" s="2" t="s">
        <v>33</v>
      </c>
      <c r="G520" s="2" t="s">
        <v>60</v>
      </c>
      <c r="H520" s="2" t="s">
        <v>61</v>
      </c>
      <c r="I520" s="2" t="s">
        <v>62</v>
      </c>
      <c r="J520" s="2">
        <v>3</v>
      </c>
      <c r="K520" s="5">
        <v>0</v>
      </c>
      <c r="L520" s="6">
        <v>195000</v>
      </c>
      <c r="M520" s="6">
        <v>93000</v>
      </c>
      <c r="N520" s="6">
        <v>102000</v>
      </c>
      <c r="O520" s="2" t="s">
        <v>37</v>
      </c>
    </row>
    <row r="521" spans="1:15" x14ac:dyDescent="0.35">
      <c r="A521" s="2" t="s">
        <v>665</v>
      </c>
      <c r="B521" s="4">
        <v>46036</v>
      </c>
      <c r="C521" s="2" t="s">
        <v>76</v>
      </c>
      <c r="D521" s="2" t="s">
        <v>47</v>
      </c>
      <c r="E521" s="2" t="s">
        <v>130</v>
      </c>
      <c r="F521" s="2" t="s">
        <v>33</v>
      </c>
      <c r="G521" s="2" t="s">
        <v>66</v>
      </c>
      <c r="H521" s="2" t="s">
        <v>67</v>
      </c>
      <c r="I521" s="2" t="s">
        <v>51</v>
      </c>
      <c r="J521" s="2">
        <v>3</v>
      </c>
      <c r="K521" s="5">
        <v>0.05</v>
      </c>
      <c r="L521" s="6">
        <v>883500</v>
      </c>
      <c r="M521" s="6">
        <v>570000</v>
      </c>
      <c r="N521" s="6">
        <v>313500</v>
      </c>
      <c r="O521" s="2" t="s">
        <v>93</v>
      </c>
    </row>
    <row r="522" spans="1:15" x14ac:dyDescent="0.35">
      <c r="A522" s="2" t="s">
        <v>666</v>
      </c>
      <c r="B522" s="2" t="s">
        <v>667</v>
      </c>
      <c r="C522" s="2" t="s">
        <v>65</v>
      </c>
      <c r="D522" s="2" t="s">
        <v>70</v>
      </c>
      <c r="E522" s="2" t="s">
        <v>41</v>
      </c>
      <c r="F522" s="2" t="s">
        <v>33</v>
      </c>
      <c r="G522" s="2" t="s">
        <v>71</v>
      </c>
      <c r="H522" s="2" t="s">
        <v>72</v>
      </c>
      <c r="I522" s="2" t="s">
        <v>73</v>
      </c>
      <c r="J522" s="2">
        <v>8</v>
      </c>
      <c r="K522" s="5">
        <v>0.15</v>
      </c>
      <c r="L522" s="6">
        <v>850000</v>
      </c>
      <c r="M522" s="6">
        <v>560000</v>
      </c>
      <c r="N522" s="6">
        <v>290000</v>
      </c>
      <c r="O522" s="2" t="s">
        <v>37</v>
      </c>
    </row>
    <row r="523" spans="1:15" x14ac:dyDescent="0.35">
      <c r="A523" s="2" t="s">
        <v>668</v>
      </c>
      <c r="B523" s="4">
        <v>46159</v>
      </c>
      <c r="C523" s="2" t="s">
        <v>69</v>
      </c>
      <c r="D523" s="2" t="s">
        <v>169</v>
      </c>
      <c r="E523" s="2" t="s">
        <v>41</v>
      </c>
      <c r="F523" s="2" t="s">
        <v>33</v>
      </c>
      <c r="G523" s="2" t="s">
        <v>78</v>
      </c>
      <c r="H523" s="2" t="s">
        <v>79</v>
      </c>
      <c r="I523" s="2" t="s">
        <v>62</v>
      </c>
      <c r="J523" s="2">
        <v>1</v>
      </c>
      <c r="K523" s="5">
        <v>0.15</v>
      </c>
      <c r="L523" s="6">
        <v>72250</v>
      </c>
      <c r="M523" s="6">
        <v>43000</v>
      </c>
      <c r="N523" s="6">
        <v>29250</v>
      </c>
      <c r="O523" s="2" t="s">
        <v>63</v>
      </c>
    </row>
    <row r="524" spans="1:15" x14ac:dyDescent="0.35">
      <c r="A524" s="2" t="s">
        <v>669</v>
      </c>
      <c r="B524" s="4">
        <v>46151</v>
      </c>
      <c r="C524" s="2" t="s">
        <v>76</v>
      </c>
      <c r="D524" s="2" t="s">
        <v>70</v>
      </c>
      <c r="E524" s="2" t="s">
        <v>41</v>
      </c>
      <c r="F524" s="2" t="s">
        <v>90</v>
      </c>
      <c r="G524" s="2" t="s">
        <v>82</v>
      </c>
      <c r="H524" s="2" t="s">
        <v>83</v>
      </c>
      <c r="I524" s="2" t="s">
        <v>44</v>
      </c>
      <c r="J524" s="2">
        <v>2</v>
      </c>
      <c r="K524" s="5">
        <v>0.05</v>
      </c>
      <c r="L524" s="6">
        <v>2755000</v>
      </c>
      <c r="M524" s="6">
        <v>1960000</v>
      </c>
      <c r="N524" s="6">
        <v>795000</v>
      </c>
      <c r="O524" s="2" t="s">
        <v>52</v>
      </c>
    </row>
    <row r="525" spans="1:15" x14ac:dyDescent="0.35">
      <c r="A525" s="2" t="s">
        <v>670</v>
      </c>
      <c r="B525" s="4">
        <v>46120</v>
      </c>
      <c r="C525" s="2" t="s">
        <v>30</v>
      </c>
      <c r="D525" s="2" t="s">
        <v>325</v>
      </c>
      <c r="E525" s="2" t="s">
        <v>32</v>
      </c>
      <c r="F525" s="2" t="s">
        <v>33</v>
      </c>
      <c r="G525" s="2" t="s">
        <v>86</v>
      </c>
      <c r="H525" s="2" t="s">
        <v>87</v>
      </c>
      <c r="I525" s="2" t="s">
        <v>36</v>
      </c>
      <c r="J525" s="2">
        <v>7</v>
      </c>
      <c r="K525" s="5">
        <v>0.15</v>
      </c>
      <c r="L525" s="6">
        <v>2082500</v>
      </c>
      <c r="M525" s="6">
        <v>1470000</v>
      </c>
      <c r="N525" s="6">
        <v>612500</v>
      </c>
      <c r="O525" s="2" t="s">
        <v>93</v>
      </c>
    </row>
    <row r="526" spans="1:15" x14ac:dyDescent="0.35">
      <c r="A526" s="2" t="s">
        <v>671</v>
      </c>
      <c r="B526" s="4">
        <v>46162</v>
      </c>
      <c r="C526" s="2" t="s">
        <v>30</v>
      </c>
      <c r="D526" s="2" t="s">
        <v>70</v>
      </c>
      <c r="E526" s="2" t="s">
        <v>41</v>
      </c>
      <c r="F526" s="2" t="s">
        <v>33</v>
      </c>
      <c r="G526" s="2" t="s">
        <v>34</v>
      </c>
      <c r="H526" s="2" t="s">
        <v>35</v>
      </c>
      <c r="I526" s="2" t="s">
        <v>36</v>
      </c>
      <c r="J526" s="2">
        <v>5</v>
      </c>
      <c r="K526" s="5">
        <v>0.15</v>
      </c>
      <c r="L526" s="6">
        <v>2018750</v>
      </c>
      <c r="M526" s="6">
        <v>1425000</v>
      </c>
      <c r="N526" s="6">
        <v>593750</v>
      </c>
      <c r="O526" s="2" t="s">
        <v>37</v>
      </c>
    </row>
    <row r="527" spans="1:15" x14ac:dyDescent="0.35">
      <c r="A527" s="2" t="s">
        <v>672</v>
      </c>
      <c r="B527" s="4">
        <v>46033</v>
      </c>
      <c r="C527" s="2" t="s">
        <v>76</v>
      </c>
      <c r="D527" s="2" t="s">
        <v>47</v>
      </c>
      <c r="E527" s="2" t="s">
        <v>41</v>
      </c>
      <c r="F527" s="2" t="s">
        <v>33</v>
      </c>
      <c r="G527" s="2" t="s">
        <v>42</v>
      </c>
      <c r="H527" s="2" t="s">
        <v>43</v>
      </c>
      <c r="I527" s="2" t="s">
        <v>44</v>
      </c>
      <c r="J527" s="2">
        <v>1</v>
      </c>
      <c r="K527" s="5">
        <v>0.1</v>
      </c>
      <c r="L527" s="6">
        <v>247500</v>
      </c>
      <c r="M527" s="6">
        <v>155000</v>
      </c>
      <c r="N527" s="6">
        <v>92500</v>
      </c>
      <c r="O527" s="2" t="s">
        <v>45</v>
      </c>
    </row>
    <row r="528" spans="1:15" x14ac:dyDescent="0.35">
      <c r="A528" s="2" t="s">
        <v>673</v>
      </c>
      <c r="B528" s="4">
        <v>46111</v>
      </c>
      <c r="C528" s="2" t="s">
        <v>30</v>
      </c>
      <c r="D528" s="2" t="s">
        <v>31</v>
      </c>
      <c r="E528" s="2" t="s">
        <v>32</v>
      </c>
      <c r="F528" s="2" t="s">
        <v>112</v>
      </c>
      <c r="G528" s="2" t="s">
        <v>49</v>
      </c>
      <c r="H528" s="2" t="s">
        <v>50</v>
      </c>
      <c r="I528" s="2" t="s">
        <v>51</v>
      </c>
      <c r="J528" s="2">
        <v>4</v>
      </c>
      <c r="K528" s="5">
        <v>0.08</v>
      </c>
      <c r="L528" s="6">
        <v>450800</v>
      </c>
      <c r="M528" s="6">
        <v>580000</v>
      </c>
      <c r="N528" s="6">
        <v>-129200</v>
      </c>
      <c r="O528" s="2" t="s">
        <v>45</v>
      </c>
    </row>
    <row r="529" spans="1:15" x14ac:dyDescent="0.35">
      <c r="A529" s="2" t="s">
        <v>674</v>
      </c>
      <c r="B529" s="4">
        <v>46180</v>
      </c>
      <c r="C529" s="2" t="s">
        <v>111</v>
      </c>
      <c r="D529" s="2" t="s">
        <v>47</v>
      </c>
      <c r="E529" s="2" t="s">
        <v>41</v>
      </c>
      <c r="F529" s="2" t="s">
        <v>33</v>
      </c>
      <c r="G529" s="2" t="s">
        <v>55</v>
      </c>
      <c r="H529" s="2" t="s">
        <v>56</v>
      </c>
      <c r="I529" s="2" t="s">
        <v>36</v>
      </c>
      <c r="J529" s="2">
        <v>5</v>
      </c>
      <c r="K529" s="5">
        <v>0.03</v>
      </c>
      <c r="L529" s="6">
        <v>8972500</v>
      </c>
      <c r="M529" s="6">
        <v>6600000</v>
      </c>
      <c r="N529" s="6">
        <v>2372500</v>
      </c>
      <c r="O529" s="2" t="s">
        <v>37</v>
      </c>
    </row>
    <row r="530" spans="1:15" x14ac:dyDescent="0.35">
      <c r="A530" s="2" t="s">
        <v>675</v>
      </c>
      <c r="B530" s="4">
        <v>46097</v>
      </c>
      <c r="C530" s="2" t="s">
        <v>54</v>
      </c>
      <c r="D530" s="2" t="s">
        <v>47</v>
      </c>
      <c r="E530" s="2" t="s">
        <v>48</v>
      </c>
      <c r="F530" s="2" t="s">
        <v>33</v>
      </c>
      <c r="G530" s="2" t="s">
        <v>60</v>
      </c>
      <c r="H530" s="2" t="s">
        <v>61</v>
      </c>
      <c r="I530" s="2" t="s">
        <v>62</v>
      </c>
      <c r="J530" s="2">
        <v>2</v>
      </c>
      <c r="K530" s="5">
        <v>0.05</v>
      </c>
      <c r="L530" s="6">
        <v>123500</v>
      </c>
      <c r="M530" s="6">
        <v>62000</v>
      </c>
      <c r="N530" s="6">
        <v>61500</v>
      </c>
      <c r="O530" s="2" t="s">
        <v>63</v>
      </c>
    </row>
    <row r="531" spans="1:15" x14ac:dyDescent="0.35">
      <c r="A531" s="2" t="s">
        <v>676</v>
      </c>
      <c r="B531" s="4">
        <v>46055</v>
      </c>
      <c r="C531" s="2" t="s">
        <v>54</v>
      </c>
      <c r="D531" s="2" t="s">
        <v>40</v>
      </c>
      <c r="E531" s="2" t="s">
        <v>32</v>
      </c>
      <c r="F531" s="2" t="s">
        <v>33</v>
      </c>
      <c r="G531" s="2" t="s">
        <v>66</v>
      </c>
      <c r="H531" s="2" t="s">
        <v>67</v>
      </c>
      <c r="I531" s="2" t="s">
        <v>51</v>
      </c>
      <c r="J531" s="2">
        <v>4</v>
      </c>
      <c r="K531" s="5">
        <v>0</v>
      </c>
      <c r="L531" s="6">
        <v>1240000</v>
      </c>
      <c r="M531" s="6">
        <v>760000</v>
      </c>
      <c r="N531" s="6">
        <v>480000</v>
      </c>
      <c r="O531" s="2" t="s">
        <v>52</v>
      </c>
    </row>
    <row r="532" spans="1:15" x14ac:dyDescent="0.35">
      <c r="A532" s="2" t="s">
        <v>677</v>
      </c>
      <c r="B532" s="4">
        <v>46138</v>
      </c>
      <c r="C532" s="2" t="s">
        <v>54</v>
      </c>
      <c r="D532" s="2" t="s">
        <v>47</v>
      </c>
      <c r="E532" s="2" t="s">
        <v>32</v>
      </c>
      <c r="F532" s="2" t="s">
        <v>33</v>
      </c>
      <c r="G532" s="2" t="s">
        <v>71</v>
      </c>
      <c r="H532" s="2" t="s">
        <v>72</v>
      </c>
      <c r="I532" s="2" t="s">
        <v>73</v>
      </c>
      <c r="J532" s="2">
        <v>6</v>
      </c>
      <c r="K532" s="5">
        <v>0.1</v>
      </c>
      <c r="L532" s="6">
        <v>675000</v>
      </c>
      <c r="M532" s="6">
        <v>420000</v>
      </c>
      <c r="N532" s="6">
        <v>255000</v>
      </c>
      <c r="O532" s="2" t="s">
        <v>63</v>
      </c>
    </row>
    <row r="533" spans="1:15" x14ac:dyDescent="0.35">
      <c r="A533" s="2" t="s">
        <v>678</v>
      </c>
      <c r="B533" s="4">
        <v>46132</v>
      </c>
      <c r="C533" s="2" t="s">
        <v>76</v>
      </c>
      <c r="D533" s="2" t="s">
        <v>31</v>
      </c>
      <c r="E533" s="2" t="s">
        <v>48</v>
      </c>
      <c r="F533" s="2" t="s">
        <v>33</v>
      </c>
      <c r="G533" s="2" t="s">
        <v>78</v>
      </c>
      <c r="H533" s="2" t="s">
        <v>79</v>
      </c>
      <c r="I533" s="2" t="s">
        <v>62</v>
      </c>
      <c r="J533" s="2">
        <v>3</v>
      </c>
      <c r="K533" s="5">
        <v>0</v>
      </c>
      <c r="L533" s="6">
        <v>255000</v>
      </c>
      <c r="M533" s="6">
        <v>129000</v>
      </c>
      <c r="N533" s="6">
        <v>126000</v>
      </c>
      <c r="O533" s="2" t="s">
        <v>63</v>
      </c>
    </row>
    <row r="534" spans="1:15" x14ac:dyDescent="0.35">
      <c r="A534" s="2" t="s">
        <v>679</v>
      </c>
      <c r="B534" s="4">
        <v>46057</v>
      </c>
      <c r="C534" s="2" t="s">
        <v>111</v>
      </c>
      <c r="D534" s="2" t="s">
        <v>70</v>
      </c>
      <c r="E534" s="2" t="s">
        <v>81</v>
      </c>
      <c r="F534" s="2" t="s">
        <v>33</v>
      </c>
      <c r="G534" s="2" t="s">
        <v>82</v>
      </c>
      <c r="H534" s="2" t="s">
        <v>83</v>
      </c>
      <c r="I534" s="2" t="s">
        <v>44</v>
      </c>
      <c r="J534" s="2">
        <v>6</v>
      </c>
      <c r="K534" s="5">
        <v>0.08</v>
      </c>
      <c r="L534" s="6">
        <v>8004000</v>
      </c>
      <c r="M534" s="6">
        <v>5880000</v>
      </c>
      <c r="N534" s="6">
        <v>2124000</v>
      </c>
      <c r="O534" s="2" t="s">
        <v>37</v>
      </c>
    </row>
    <row r="535" spans="1:15" x14ac:dyDescent="0.35">
      <c r="A535" s="2" t="s">
        <v>680</v>
      </c>
      <c r="B535" s="4">
        <v>46067</v>
      </c>
      <c r="C535" s="2" t="s">
        <v>76</v>
      </c>
      <c r="D535" s="2" t="s">
        <v>31</v>
      </c>
      <c r="E535" s="2" t="s">
        <v>32</v>
      </c>
      <c r="F535" s="2" t="s">
        <v>90</v>
      </c>
      <c r="G535" s="2" t="s">
        <v>86</v>
      </c>
      <c r="H535" s="2" t="s">
        <v>87</v>
      </c>
      <c r="I535" s="2" t="s">
        <v>36</v>
      </c>
      <c r="J535" s="2">
        <v>2</v>
      </c>
      <c r="K535" s="5">
        <v>0.05</v>
      </c>
      <c r="L535" s="6">
        <v>665000</v>
      </c>
      <c r="M535" s="6">
        <v>420000</v>
      </c>
      <c r="N535" s="6">
        <v>245000</v>
      </c>
      <c r="O535" s="2" t="s">
        <v>37</v>
      </c>
    </row>
    <row r="536" spans="1:15" x14ac:dyDescent="0.35">
      <c r="A536" s="2" t="s">
        <v>681</v>
      </c>
      <c r="B536" s="2" t="s">
        <v>682</v>
      </c>
      <c r="C536" s="2" t="s">
        <v>39</v>
      </c>
      <c r="D536" s="2" t="s">
        <v>47</v>
      </c>
      <c r="E536" s="2" t="s">
        <v>48</v>
      </c>
      <c r="F536" s="2" t="s">
        <v>33</v>
      </c>
      <c r="G536" s="2" t="s">
        <v>34</v>
      </c>
      <c r="H536" s="2" t="s">
        <v>35</v>
      </c>
      <c r="I536" s="2" t="s">
        <v>36</v>
      </c>
      <c r="J536" s="2">
        <v>1</v>
      </c>
      <c r="K536" s="5">
        <v>0.1</v>
      </c>
      <c r="L536" s="6">
        <v>427500</v>
      </c>
      <c r="M536" s="6">
        <v>285000</v>
      </c>
      <c r="N536" s="6">
        <v>142500</v>
      </c>
      <c r="O536" s="2" t="s">
        <v>74</v>
      </c>
    </row>
    <row r="537" spans="1:15" x14ac:dyDescent="0.35">
      <c r="A537" s="2" t="s">
        <v>683</v>
      </c>
      <c r="B537" s="4">
        <v>46164</v>
      </c>
      <c r="C537" s="2" t="s">
        <v>54</v>
      </c>
      <c r="D537" s="2" t="s">
        <v>59</v>
      </c>
      <c r="E537" s="2" t="s">
        <v>32</v>
      </c>
      <c r="F537" s="2" t="s">
        <v>112</v>
      </c>
      <c r="G537" s="2" t="s">
        <v>42</v>
      </c>
      <c r="H537" s="2" t="s">
        <v>43</v>
      </c>
      <c r="I537" s="2" t="s">
        <v>44</v>
      </c>
      <c r="J537" s="2">
        <v>5</v>
      </c>
      <c r="K537" s="5">
        <v>0.1</v>
      </c>
      <c r="L537" s="6">
        <v>618750</v>
      </c>
      <c r="M537" s="6">
        <v>775000</v>
      </c>
      <c r="N537" s="6">
        <v>-156250</v>
      </c>
      <c r="O537" s="2" t="s">
        <v>93</v>
      </c>
    </row>
    <row r="538" spans="1:15" x14ac:dyDescent="0.35">
      <c r="A538" s="2" t="s">
        <v>684</v>
      </c>
      <c r="B538" s="4">
        <v>46080</v>
      </c>
      <c r="C538" s="2" t="s">
        <v>65</v>
      </c>
      <c r="D538" s="2" t="s">
        <v>47</v>
      </c>
      <c r="E538" s="2" t="s">
        <v>41</v>
      </c>
      <c r="F538" s="2" t="s">
        <v>33</v>
      </c>
      <c r="G538" s="2" t="s">
        <v>49</v>
      </c>
      <c r="H538" s="2" t="s">
        <v>50</v>
      </c>
      <c r="I538" s="2" t="s">
        <v>51</v>
      </c>
      <c r="J538" s="2">
        <v>5</v>
      </c>
      <c r="K538" s="5">
        <v>0.03</v>
      </c>
      <c r="L538" s="6" t="s">
        <v>685</v>
      </c>
      <c r="M538" s="6">
        <v>725000</v>
      </c>
      <c r="N538" s="6">
        <v>463250</v>
      </c>
      <c r="O538" s="2" t="s">
        <v>63</v>
      </c>
    </row>
    <row r="539" spans="1:15" x14ac:dyDescent="0.35">
      <c r="A539" s="2" t="s">
        <v>686</v>
      </c>
      <c r="B539" s="4">
        <v>46151</v>
      </c>
      <c r="C539" s="2" t="s">
        <v>30</v>
      </c>
      <c r="D539" s="2" t="s">
        <v>47</v>
      </c>
      <c r="E539" s="2" t="s">
        <v>32</v>
      </c>
      <c r="F539" s="2" t="s">
        <v>33</v>
      </c>
      <c r="G539" s="2" t="s">
        <v>55</v>
      </c>
      <c r="H539" s="2" t="s">
        <v>56</v>
      </c>
      <c r="I539" s="2" t="s">
        <v>36</v>
      </c>
      <c r="J539" s="2"/>
      <c r="K539" s="5">
        <v>0.15</v>
      </c>
      <c r="L539" s="6">
        <v>1572500</v>
      </c>
      <c r="M539" s="6">
        <v>1320000</v>
      </c>
      <c r="N539" s="6">
        <v>252500</v>
      </c>
      <c r="O539" s="2" t="s">
        <v>52</v>
      </c>
    </row>
    <row r="540" spans="1:15" x14ac:dyDescent="0.35">
      <c r="A540" s="2" t="s">
        <v>687</v>
      </c>
      <c r="B540" s="4">
        <v>46063</v>
      </c>
      <c r="C540" s="2" t="s">
        <v>54</v>
      </c>
      <c r="D540" s="2" t="s">
        <v>31</v>
      </c>
      <c r="E540" s="2" t="s">
        <v>48</v>
      </c>
      <c r="F540" s="2" t="s">
        <v>112</v>
      </c>
      <c r="G540" s="2" t="s">
        <v>60</v>
      </c>
      <c r="H540" s="2" t="s">
        <v>61</v>
      </c>
      <c r="I540" s="2" t="s">
        <v>62</v>
      </c>
      <c r="J540" s="2">
        <v>3</v>
      </c>
      <c r="K540" s="5">
        <v>0.1</v>
      </c>
      <c r="L540" s="6">
        <v>87750</v>
      </c>
      <c r="M540" s="6">
        <v>93000</v>
      </c>
      <c r="N540" s="6">
        <v>-5250</v>
      </c>
      <c r="O540" s="2" t="s">
        <v>74</v>
      </c>
    </row>
    <row r="541" spans="1:15" x14ac:dyDescent="0.35">
      <c r="A541" s="2" t="s">
        <v>688</v>
      </c>
      <c r="B541" s="4">
        <v>46079</v>
      </c>
      <c r="C541" s="2" t="s">
        <v>95</v>
      </c>
      <c r="D541" s="2" t="s">
        <v>70</v>
      </c>
      <c r="E541" s="2" t="s">
        <v>32</v>
      </c>
      <c r="F541" s="2" t="s">
        <v>33</v>
      </c>
      <c r="G541" s="2" t="s">
        <v>66</v>
      </c>
      <c r="H541" s="2" t="s">
        <v>67</v>
      </c>
      <c r="I541" s="2" t="s">
        <v>51</v>
      </c>
      <c r="J541" s="2">
        <v>8</v>
      </c>
      <c r="K541" s="5">
        <v>0.03</v>
      </c>
      <c r="L541" s="6"/>
      <c r="M541" s="6">
        <v>1520000</v>
      </c>
      <c r="N541" s="6">
        <v>885600</v>
      </c>
      <c r="O541" s="2" t="s">
        <v>45</v>
      </c>
    </row>
    <row r="542" spans="1:15" x14ac:dyDescent="0.35">
      <c r="A542" s="2" t="s">
        <v>689</v>
      </c>
      <c r="B542" s="4">
        <v>46155</v>
      </c>
      <c r="C542" s="2" t="s">
        <v>95</v>
      </c>
      <c r="D542" s="2" t="s">
        <v>59</v>
      </c>
      <c r="E542" s="2" t="s">
        <v>41</v>
      </c>
      <c r="F542" s="2" t="s">
        <v>33</v>
      </c>
      <c r="G542" s="2" t="s">
        <v>71</v>
      </c>
      <c r="H542" s="2" t="s">
        <v>72</v>
      </c>
      <c r="I542" s="2" t="s">
        <v>73</v>
      </c>
      <c r="J542" s="2">
        <v>6</v>
      </c>
      <c r="K542" s="5">
        <v>0.08</v>
      </c>
      <c r="L542" s="6">
        <v>690000</v>
      </c>
      <c r="M542" s="6">
        <v>420000</v>
      </c>
      <c r="N542" s="6">
        <v>270000</v>
      </c>
      <c r="O542" s="2" t="s">
        <v>63</v>
      </c>
    </row>
    <row r="543" spans="1:15" x14ac:dyDescent="0.35">
      <c r="A543" s="2" t="s">
        <v>690</v>
      </c>
      <c r="B543" s="4">
        <v>46049</v>
      </c>
      <c r="C543" s="2" t="s">
        <v>65</v>
      </c>
      <c r="D543" s="2" t="s">
        <v>47</v>
      </c>
      <c r="E543" s="2" t="s">
        <v>32</v>
      </c>
      <c r="F543" s="2" t="s">
        <v>33</v>
      </c>
      <c r="G543" s="2" t="s">
        <v>78</v>
      </c>
      <c r="H543" s="2" t="s">
        <v>79</v>
      </c>
      <c r="I543" s="2" t="s">
        <v>62</v>
      </c>
      <c r="J543" s="2">
        <v>5</v>
      </c>
      <c r="K543" s="5">
        <v>0.15</v>
      </c>
      <c r="L543" s="6">
        <v>361250</v>
      </c>
      <c r="M543" s="6">
        <v>215000</v>
      </c>
      <c r="N543" s="6">
        <v>146250</v>
      </c>
      <c r="O543" s="2" t="s">
        <v>93</v>
      </c>
    </row>
    <row r="544" spans="1:15" x14ac:dyDescent="0.35">
      <c r="A544" s="2" t="s">
        <v>691</v>
      </c>
      <c r="B544" s="4">
        <v>46116</v>
      </c>
      <c r="C544" s="2" t="s">
        <v>54</v>
      </c>
      <c r="D544" s="2" t="s">
        <v>31</v>
      </c>
      <c r="E544" s="2" t="s">
        <v>48</v>
      </c>
      <c r="F544" s="2" t="s">
        <v>33</v>
      </c>
      <c r="G544" s="2" t="s">
        <v>82</v>
      </c>
      <c r="H544" s="2" t="s">
        <v>83</v>
      </c>
      <c r="I544" s="2" t="s">
        <v>44</v>
      </c>
      <c r="J544" s="2">
        <v>2</v>
      </c>
      <c r="K544" s="5">
        <v>0.1</v>
      </c>
      <c r="L544" s="6">
        <v>2610000</v>
      </c>
      <c r="M544" s="6">
        <v>1960000</v>
      </c>
      <c r="N544" s="6">
        <v>650000</v>
      </c>
      <c r="O544" s="2" t="s">
        <v>63</v>
      </c>
    </row>
    <row r="545" spans="1:15" x14ac:dyDescent="0.35">
      <c r="A545" s="2" t="s">
        <v>692</v>
      </c>
      <c r="B545" s="4">
        <v>46147</v>
      </c>
      <c r="C545" s="2" t="s">
        <v>30</v>
      </c>
      <c r="D545" s="2" t="s">
        <v>31</v>
      </c>
      <c r="E545" s="2" t="s">
        <v>48</v>
      </c>
      <c r="F545" s="2" t="s">
        <v>33</v>
      </c>
      <c r="G545" s="2" t="s">
        <v>86</v>
      </c>
      <c r="H545" s="2" t="s">
        <v>87</v>
      </c>
      <c r="I545" s="2" t="s">
        <v>36</v>
      </c>
      <c r="J545" s="2">
        <v>8</v>
      </c>
      <c r="K545" s="5">
        <v>0.1</v>
      </c>
      <c r="L545" s="6">
        <v>2520000</v>
      </c>
      <c r="M545" s="6">
        <v>1680000</v>
      </c>
      <c r="N545" s="6">
        <v>840000</v>
      </c>
      <c r="O545" s="2" t="s">
        <v>45</v>
      </c>
    </row>
    <row r="546" spans="1:15" x14ac:dyDescent="0.35">
      <c r="A546" s="2" t="s">
        <v>693</v>
      </c>
      <c r="B546" s="4">
        <v>46042</v>
      </c>
      <c r="C546" s="2" t="s">
        <v>69</v>
      </c>
      <c r="D546" s="2" t="s">
        <v>31</v>
      </c>
      <c r="E546" s="2" t="s">
        <v>81</v>
      </c>
      <c r="F546" s="2" t="s">
        <v>33</v>
      </c>
      <c r="G546" s="2" t="s">
        <v>34</v>
      </c>
      <c r="H546" s="2" t="s">
        <v>35</v>
      </c>
      <c r="I546" s="2" t="s">
        <v>36</v>
      </c>
      <c r="J546" s="2">
        <v>5</v>
      </c>
      <c r="K546" s="5">
        <v>0.03</v>
      </c>
      <c r="L546" s="6">
        <v>2303750</v>
      </c>
      <c r="M546" s="6">
        <v>1425000</v>
      </c>
      <c r="N546" s="6">
        <v>878750</v>
      </c>
      <c r="O546" s="2" t="s">
        <v>45</v>
      </c>
    </row>
    <row r="547" spans="1:15" x14ac:dyDescent="0.35">
      <c r="A547" s="2" t="s">
        <v>694</v>
      </c>
      <c r="B547" s="4">
        <v>46129</v>
      </c>
      <c r="C547" s="2" t="s">
        <v>39</v>
      </c>
      <c r="D547" s="2" t="s">
        <v>59</v>
      </c>
      <c r="E547" s="2" t="s">
        <v>48</v>
      </c>
      <c r="F547" s="2" t="s">
        <v>33</v>
      </c>
      <c r="G547" s="2" t="s">
        <v>42</v>
      </c>
      <c r="H547" s="2" t="s">
        <v>43</v>
      </c>
      <c r="I547" s="2" t="s">
        <v>44</v>
      </c>
      <c r="J547" s="2">
        <v>6</v>
      </c>
      <c r="K547" s="5">
        <v>0.15</v>
      </c>
      <c r="L547" s="6">
        <v>1402500</v>
      </c>
      <c r="M547" s="6">
        <v>930000</v>
      </c>
      <c r="N547" s="6">
        <v>472500</v>
      </c>
      <c r="O547" s="2" t="s">
        <v>84</v>
      </c>
    </row>
    <row r="548" spans="1:15" x14ac:dyDescent="0.35">
      <c r="A548" s="2" t="s">
        <v>695</v>
      </c>
      <c r="B548" s="4">
        <v>46188</v>
      </c>
      <c r="C548" s="2" t="s">
        <v>30</v>
      </c>
      <c r="D548" s="2" t="s">
        <v>31</v>
      </c>
      <c r="E548" s="2" t="s">
        <v>32</v>
      </c>
      <c r="F548" s="2" t="s">
        <v>33</v>
      </c>
      <c r="G548" s="2" t="s">
        <v>49</v>
      </c>
      <c r="H548" s="2" t="s">
        <v>50</v>
      </c>
      <c r="I548" s="2" t="s">
        <v>51</v>
      </c>
      <c r="J548" s="2">
        <v>7</v>
      </c>
      <c r="K548" s="5">
        <v>0</v>
      </c>
      <c r="L548" s="6">
        <v>1715000</v>
      </c>
      <c r="M548" s="6">
        <v>1015000</v>
      </c>
      <c r="N548" s="6">
        <v>700000</v>
      </c>
      <c r="O548" s="2" t="s">
        <v>74</v>
      </c>
    </row>
    <row r="549" spans="1:15" x14ac:dyDescent="0.35">
      <c r="A549" s="2" t="s">
        <v>696</v>
      </c>
      <c r="B549" s="4">
        <v>46169</v>
      </c>
      <c r="C549" s="2" t="s">
        <v>95</v>
      </c>
      <c r="D549" s="2" t="s">
        <v>31</v>
      </c>
      <c r="E549" s="2" t="s">
        <v>48</v>
      </c>
      <c r="F549" s="2" t="s">
        <v>146</v>
      </c>
      <c r="G549" s="2" t="s">
        <v>55</v>
      </c>
      <c r="H549" s="2" t="s">
        <v>56</v>
      </c>
      <c r="I549" s="2" t="s">
        <v>36</v>
      </c>
      <c r="J549" s="2">
        <v>3</v>
      </c>
      <c r="K549" s="5">
        <v>0</v>
      </c>
      <c r="L549" s="6">
        <v>5550000</v>
      </c>
      <c r="M549" s="6">
        <v>3960000</v>
      </c>
      <c r="N549" s="6">
        <v>1590000</v>
      </c>
      <c r="O549" s="2" t="s">
        <v>57</v>
      </c>
    </row>
    <row r="550" spans="1:15" x14ac:dyDescent="0.35">
      <c r="A550" s="2" t="s">
        <v>697</v>
      </c>
      <c r="B550" s="4">
        <v>46044</v>
      </c>
      <c r="C550" s="2" t="s">
        <v>30</v>
      </c>
      <c r="D550" s="2" t="s">
        <v>59</v>
      </c>
      <c r="E550" s="2" t="s">
        <v>48</v>
      </c>
      <c r="F550" s="2" t="s">
        <v>33</v>
      </c>
      <c r="G550" s="2" t="s">
        <v>60</v>
      </c>
      <c r="H550" s="2" t="s">
        <v>61</v>
      </c>
      <c r="I550" s="2" t="s">
        <v>62</v>
      </c>
      <c r="J550" s="2">
        <v>4</v>
      </c>
      <c r="K550" s="5">
        <v>0.08</v>
      </c>
      <c r="L550" s="6">
        <v>239200</v>
      </c>
      <c r="M550" s="6">
        <v>124000</v>
      </c>
      <c r="N550" s="6">
        <v>115200</v>
      </c>
      <c r="O550" s="2" t="s">
        <v>45</v>
      </c>
    </row>
    <row r="551" spans="1:15" x14ac:dyDescent="0.35">
      <c r="A551" s="2" t="s">
        <v>698</v>
      </c>
      <c r="B551" s="4">
        <v>46128</v>
      </c>
      <c r="C551" s="2" t="s">
        <v>30</v>
      </c>
      <c r="D551" s="2" t="s">
        <v>31</v>
      </c>
      <c r="E551" s="2" t="s">
        <v>81</v>
      </c>
      <c r="F551" s="2" t="s">
        <v>90</v>
      </c>
      <c r="G551" s="2" t="s">
        <v>66</v>
      </c>
      <c r="H551" s="2" t="s">
        <v>67</v>
      </c>
      <c r="I551" s="2" t="s">
        <v>498</v>
      </c>
      <c r="J551" s="2">
        <v>3</v>
      </c>
      <c r="K551" s="5">
        <v>0.1</v>
      </c>
      <c r="L551" s="6">
        <v>837000</v>
      </c>
      <c r="M551" s="6">
        <v>570000</v>
      </c>
      <c r="N551" s="6">
        <v>267000</v>
      </c>
      <c r="O551" s="2" t="s">
        <v>63</v>
      </c>
    </row>
    <row r="552" spans="1:15" x14ac:dyDescent="0.35">
      <c r="A552" s="2" t="s">
        <v>699</v>
      </c>
      <c r="B552" s="4">
        <v>46139</v>
      </c>
      <c r="C552" s="2" t="s">
        <v>95</v>
      </c>
      <c r="D552" s="2" t="s">
        <v>31</v>
      </c>
      <c r="E552" s="2" t="s">
        <v>41</v>
      </c>
      <c r="F552" s="2" t="s">
        <v>33</v>
      </c>
      <c r="G552" s="2" t="s">
        <v>71</v>
      </c>
      <c r="H552" s="2" t="s">
        <v>72</v>
      </c>
      <c r="I552" s="2" t="s">
        <v>73</v>
      </c>
      <c r="J552" s="2">
        <v>2</v>
      </c>
      <c r="K552" s="5">
        <v>0.03</v>
      </c>
      <c r="L552" s="6">
        <v>242500</v>
      </c>
      <c r="M552" s="6">
        <v>140000</v>
      </c>
      <c r="N552" s="6">
        <v>102500</v>
      </c>
      <c r="O552" s="2" t="s">
        <v>45</v>
      </c>
    </row>
    <row r="553" spans="1:15" x14ac:dyDescent="0.35">
      <c r="A553" s="2" t="s">
        <v>700</v>
      </c>
      <c r="B553" s="4">
        <v>46156</v>
      </c>
      <c r="C553" s="2" t="s">
        <v>95</v>
      </c>
      <c r="D553" s="2" t="s">
        <v>31</v>
      </c>
      <c r="E553" s="2" t="s">
        <v>48</v>
      </c>
      <c r="F553" s="2" t="s">
        <v>33</v>
      </c>
      <c r="G553" s="2" t="s">
        <v>78</v>
      </c>
      <c r="H553" s="2" t="s">
        <v>79</v>
      </c>
      <c r="I553" s="2" t="s">
        <v>62</v>
      </c>
      <c r="J553" s="2">
        <v>7</v>
      </c>
      <c r="K553" s="5">
        <v>0.03</v>
      </c>
      <c r="L553" s="6">
        <v>577150</v>
      </c>
      <c r="M553" s="6">
        <v>301000</v>
      </c>
      <c r="N553" s="6">
        <v>276150</v>
      </c>
      <c r="O553" s="2" t="s">
        <v>37</v>
      </c>
    </row>
    <row r="554" spans="1:15" x14ac:dyDescent="0.35">
      <c r="A554" s="2" t="s">
        <v>701</v>
      </c>
      <c r="B554" s="4">
        <v>46046</v>
      </c>
      <c r="C554" s="2" t="s">
        <v>65</v>
      </c>
      <c r="D554" s="2" t="s">
        <v>47</v>
      </c>
      <c r="E554" s="2" t="s">
        <v>154</v>
      </c>
      <c r="F554" s="2" t="s">
        <v>33</v>
      </c>
      <c r="G554" s="2" t="s">
        <v>82</v>
      </c>
      <c r="H554" s="2" t="s">
        <v>83</v>
      </c>
      <c r="I554" s="2" t="s">
        <v>44</v>
      </c>
      <c r="J554" s="2">
        <v>8</v>
      </c>
      <c r="K554" s="5">
        <v>0.15</v>
      </c>
      <c r="L554" s="6">
        <v>9860000</v>
      </c>
      <c r="M554" s="6">
        <v>7840000</v>
      </c>
      <c r="N554" s="6">
        <v>2020000</v>
      </c>
      <c r="O554" s="2" t="s">
        <v>93</v>
      </c>
    </row>
    <row r="555" spans="1:15" x14ac:dyDescent="0.35">
      <c r="A555" s="2" t="s">
        <v>702</v>
      </c>
      <c r="B555" s="4">
        <v>46117</v>
      </c>
      <c r="C555" s="2" t="s">
        <v>65</v>
      </c>
      <c r="D555" s="2" t="s">
        <v>31</v>
      </c>
      <c r="E555" s="2" t="s">
        <v>48</v>
      </c>
      <c r="F555" s="2" t="s">
        <v>33</v>
      </c>
      <c r="G555" s="2" t="s">
        <v>86</v>
      </c>
      <c r="H555" s="2" t="s">
        <v>87</v>
      </c>
      <c r="I555" s="2" t="s">
        <v>36</v>
      </c>
      <c r="J555" s="2">
        <v>1</v>
      </c>
      <c r="K555" s="5">
        <v>0.15</v>
      </c>
      <c r="L555" s="6">
        <v>297500</v>
      </c>
      <c r="M555" s="6">
        <v>210000</v>
      </c>
      <c r="N555" s="6">
        <v>87500</v>
      </c>
      <c r="O555" s="2" t="s">
        <v>63</v>
      </c>
    </row>
    <row r="556" spans="1:15" x14ac:dyDescent="0.35">
      <c r="A556" s="2" t="s">
        <v>703</v>
      </c>
      <c r="B556" s="4">
        <v>46173</v>
      </c>
      <c r="C556" s="2" t="s">
        <v>69</v>
      </c>
      <c r="D556" s="2" t="s">
        <v>59</v>
      </c>
      <c r="E556" s="2" t="s">
        <v>32</v>
      </c>
      <c r="F556" s="2" t="s">
        <v>33</v>
      </c>
      <c r="G556" s="2" t="s">
        <v>34</v>
      </c>
      <c r="H556" s="2" t="s">
        <v>35</v>
      </c>
      <c r="I556" s="2" t="s">
        <v>36</v>
      </c>
      <c r="J556" s="2">
        <v>2</v>
      </c>
      <c r="K556" s="5">
        <v>0.08</v>
      </c>
      <c r="L556" s="6">
        <v>874000</v>
      </c>
      <c r="M556" s="6">
        <v>570000</v>
      </c>
      <c r="N556" s="6">
        <v>304000</v>
      </c>
      <c r="O556" s="2" t="s">
        <v>57</v>
      </c>
    </row>
    <row r="557" spans="1:15" x14ac:dyDescent="0.35">
      <c r="A557" s="2" t="s">
        <v>704</v>
      </c>
      <c r="B557" s="4">
        <v>46176</v>
      </c>
      <c r="C557" s="2" t="s">
        <v>95</v>
      </c>
      <c r="D557" s="2" t="s">
        <v>40</v>
      </c>
      <c r="E557" s="2" t="s">
        <v>41</v>
      </c>
      <c r="F557" s="2" t="s">
        <v>33</v>
      </c>
      <c r="G557" s="2" t="s">
        <v>42</v>
      </c>
      <c r="H557" s="2" t="s">
        <v>43</v>
      </c>
      <c r="I557" s="2" t="s">
        <v>44</v>
      </c>
      <c r="J557" s="2">
        <v>7</v>
      </c>
      <c r="K557" s="5">
        <v>0.05</v>
      </c>
      <c r="L557" s="6">
        <v>1828750</v>
      </c>
      <c r="M557" s="6">
        <v>1085000</v>
      </c>
      <c r="N557" s="6">
        <v>743750</v>
      </c>
      <c r="O557" s="2" t="s">
        <v>93</v>
      </c>
    </row>
    <row r="558" spans="1:15" x14ac:dyDescent="0.35">
      <c r="A558" s="2" t="s">
        <v>705</v>
      </c>
      <c r="B558" s="4">
        <v>46190</v>
      </c>
      <c r="C558" s="2" t="s">
        <v>69</v>
      </c>
      <c r="D558" s="2" t="s">
        <v>59</v>
      </c>
      <c r="E558" s="2" t="s">
        <v>81</v>
      </c>
      <c r="F558" s="2" t="s">
        <v>90</v>
      </c>
      <c r="G558" s="2" t="s">
        <v>49</v>
      </c>
      <c r="H558" s="2" t="s">
        <v>50</v>
      </c>
      <c r="I558" s="2" t="s">
        <v>51</v>
      </c>
      <c r="J558" s="2">
        <v>4</v>
      </c>
      <c r="K558" s="5">
        <v>0.15</v>
      </c>
      <c r="L558" s="6">
        <v>833000</v>
      </c>
      <c r="M558" s="6">
        <v>580000</v>
      </c>
      <c r="N558" s="6">
        <v>253000</v>
      </c>
      <c r="O558" s="2" t="s">
        <v>84</v>
      </c>
    </row>
    <row r="559" spans="1:15" x14ac:dyDescent="0.35">
      <c r="A559" s="2" t="s">
        <v>706</v>
      </c>
      <c r="B559" s="4">
        <v>46132</v>
      </c>
      <c r="C559" s="2" t="s">
        <v>76</v>
      </c>
      <c r="D559" s="2" t="s">
        <v>59</v>
      </c>
      <c r="E559" s="2" t="s">
        <v>81</v>
      </c>
      <c r="F559" s="2" t="s">
        <v>177</v>
      </c>
      <c r="G559" s="2" t="s">
        <v>55</v>
      </c>
      <c r="H559" s="2" t="s">
        <v>56</v>
      </c>
      <c r="I559" s="2" t="s">
        <v>36</v>
      </c>
      <c r="J559" s="2">
        <v>5</v>
      </c>
      <c r="K559" s="5">
        <v>0.05</v>
      </c>
      <c r="L559" s="6">
        <v>8787500</v>
      </c>
      <c r="M559" s="6">
        <v>6600000</v>
      </c>
      <c r="N559" s="6">
        <v>2187500</v>
      </c>
      <c r="O559" s="2" t="s">
        <v>93</v>
      </c>
    </row>
    <row r="560" spans="1:15" x14ac:dyDescent="0.35">
      <c r="A560" s="2" t="s">
        <v>707</v>
      </c>
      <c r="B560" s="4">
        <v>46075</v>
      </c>
      <c r="C560" s="2" t="s">
        <v>54</v>
      </c>
      <c r="D560" s="2" t="s">
        <v>59</v>
      </c>
      <c r="E560" s="2" t="s">
        <v>32</v>
      </c>
      <c r="F560" s="2" t="s">
        <v>90</v>
      </c>
      <c r="G560" s="2" t="s">
        <v>60</v>
      </c>
      <c r="H560" s="2" t="s">
        <v>61</v>
      </c>
      <c r="I560" s="2" t="s">
        <v>62</v>
      </c>
      <c r="J560" s="2">
        <v>7</v>
      </c>
      <c r="K560" s="5">
        <v>0.1</v>
      </c>
      <c r="L560" s="6">
        <v>409500</v>
      </c>
      <c r="M560" s="6">
        <v>217000</v>
      </c>
      <c r="N560" s="6">
        <v>192500</v>
      </c>
      <c r="O560" s="2" t="s">
        <v>52</v>
      </c>
    </row>
    <row r="561" spans="1:15" x14ac:dyDescent="0.35">
      <c r="A561" s="2" t="s">
        <v>708</v>
      </c>
      <c r="B561" s="4">
        <v>46087</v>
      </c>
      <c r="C561" s="2" t="s">
        <v>69</v>
      </c>
      <c r="D561" s="2" t="s">
        <v>59</v>
      </c>
      <c r="E561" s="2" t="s">
        <v>32</v>
      </c>
      <c r="F561" s="2" t="s">
        <v>33</v>
      </c>
      <c r="G561" s="2" t="s">
        <v>66</v>
      </c>
      <c r="H561" s="2" t="s">
        <v>67</v>
      </c>
      <c r="I561" s="2" t="s">
        <v>181</v>
      </c>
      <c r="J561" s="2">
        <v>5</v>
      </c>
      <c r="K561" s="5">
        <v>0.1</v>
      </c>
      <c r="L561" s="6">
        <v>1395000</v>
      </c>
      <c r="M561" s="6">
        <v>950000</v>
      </c>
      <c r="N561" s="6">
        <v>445000</v>
      </c>
      <c r="O561" s="2" t="s">
        <v>45</v>
      </c>
    </row>
    <row r="562" spans="1:15" x14ac:dyDescent="0.35">
      <c r="A562" s="2" t="s">
        <v>709</v>
      </c>
      <c r="B562" s="4">
        <v>46137</v>
      </c>
      <c r="C562" s="2" t="s">
        <v>95</v>
      </c>
      <c r="D562" s="2" t="s">
        <v>59</v>
      </c>
      <c r="E562" s="2" t="s">
        <v>81</v>
      </c>
      <c r="F562" s="2" t="s">
        <v>33</v>
      </c>
      <c r="G562" s="2" t="s">
        <v>71</v>
      </c>
      <c r="H562" s="2" t="s">
        <v>72</v>
      </c>
      <c r="I562" s="2" t="s">
        <v>73</v>
      </c>
      <c r="J562" s="2">
        <v>3</v>
      </c>
      <c r="K562" s="5">
        <v>0</v>
      </c>
      <c r="L562" s="6">
        <v>375000</v>
      </c>
      <c r="M562" s="6">
        <v>210000</v>
      </c>
      <c r="N562" s="6">
        <v>165000</v>
      </c>
      <c r="O562" s="2" t="s">
        <v>84</v>
      </c>
    </row>
    <row r="563" spans="1:15" x14ac:dyDescent="0.35">
      <c r="A563" s="2" t="s">
        <v>710</v>
      </c>
      <c r="B563" s="4">
        <v>46122</v>
      </c>
      <c r="C563" s="2" t="s">
        <v>69</v>
      </c>
      <c r="D563" s="2" t="s">
        <v>59</v>
      </c>
      <c r="E563" s="2" t="s">
        <v>48</v>
      </c>
      <c r="F563" s="2" t="s">
        <v>90</v>
      </c>
      <c r="G563" s="2" t="s">
        <v>78</v>
      </c>
      <c r="H563" s="2" t="s">
        <v>79</v>
      </c>
      <c r="I563" s="2" t="s">
        <v>62</v>
      </c>
      <c r="J563" s="2">
        <v>1</v>
      </c>
      <c r="K563" s="5">
        <v>0</v>
      </c>
      <c r="L563" s="6">
        <v>85000</v>
      </c>
      <c r="M563" s="6">
        <v>43000</v>
      </c>
      <c r="N563" s="6">
        <v>42000</v>
      </c>
      <c r="O563" s="2" t="s">
        <v>37</v>
      </c>
    </row>
    <row r="564" spans="1:15" x14ac:dyDescent="0.35">
      <c r="A564" s="2" t="s">
        <v>711</v>
      </c>
      <c r="B564" s="4">
        <v>46090</v>
      </c>
      <c r="C564" s="2" t="s">
        <v>65</v>
      </c>
      <c r="D564" s="2" t="s">
        <v>40</v>
      </c>
      <c r="E564" s="2" t="s">
        <v>381</v>
      </c>
      <c r="F564" s="2" t="s">
        <v>33</v>
      </c>
      <c r="G564" s="2" t="s">
        <v>82</v>
      </c>
      <c r="H564" s="2" t="s">
        <v>83</v>
      </c>
      <c r="I564" s="2" t="s">
        <v>44</v>
      </c>
      <c r="J564" s="2">
        <v>4</v>
      </c>
      <c r="K564" s="5">
        <v>0.05</v>
      </c>
      <c r="L564" s="6">
        <v>5510000</v>
      </c>
      <c r="M564" s="6">
        <v>3920000</v>
      </c>
      <c r="N564" s="6">
        <v>1590000</v>
      </c>
      <c r="O564" s="2" t="s">
        <v>57</v>
      </c>
    </row>
    <row r="565" spans="1:15" x14ac:dyDescent="0.35">
      <c r="A565" s="2" t="s">
        <v>712</v>
      </c>
      <c r="B565" s="4">
        <v>46175</v>
      </c>
      <c r="C565" s="2" t="s">
        <v>39</v>
      </c>
      <c r="D565" s="2" t="s">
        <v>59</v>
      </c>
      <c r="E565" s="2" t="s">
        <v>41</v>
      </c>
      <c r="F565" s="2" t="s">
        <v>33</v>
      </c>
      <c r="G565" s="2" t="s">
        <v>86</v>
      </c>
      <c r="H565" s="2" t="s">
        <v>87</v>
      </c>
      <c r="I565" s="2" t="s">
        <v>36</v>
      </c>
      <c r="J565" s="2">
        <v>1</v>
      </c>
      <c r="K565" s="5">
        <v>0.03</v>
      </c>
      <c r="L565" s="6">
        <v>339500</v>
      </c>
      <c r="M565" s="6">
        <v>210000</v>
      </c>
      <c r="N565" s="6">
        <v>129500</v>
      </c>
      <c r="O565" s="2" t="s">
        <v>57</v>
      </c>
    </row>
    <row r="566" spans="1:15" x14ac:dyDescent="0.35">
      <c r="A566" s="2" t="s">
        <v>713</v>
      </c>
      <c r="B566" s="4">
        <v>46072</v>
      </c>
      <c r="C566" s="2" t="s">
        <v>95</v>
      </c>
      <c r="D566" s="2" t="s">
        <v>31</v>
      </c>
      <c r="E566" s="2" t="s">
        <v>32</v>
      </c>
      <c r="F566" s="2" t="s">
        <v>33</v>
      </c>
      <c r="G566" s="2" t="s">
        <v>34</v>
      </c>
      <c r="H566" s="2" t="s">
        <v>35</v>
      </c>
      <c r="I566" s="2" t="s">
        <v>36</v>
      </c>
      <c r="J566" s="2">
        <v>1</v>
      </c>
      <c r="K566" s="5">
        <v>0.1</v>
      </c>
      <c r="L566" s="6">
        <v>427500</v>
      </c>
      <c r="M566" s="6">
        <v>285000</v>
      </c>
      <c r="N566" s="6">
        <v>142500</v>
      </c>
      <c r="O566" s="2" t="s">
        <v>63</v>
      </c>
    </row>
    <row r="567" spans="1:15" x14ac:dyDescent="0.35">
      <c r="A567" s="2" t="s">
        <v>714</v>
      </c>
      <c r="B567" s="4">
        <v>46084</v>
      </c>
      <c r="C567" s="2" t="s">
        <v>54</v>
      </c>
      <c r="D567" s="2" t="s">
        <v>70</v>
      </c>
      <c r="E567" s="2" t="s">
        <v>48</v>
      </c>
      <c r="F567" s="2" t="s">
        <v>33</v>
      </c>
      <c r="G567" s="2" t="s">
        <v>42</v>
      </c>
      <c r="H567" s="2" t="s">
        <v>43</v>
      </c>
      <c r="I567" s="2" t="s">
        <v>44</v>
      </c>
      <c r="J567" s="2">
        <v>1</v>
      </c>
      <c r="K567" s="5">
        <v>0.03</v>
      </c>
      <c r="L567" s="6">
        <v>266750</v>
      </c>
      <c r="M567" s="6">
        <v>155000</v>
      </c>
      <c r="N567" s="6">
        <v>111750</v>
      </c>
      <c r="O567" s="2" t="s">
        <v>93</v>
      </c>
    </row>
    <row r="568" spans="1:15" x14ac:dyDescent="0.35">
      <c r="A568" s="2" t="s">
        <v>715</v>
      </c>
      <c r="B568" s="4">
        <v>46126</v>
      </c>
      <c r="C568" s="2" t="s">
        <v>76</v>
      </c>
      <c r="D568" s="2" t="s">
        <v>40</v>
      </c>
      <c r="E568" s="2" t="s">
        <v>41</v>
      </c>
      <c r="F568" s="2" t="s">
        <v>33</v>
      </c>
      <c r="G568" s="2" t="s">
        <v>49</v>
      </c>
      <c r="H568" s="2" t="s">
        <v>50</v>
      </c>
      <c r="I568" s="2" t="s">
        <v>51</v>
      </c>
      <c r="J568" s="2">
        <v>4</v>
      </c>
      <c r="K568" s="5">
        <v>0.1</v>
      </c>
      <c r="L568" s="6">
        <v>882000</v>
      </c>
      <c r="M568" s="6">
        <v>580000</v>
      </c>
      <c r="N568" s="6">
        <v>302000</v>
      </c>
      <c r="O568" s="2" t="s">
        <v>63</v>
      </c>
    </row>
    <row r="569" spans="1:15" x14ac:dyDescent="0.35">
      <c r="A569" s="2" t="s">
        <v>716</v>
      </c>
      <c r="B569" s="2" t="s">
        <v>717</v>
      </c>
      <c r="C569" s="2" t="s">
        <v>65</v>
      </c>
      <c r="D569" s="2" t="s">
        <v>31</v>
      </c>
      <c r="E569" s="2" t="s">
        <v>48</v>
      </c>
      <c r="F569" s="2" t="s">
        <v>33</v>
      </c>
      <c r="G569" s="2" t="s">
        <v>55</v>
      </c>
      <c r="H569" s="2" t="s">
        <v>56</v>
      </c>
      <c r="I569" s="2" t="s">
        <v>36</v>
      </c>
      <c r="J569" s="2">
        <v>5</v>
      </c>
      <c r="K569" s="5">
        <v>0.03</v>
      </c>
      <c r="L569" s="6">
        <v>8972500</v>
      </c>
      <c r="M569" s="6">
        <v>6600000</v>
      </c>
      <c r="N569" s="6">
        <v>2372500</v>
      </c>
      <c r="O569" s="2" t="s">
        <v>74</v>
      </c>
    </row>
    <row r="570" spans="1:15" x14ac:dyDescent="0.35">
      <c r="A570" s="2" t="s">
        <v>718</v>
      </c>
      <c r="B570" s="4">
        <v>46089</v>
      </c>
      <c r="C570" s="2" t="s">
        <v>76</v>
      </c>
      <c r="D570" s="2" t="s">
        <v>47</v>
      </c>
      <c r="E570" s="2" t="s">
        <v>41</v>
      </c>
      <c r="F570" s="2" t="s">
        <v>33</v>
      </c>
      <c r="G570" s="2" t="s">
        <v>60</v>
      </c>
      <c r="H570" s="2" t="s">
        <v>61</v>
      </c>
      <c r="I570" s="2" t="s">
        <v>62</v>
      </c>
      <c r="J570" s="2">
        <v>3</v>
      </c>
      <c r="K570" s="5">
        <v>0.08</v>
      </c>
      <c r="L570" s="6">
        <v>179400</v>
      </c>
      <c r="M570" s="6">
        <v>93000</v>
      </c>
      <c r="N570" s="6">
        <v>86400</v>
      </c>
      <c r="O570" s="2" t="s">
        <v>63</v>
      </c>
    </row>
    <row r="571" spans="1:15" x14ac:dyDescent="0.35">
      <c r="A571" s="2" t="s">
        <v>719</v>
      </c>
      <c r="B571" s="4">
        <v>46052</v>
      </c>
      <c r="C571" s="2" t="s">
        <v>111</v>
      </c>
      <c r="D571" s="2" t="s">
        <v>47</v>
      </c>
      <c r="E571" s="2" t="s">
        <v>81</v>
      </c>
      <c r="F571" s="2" t="s">
        <v>90</v>
      </c>
      <c r="G571" s="2" t="s">
        <v>66</v>
      </c>
      <c r="H571" s="2" t="s">
        <v>67</v>
      </c>
      <c r="I571" s="2" t="s">
        <v>51</v>
      </c>
      <c r="J571" s="2">
        <v>5</v>
      </c>
      <c r="K571" s="5">
        <v>0.1</v>
      </c>
      <c r="L571" s="6">
        <v>1395000</v>
      </c>
      <c r="M571" s="6">
        <v>950000</v>
      </c>
      <c r="N571" s="6">
        <v>445000</v>
      </c>
      <c r="O571" s="2" t="s">
        <v>93</v>
      </c>
    </row>
    <row r="572" spans="1:15" x14ac:dyDescent="0.35">
      <c r="A572" s="2" t="s">
        <v>720</v>
      </c>
      <c r="B572" s="4">
        <v>46167</v>
      </c>
      <c r="C572" s="2" t="s">
        <v>95</v>
      </c>
      <c r="D572" s="2" t="s">
        <v>59</v>
      </c>
      <c r="E572" s="2" t="s">
        <v>48</v>
      </c>
      <c r="F572" s="2" t="s">
        <v>33</v>
      </c>
      <c r="G572" s="2" t="s">
        <v>71</v>
      </c>
      <c r="H572" s="2" t="s">
        <v>72</v>
      </c>
      <c r="I572" s="2" t="s">
        <v>73</v>
      </c>
      <c r="J572" s="2">
        <v>8</v>
      </c>
      <c r="K572" s="5">
        <v>0.03</v>
      </c>
      <c r="L572" s="6">
        <v>970000</v>
      </c>
      <c r="M572" s="6">
        <v>560000</v>
      </c>
      <c r="N572" s="6">
        <v>410000</v>
      </c>
      <c r="O572" s="2" t="s">
        <v>52</v>
      </c>
    </row>
    <row r="573" spans="1:15" x14ac:dyDescent="0.35">
      <c r="A573" s="2" t="s">
        <v>721</v>
      </c>
      <c r="B573" s="4">
        <v>46052</v>
      </c>
      <c r="C573" s="2" t="s">
        <v>54</v>
      </c>
      <c r="D573" s="2" t="s">
        <v>31</v>
      </c>
      <c r="E573" s="2" t="s">
        <v>32</v>
      </c>
      <c r="F573" s="2" t="s">
        <v>33</v>
      </c>
      <c r="G573" s="2" t="s">
        <v>722</v>
      </c>
      <c r="H573" s="2" t="s">
        <v>79</v>
      </c>
      <c r="I573" s="2" t="s">
        <v>62</v>
      </c>
      <c r="J573" s="2">
        <v>5</v>
      </c>
      <c r="K573" s="5">
        <v>0</v>
      </c>
      <c r="L573" s="6">
        <v>425000</v>
      </c>
      <c r="M573" s="6">
        <v>215000</v>
      </c>
      <c r="N573" s="6">
        <v>210000</v>
      </c>
      <c r="O573" s="2" t="s">
        <v>93</v>
      </c>
    </row>
    <row r="574" spans="1:15" x14ac:dyDescent="0.35">
      <c r="A574" s="2" t="s">
        <v>723</v>
      </c>
      <c r="B574" s="4">
        <v>46113</v>
      </c>
      <c r="C574" s="2" t="s">
        <v>69</v>
      </c>
      <c r="D574" s="2" t="s">
        <v>31</v>
      </c>
      <c r="E574" s="2" t="s">
        <v>81</v>
      </c>
      <c r="F574" s="2" t="s">
        <v>90</v>
      </c>
      <c r="G574" s="2" t="s">
        <v>82</v>
      </c>
      <c r="H574" s="2" t="s">
        <v>83</v>
      </c>
      <c r="I574" s="2" t="s">
        <v>44</v>
      </c>
      <c r="J574" s="2">
        <v>1</v>
      </c>
      <c r="K574" s="5">
        <v>0.15</v>
      </c>
      <c r="L574" s="6">
        <v>1232500</v>
      </c>
      <c r="M574" s="6">
        <v>980000</v>
      </c>
      <c r="N574" s="6">
        <v>252500</v>
      </c>
      <c r="O574" s="2" t="s">
        <v>93</v>
      </c>
    </row>
    <row r="575" spans="1:15" x14ac:dyDescent="0.35">
      <c r="A575" s="2" t="s">
        <v>724</v>
      </c>
      <c r="B575" s="4">
        <v>46195</v>
      </c>
      <c r="C575" s="2" t="s">
        <v>54</v>
      </c>
      <c r="D575" s="2" t="s">
        <v>31</v>
      </c>
      <c r="E575" s="2" t="s">
        <v>48</v>
      </c>
      <c r="F575" s="2" t="s">
        <v>33</v>
      </c>
      <c r="G575" s="2" t="s">
        <v>86</v>
      </c>
      <c r="H575" s="2" t="s">
        <v>87</v>
      </c>
      <c r="I575" s="2" t="s">
        <v>36</v>
      </c>
      <c r="J575" s="2">
        <v>6</v>
      </c>
      <c r="K575" s="5">
        <v>0</v>
      </c>
      <c r="L575" s="6">
        <v>2100000</v>
      </c>
      <c r="M575" s="6">
        <v>1260000</v>
      </c>
      <c r="N575" s="6">
        <v>840000</v>
      </c>
      <c r="O575" s="2" t="s">
        <v>63</v>
      </c>
    </row>
    <row r="576" spans="1:15" x14ac:dyDescent="0.35">
      <c r="A576" s="2" t="s">
        <v>725</v>
      </c>
      <c r="B576" s="4">
        <v>46078</v>
      </c>
      <c r="C576" s="2" t="s">
        <v>39</v>
      </c>
      <c r="D576" s="2" t="s">
        <v>31</v>
      </c>
      <c r="E576" s="2" t="s">
        <v>48</v>
      </c>
      <c r="F576" s="2" t="s">
        <v>112</v>
      </c>
      <c r="G576" s="2" t="s">
        <v>34</v>
      </c>
      <c r="H576" s="2" t="s">
        <v>35</v>
      </c>
      <c r="I576" s="2" t="s">
        <v>36</v>
      </c>
      <c r="J576" s="2">
        <v>5</v>
      </c>
      <c r="K576" s="5">
        <v>0.03</v>
      </c>
      <c r="L576" s="6">
        <v>1151875</v>
      </c>
      <c r="M576" s="6">
        <v>1425000</v>
      </c>
      <c r="N576" s="6">
        <v>-273125</v>
      </c>
      <c r="O576" s="2" t="s">
        <v>45</v>
      </c>
    </row>
    <row r="577" spans="1:15" x14ac:dyDescent="0.35">
      <c r="A577" s="2" t="s">
        <v>726</v>
      </c>
      <c r="B577" s="4">
        <v>46084</v>
      </c>
      <c r="C577" s="2" t="s">
        <v>30</v>
      </c>
      <c r="D577" s="2" t="s">
        <v>325</v>
      </c>
      <c r="E577" s="2" t="s">
        <v>81</v>
      </c>
      <c r="F577" s="2" t="s">
        <v>33</v>
      </c>
      <c r="G577" s="2" t="s">
        <v>42</v>
      </c>
      <c r="H577" s="2" t="s">
        <v>43</v>
      </c>
      <c r="I577" s="2" t="s">
        <v>44</v>
      </c>
      <c r="J577" s="2">
        <v>5</v>
      </c>
      <c r="K577" s="5">
        <v>0.03</v>
      </c>
      <c r="L577" s="6">
        <v>1333750</v>
      </c>
      <c r="M577" s="6">
        <v>775000</v>
      </c>
      <c r="N577" s="6">
        <v>558750</v>
      </c>
      <c r="O577" s="2" t="s">
        <v>37</v>
      </c>
    </row>
    <row r="578" spans="1:15" x14ac:dyDescent="0.35">
      <c r="A578" s="2" t="s">
        <v>727</v>
      </c>
      <c r="B578" s="4">
        <v>46053</v>
      </c>
      <c r="C578" s="2" t="s">
        <v>95</v>
      </c>
      <c r="D578" s="2" t="s">
        <v>47</v>
      </c>
      <c r="E578" s="2" t="s">
        <v>41</v>
      </c>
      <c r="F578" s="2" t="s">
        <v>112</v>
      </c>
      <c r="G578" s="2" t="s">
        <v>49</v>
      </c>
      <c r="H578" s="2" t="s">
        <v>50</v>
      </c>
      <c r="I578" s="2" t="s">
        <v>51</v>
      </c>
      <c r="J578" s="2">
        <v>2</v>
      </c>
      <c r="K578" s="5">
        <v>0.15</v>
      </c>
      <c r="L578" s="6">
        <v>104125</v>
      </c>
      <c r="M578" s="6">
        <v>290000</v>
      </c>
      <c r="N578" s="6">
        <v>-185875</v>
      </c>
      <c r="O578" s="2" t="s">
        <v>52</v>
      </c>
    </row>
    <row r="579" spans="1:15" x14ac:dyDescent="0.35">
      <c r="A579" s="2" t="s">
        <v>728</v>
      </c>
      <c r="B579" s="4">
        <v>46118</v>
      </c>
      <c r="C579" s="2" t="s">
        <v>30</v>
      </c>
      <c r="D579" s="2" t="s">
        <v>70</v>
      </c>
      <c r="E579" s="2" t="s">
        <v>48</v>
      </c>
      <c r="F579" s="2" t="s">
        <v>112</v>
      </c>
      <c r="G579" s="2" t="s">
        <v>55</v>
      </c>
      <c r="H579" s="2" t="s">
        <v>56</v>
      </c>
      <c r="I579" s="2" t="s">
        <v>36</v>
      </c>
      <c r="J579" s="2">
        <v>6</v>
      </c>
      <c r="K579" s="5">
        <v>0.08</v>
      </c>
      <c r="L579" s="6" t="s">
        <v>729</v>
      </c>
      <c r="M579" s="6">
        <v>7920000</v>
      </c>
      <c r="N579" s="6">
        <v>-2814000</v>
      </c>
      <c r="O579" s="2" t="s">
        <v>57</v>
      </c>
    </row>
    <row r="580" spans="1:15" x14ac:dyDescent="0.35">
      <c r="A580" s="2" t="s">
        <v>730</v>
      </c>
      <c r="B580" s="4">
        <v>46124</v>
      </c>
      <c r="C580" s="2" t="s">
        <v>111</v>
      </c>
      <c r="D580" s="2" t="s">
        <v>47</v>
      </c>
      <c r="E580" s="2" t="s">
        <v>48</v>
      </c>
      <c r="F580" s="2" t="s">
        <v>33</v>
      </c>
      <c r="G580" s="2" t="s">
        <v>60</v>
      </c>
      <c r="H580" s="2" t="s">
        <v>61</v>
      </c>
      <c r="I580" s="2" t="s">
        <v>62</v>
      </c>
      <c r="J580" s="2">
        <v>4</v>
      </c>
      <c r="K580" s="5">
        <v>0.1</v>
      </c>
      <c r="L580" s="6">
        <v>234000</v>
      </c>
      <c r="M580" s="6">
        <v>124000</v>
      </c>
      <c r="N580" s="6">
        <v>110000</v>
      </c>
      <c r="O580" s="2" t="s">
        <v>74</v>
      </c>
    </row>
    <row r="581" spans="1:15" x14ac:dyDescent="0.35">
      <c r="A581" s="2" t="s">
        <v>731</v>
      </c>
      <c r="B581" s="4">
        <v>46151</v>
      </c>
      <c r="C581" s="2" t="s">
        <v>69</v>
      </c>
      <c r="D581" s="2" t="s">
        <v>31</v>
      </c>
      <c r="E581" s="2" t="s">
        <v>48</v>
      </c>
      <c r="F581" s="2" t="s">
        <v>90</v>
      </c>
      <c r="G581" s="2" t="s">
        <v>66</v>
      </c>
      <c r="H581" s="2" t="s">
        <v>67</v>
      </c>
      <c r="I581" s="2" t="s">
        <v>51</v>
      </c>
      <c r="J581" s="2">
        <v>6</v>
      </c>
      <c r="K581" s="5">
        <v>0.08</v>
      </c>
      <c r="L581" s="6">
        <v>1711200</v>
      </c>
      <c r="M581" s="6">
        <v>1140000</v>
      </c>
      <c r="N581" s="6">
        <v>571200</v>
      </c>
      <c r="O581" s="2" t="s">
        <v>52</v>
      </c>
    </row>
    <row r="582" spans="1:15" x14ac:dyDescent="0.35">
      <c r="A582" s="2" t="s">
        <v>732</v>
      </c>
      <c r="B582" s="4">
        <v>46103</v>
      </c>
      <c r="C582" s="2" t="s">
        <v>54</v>
      </c>
      <c r="D582" s="2" t="s">
        <v>59</v>
      </c>
      <c r="E582" s="2" t="s">
        <v>41</v>
      </c>
      <c r="F582" s="2" t="s">
        <v>33</v>
      </c>
      <c r="G582" s="2" t="s">
        <v>71</v>
      </c>
      <c r="H582" s="2" t="s">
        <v>72</v>
      </c>
      <c r="I582" s="2" t="s">
        <v>73</v>
      </c>
      <c r="J582" s="2">
        <v>1</v>
      </c>
      <c r="K582" s="5">
        <v>0</v>
      </c>
      <c r="L582" s="6">
        <v>125000</v>
      </c>
      <c r="M582" s="6">
        <v>70000</v>
      </c>
      <c r="N582" s="6">
        <v>55000</v>
      </c>
      <c r="O582" s="2" t="s">
        <v>63</v>
      </c>
    </row>
    <row r="583" spans="1:15" x14ac:dyDescent="0.35">
      <c r="A583" s="2" t="s">
        <v>733</v>
      </c>
      <c r="B583" s="4">
        <v>46179</v>
      </c>
      <c r="C583" s="2" t="s">
        <v>111</v>
      </c>
      <c r="D583" s="2" t="s">
        <v>31</v>
      </c>
      <c r="E583" s="2" t="s">
        <v>81</v>
      </c>
      <c r="F583" s="2" t="s">
        <v>33</v>
      </c>
      <c r="G583" s="2" t="s">
        <v>78</v>
      </c>
      <c r="H583" s="2" t="s">
        <v>79</v>
      </c>
      <c r="I583" s="2" t="s">
        <v>62</v>
      </c>
      <c r="J583" s="2">
        <v>5</v>
      </c>
      <c r="K583" s="5">
        <v>0.03</v>
      </c>
      <c r="L583" s="6">
        <v>412250</v>
      </c>
      <c r="M583" s="6">
        <v>215000</v>
      </c>
      <c r="N583" s="6">
        <v>197250</v>
      </c>
      <c r="O583" s="2" t="s">
        <v>63</v>
      </c>
    </row>
    <row r="584" spans="1:15" x14ac:dyDescent="0.35">
      <c r="A584" s="2" t="s">
        <v>734</v>
      </c>
      <c r="B584" s="4">
        <v>46116</v>
      </c>
      <c r="C584" s="2" t="s">
        <v>54</v>
      </c>
      <c r="D584" s="2" t="s">
        <v>59</v>
      </c>
      <c r="E584" s="2" t="s">
        <v>81</v>
      </c>
      <c r="F584" s="2" t="s">
        <v>33</v>
      </c>
      <c r="G584" s="2" t="s">
        <v>82</v>
      </c>
      <c r="H584" s="2" t="s">
        <v>83</v>
      </c>
      <c r="I584" s="2" t="s">
        <v>44</v>
      </c>
      <c r="J584" s="2">
        <v>3</v>
      </c>
      <c r="K584" s="5">
        <v>0.08</v>
      </c>
      <c r="L584" s="6">
        <v>4002000</v>
      </c>
      <c r="M584" s="6">
        <v>2940000</v>
      </c>
      <c r="N584" s="6">
        <v>1062000</v>
      </c>
      <c r="O584" s="2" t="s">
        <v>93</v>
      </c>
    </row>
    <row r="585" spans="1:15" x14ac:dyDescent="0.35">
      <c r="A585" s="2" t="s">
        <v>735</v>
      </c>
      <c r="B585" s="4">
        <v>46094</v>
      </c>
      <c r="C585" s="2" t="s">
        <v>69</v>
      </c>
      <c r="D585" s="2" t="s">
        <v>47</v>
      </c>
      <c r="E585" s="2" t="s">
        <v>32</v>
      </c>
      <c r="F585" s="2" t="s">
        <v>33</v>
      </c>
      <c r="G585" s="2" t="s">
        <v>86</v>
      </c>
      <c r="H585" s="2" t="s">
        <v>87</v>
      </c>
      <c r="I585" s="2" t="s">
        <v>36</v>
      </c>
      <c r="J585" s="2">
        <v>8</v>
      </c>
      <c r="K585" s="5">
        <v>0.03</v>
      </c>
      <c r="L585" s="6">
        <v>2716000</v>
      </c>
      <c r="M585" s="6">
        <v>1680000</v>
      </c>
      <c r="N585" s="6">
        <v>1036000</v>
      </c>
      <c r="O585" s="2" t="s">
        <v>57</v>
      </c>
    </row>
    <row r="586" spans="1:15" x14ac:dyDescent="0.35">
      <c r="A586" s="2" t="s">
        <v>736</v>
      </c>
      <c r="B586" s="2"/>
      <c r="C586" s="2" t="s">
        <v>95</v>
      </c>
      <c r="D586" s="2" t="s">
        <v>31</v>
      </c>
      <c r="E586" s="2" t="s">
        <v>48</v>
      </c>
      <c r="F586" s="2" t="s">
        <v>33</v>
      </c>
      <c r="G586" s="2" t="s">
        <v>34</v>
      </c>
      <c r="H586" s="2" t="s">
        <v>35</v>
      </c>
      <c r="I586" s="2" t="s">
        <v>36</v>
      </c>
      <c r="J586" s="2">
        <v>7</v>
      </c>
      <c r="K586" s="5">
        <v>0.08</v>
      </c>
      <c r="L586" s="6">
        <v>3059000</v>
      </c>
      <c r="M586" s="6">
        <v>1995000</v>
      </c>
      <c r="N586" s="6">
        <v>1064000</v>
      </c>
      <c r="O586" s="2" t="s">
        <v>84</v>
      </c>
    </row>
    <row r="587" spans="1:15" x14ac:dyDescent="0.35">
      <c r="A587" s="2" t="s">
        <v>737</v>
      </c>
      <c r="B587" s="4">
        <v>46130</v>
      </c>
      <c r="C587" s="2" t="s">
        <v>111</v>
      </c>
      <c r="D587" s="2" t="s">
        <v>47</v>
      </c>
      <c r="E587" s="2" t="s">
        <v>81</v>
      </c>
      <c r="F587" s="2" t="s">
        <v>77</v>
      </c>
      <c r="G587" s="2" t="s">
        <v>42</v>
      </c>
      <c r="H587" s="2" t="s">
        <v>43</v>
      </c>
      <c r="I587" s="2" t="s">
        <v>44</v>
      </c>
      <c r="J587" s="2">
        <v>8</v>
      </c>
      <c r="K587" s="5">
        <v>0.03</v>
      </c>
      <c r="L587" s="6">
        <v>1067000</v>
      </c>
      <c r="M587" s="6">
        <v>1240000</v>
      </c>
      <c r="N587" s="6">
        <v>-173000</v>
      </c>
      <c r="O587" s="2" t="s">
        <v>57</v>
      </c>
    </row>
    <row r="588" spans="1:15" x14ac:dyDescent="0.35">
      <c r="A588" s="2" t="s">
        <v>738</v>
      </c>
      <c r="B588" s="4">
        <v>46087</v>
      </c>
      <c r="C588" s="2" t="s">
        <v>39</v>
      </c>
      <c r="D588" s="2" t="s">
        <v>31</v>
      </c>
      <c r="E588" s="2" t="s">
        <v>41</v>
      </c>
      <c r="F588" s="2" t="s">
        <v>33</v>
      </c>
      <c r="G588" s="2" t="s">
        <v>49</v>
      </c>
      <c r="H588" s="2" t="s">
        <v>50</v>
      </c>
      <c r="I588" s="2" t="s">
        <v>51</v>
      </c>
      <c r="J588" s="2">
        <v>1</v>
      </c>
      <c r="K588" s="5">
        <v>0.08</v>
      </c>
      <c r="L588" s="6">
        <v>225400</v>
      </c>
      <c r="M588" s="6">
        <v>145000</v>
      </c>
      <c r="N588" s="6">
        <v>80400</v>
      </c>
      <c r="O588" s="2" t="s">
        <v>57</v>
      </c>
    </row>
    <row r="589" spans="1:15" x14ac:dyDescent="0.35">
      <c r="A589" s="2" t="s">
        <v>739</v>
      </c>
      <c r="B589" s="4">
        <v>46144</v>
      </c>
      <c r="C589" s="2" t="s">
        <v>54</v>
      </c>
      <c r="D589" s="2" t="s">
        <v>70</v>
      </c>
      <c r="E589" s="2" t="s">
        <v>81</v>
      </c>
      <c r="F589" s="2" t="s">
        <v>33</v>
      </c>
      <c r="G589" s="2" t="s">
        <v>55</v>
      </c>
      <c r="H589" s="2" t="s">
        <v>56</v>
      </c>
      <c r="I589" s="2" t="s">
        <v>36</v>
      </c>
      <c r="J589" s="2">
        <v>2</v>
      </c>
      <c r="K589" s="5">
        <v>0.08</v>
      </c>
      <c r="L589" s="6">
        <v>3404000</v>
      </c>
      <c r="M589" s="6">
        <v>2640000</v>
      </c>
      <c r="N589" s="6">
        <v>764000</v>
      </c>
      <c r="O589" s="2" t="s">
        <v>57</v>
      </c>
    </row>
    <row r="590" spans="1:15" x14ac:dyDescent="0.35">
      <c r="A590" s="2" t="s">
        <v>740</v>
      </c>
      <c r="B590" s="4">
        <v>46111</v>
      </c>
      <c r="C590" s="2" t="s">
        <v>30</v>
      </c>
      <c r="D590" s="2" t="s">
        <v>47</v>
      </c>
      <c r="E590" s="2" t="s">
        <v>32</v>
      </c>
      <c r="F590" s="2" t="s">
        <v>33</v>
      </c>
      <c r="G590" s="2" t="s">
        <v>60</v>
      </c>
      <c r="H590" s="2" t="s">
        <v>61</v>
      </c>
      <c r="I590" s="2" t="s">
        <v>62</v>
      </c>
      <c r="J590" s="2">
        <v>1</v>
      </c>
      <c r="K590" s="5">
        <v>0.08</v>
      </c>
      <c r="L590" s="6">
        <v>59800</v>
      </c>
      <c r="M590" s="6">
        <v>31000</v>
      </c>
      <c r="N590" s="6">
        <v>28800</v>
      </c>
      <c r="O590" s="2" t="s">
        <v>57</v>
      </c>
    </row>
    <row r="591" spans="1:15" x14ac:dyDescent="0.35">
      <c r="A591" s="2" t="s">
        <v>741</v>
      </c>
      <c r="B591" s="4">
        <v>46113</v>
      </c>
      <c r="C591" s="2" t="s">
        <v>65</v>
      </c>
      <c r="D591" s="2" t="s">
        <v>59</v>
      </c>
      <c r="E591" s="2" t="s">
        <v>41</v>
      </c>
      <c r="F591" s="2" t="s">
        <v>33</v>
      </c>
      <c r="G591" s="2" t="s">
        <v>66</v>
      </c>
      <c r="H591" s="2" t="s">
        <v>67</v>
      </c>
      <c r="I591" s="2" t="s">
        <v>51</v>
      </c>
      <c r="J591" s="2">
        <v>6</v>
      </c>
      <c r="K591" s="5">
        <v>0.15</v>
      </c>
      <c r="L591" s="6">
        <v>1581000</v>
      </c>
      <c r="M591" s="6">
        <v>1140000</v>
      </c>
      <c r="N591" s="6">
        <v>441000</v>
      </c>
      <c r="O591" s="2" t="s">
        <v>57</v>
      </c>
    </row>
    <row r="592" spans="1:15" x14ac:dyDescent="0.35">
      <c r="A592" s="2" t="s">
        <v>742</v>
      </c>
      <c r="B592" s="4">
        <v>46141</v>
      </c>
      <c r="C592" s="2" t="s">
        <v>65</v>
      </c>
      <c r="D592" s="2" t="s">
        <v>70</v>
      </c>
      <c r="E592" s="2" t="s">
        <v>48</v>
      </c>
      <c r="F592" s="2" t="s">
        <v>33</v>
      </c>
      <c r="G592" s="2" t="s">
        <v>71</v>
      </c>
      <c r="H592" s="2" t="s">
        <v>72</v>
      </c>
      <c r="I592" s="2" t="s">
        <v>73</v>
      </c>
      <c r="J592" s="2">
        <v>3</v>
      </c>
      <c r="K592" s="5">
        <v>0.03</v>
      </c>
      <c r="L592" s="6">
        <v>363750</v>
      </c>
      <c r="M592" s="6">
        <v>210000</v>
      </c>
      <c r="N592" s="6">
        <v>153750</v>
      </c>
      <c r="O592" s="2" t="s">
        <v>37</v>
      </c>
    </row>
    <row r="593" spans="1:15" x14ac:dyDescent="0.35">
      <c r="A593" s="2" t="s">
        <v>743</v>
      </c>
      <c r="B593" s="4">
        <v>46043</v>
      </c>
      <c r="C593" s="2" t="s">
        <v>76</v>
      </c>
      <c r="D593" s="2" t="s">
        <v>70</v>
      </c>
      <c r="E593" s="2" t="s">
        <v>81</v>
      </c>
      <c r="F593" s="2" t="s">
        <v>33</v>
      </c>
      <c r="G593" s="2" t="s">
        <v>78</v>
      </c>
      <c r="H593" s="2" t="s">
        <v>79</v>
      </c>
      <c r="I593" s="2" t="s">
        <v>62</v>
      </c>
      <c r="J593" s="2">
        <v>3</v>
      </c>
      <c r="K593" s="5">
        <v>0.05</v>
      </c>
      <c r="L593" s="6">
        <v>242250</v>
      </c>
      <c r="M593" s="6">
        <v>129000</v>
      </c>
      <c r="N593" s="6">
        <v>113250</v>
      </c>
      <c r="O593" s="2" t="s">
        <v>93</v>
      </c>
    </row>
    <row r="594" spans="1:15" x14ac:dyDescent="0.35">
      <c r="A594" s="2" t="s">
        <v>744</v>
      </c>
      <c r="B594" s="4">
        <v>46092</v>
      </c>
      <c r="C594" s="2" t="s">
        <v>65</v>
      </c>
      <c r="D594" s="2" t="s">
        <v>47</v>
      </c>
      <c r="E594" s="2" t="s">
        <v>48</v>
      </c>
      <c r="F594" s="2" t="s">
        <v>33</v>
      </c>
      <c r="G594" s="2" t="s">
        <v>82</v>
      </c>
      <c r="H594" s="2" t="s">
        <v>83</v>
      </c>
      <c r="I594" s="2" t="s">
        <v>44</v>
      </c>
      <c r="J594" s="2">
        <v>8</v>
      </c>
      <c r="K594" s="5">
        <v>0.05</v>
      </c>
      <c r="L594" s="6">
        <v>11020000</v>
      </c>
      <c r="M594" s="6">
        <v>7840000</v>
      </c>
      <c r="N594" s="6">
        <v>3180000</v>
      </c>
      <c r="O594" s="2" t="s">
        <v>84</v>
      </c>
    </row>
    <row r="595" spans="1:15" x14ac:dyDescent="0.35">
      <c r="A595" s="2" t="s">
        <v>745</v>
      </c>
      <c r="B595" s="2" t="s">
        <v>746</v>
      </c>
      <c r="C595" s="2" t="s">
        <v>39</v>
      </c>
      <c r="D595" s="2" t="s">
        <v>70</v>
      </c>
      <c r="E595" s="2" t="s">
        <v>41</v>
      </c>
      <c r="F595" s="2" t="s">
        <v>33</v>
      </c>
      <c r="G595" s="2" t="s">
        <v>86</v>
      </c>
      <c r="H595" s="2" t="s">
        <v>87</v>
      </c>
      <c r="I595" s="2" t="s">
        <v>36</v>
      </c>
      <c r="J595" s="2">
        <v>1</v>
      </c>
      <c r="K595" s="5">
        <v>0.03</v>
      </c>
      <c r="L595" s="6">
        <v>339500</v>
      </c>
      <c r="M595" s="6">
        <v>210000</v>
      </c>
      <c r="N595" s="6">
        <v>129500</v>
      </c>
      <c r="O595" s="2" t="s">
        <v>84</v>
      </c>
    </row>
    <row r="596" spans="1:15" x14ac:dyDescent="0.35">
      <c r="A596" s="2" t="s">
        <v>747</v>
      </c>
      <c r="B596" s="4">
        <v>46124</v>
      </c>
      <c r="C596" s="2" t="s">
        <v>95</v>
      </c>
      <c r="D596" s="2" t="s">
        <v>59</v>
      </c>
      <c r="E596" s="2" t="s">
        <v>41</v>
      </c>
      <c r="F596" s="2" t="s">
        <v>33</v>
      </c>
      <c r="G596" s="2" t="s">
        <v>34</v>
      </c>
      <c r="H596" s="2" t="s">
        <v>35</v>
      </c>
      <c r="I596" s="2" t="s">
        <v>36</v>
      </c>
      <c r="J596" s="2">
        <v>2</v>
      </c>
      <c r="K596" s="5">
        <v>0</v>
      </c>
      <c r="L596" s="6">
        <v>950000</v>
      </c>
      <c r="M596" s="6">
        <v>570000</v>
      </c>
      <c r="N596" s="6">
        <v>380000</v>
      </c>
      <c r="O596" s="2" t="s">
        <v>93</v>
      </c>
    </row>
    <row r="597" spans="1:15" x14ac:dyDescent="0.35">
      <c r="A597" s="2" t="s">
        <v>748</v>
      </c>
      <c r="B597" s="4">
        <v>46157</v>
      </c>
      <c r="C597" s="2" t="s">
        <v>65</v>
      </c>
      <c r="D597" s="2" t="s">
        <v>120</v>
      </c>
      <c r="E597" s="2" t="s">
        <v>41</v>
      </c>
      <c r="F597" s="2" t="s">
        <v>33</v>
      </c>
      <c r="G597" s="2" t="s">
        <v>42</v>
      </c>
      <c r="H597" s="2" t="s">
        <v>43</v>
      </c>
      <c r="I597" s="2" t="s">
        <v>44</v>
      </c>
      <c r="J597" s="2">
        <v>2</v>
      </c>
      <c r="K597" s="5">
        <v>0</v>
      </c>
      <c r="L597" s="6">
        <v>550000</v>
      </c>
      <c r="M597" s="6">
        <v>310000</v>
      </c>
      <c r="N597" s="6">
        <v>240000</v>
      </c>
      <c r="O597" s="2" t="s">
        <v>57</v>
      </c>
    </row>
    <row r="598" spans="1:15" x14ac:dyDescent="0.35">
      <c r="A598" s="2" t="s">
        <v>749</v>
      </c>
      <c r="B598" s="4">
        <v>46081</v>
      </c>
      <c r="C598" s="2" t="s">
        <v>30</v>
      </c>
      <c r="D598" s="2" t="s">
        <v>31</v>
      </c>
      <c r="E598" s="2" t="s">
        <v>32</v>
      </c>
      <c r="F598" s="2" t="s">
        <v>33</v>
      </c>
      <c r="G598" s="2" t="s">
        <v>49</v>
      </c>
      <c r="H598" s="2" t="s">
        <v>50</v>
      </c>
      <c r="I598" s="2" t="s">
        <v>51</v>
      </c>
      <c r="J598" s="2">
        <v>4</v>
      </c>
      <c r="K598" s="5">
        <v>0.15</v>
      </c>
      <c r="L598" s="6">
        <v>833000</v>
      </c>
      <c r="M598" s="6">
        <v>580000</v>
      </c>
      <c r="N598" s="6">
        <v>253000</v>
      </c>
      <c r="O598" s="2" t="s">
        <v>74</v>
      </c>
    </row>
    <row r="599" spans="1:15" x14ac:dyDescent="0.35">
      <c r="A599" s="2" t="s">
        <v>750</v>
      </c>
      <c r="B599" s="4">
        <v>46031</v>
      </c>
      <c r="C599" s="2" t="s">
        <v>111</v>
      </c>
      <c r="D599" s="2" t="s">
        <v>59</v>
      </c>
      <c r="E599" s="2" t="s">
        <v>81</v>
      </c>
      <c r="F599" s="2" t="s">
        <v>90</v>
      </c>
      <c r="G599" s="2" t="s">
        <v>55</v>
      </c>
      <c r="H599" s="2" t="s">
        <v>56</v>
      </c>
      <c r="I599" s="2" t="s">
        <v>36</v>
      </c>
      <c r="J599" s="2">
        <v>6</v>
      </c>
      <c r="K599" s="5">
        <v>0.05</v>
      </c>
      <c r="L599" s="6">
        <v>10545000</v>
      </c>
      <c r="M599" s="6">
        <v>7920000</v>
      </c>
      <c r="N599" s="6">
        <v>2625000</v>
      </c>
      <c r="O599" s="2" t="s">
        <v>84</v>
      </c>
    </row>
    <row r="600" spans="1:15" x14ac:dyDescent="0.35">
      <c r="A600" s="2" t="s">
        <v>751</v>
      </c>
      <c r="B600" s="4">
        <v>46201</v>
      </c>
      <c r="C600" s="2" t="s">
        <v>76</v>
      </c>
      <c r="D600" s="2" t="s">
        <v>47</v>
      </c>
      <c r="E600" s="2" t="s">
        <v>48</v>
      </c>
      <c r="F600" s="2" t="s">
        <v>33</v>
      </c>
      <c r="G600" s="2" t="s">
        <v>60</v>
      </c>
      <c r="H600" s="2" t="s">
        <v>61</v>
      </c>
      <c r="I600" s="2" t="s">
        <v>62</v>
      </c>
      <c r="J600" s="2">
        <v>3</v>
      </c>
      <c r="K600" s="5">
        <v>0.1</v>
      </c>
      <c r="L600" s="6">
        <v>175500</v>
      </c>
      <c r="M600" s="6">
        <v>93000</v>
      </c>
      <c r="N600" s="6">
        <v>82500</v>
      </c>
      <c r="O600" s="2" t="s">
        <v>63</v>
      </c>
    </row>
    <row r="601" spans="1:15" x14ac:dyDescent="0.35">
      <c r="A601" s="2" t="s">
        <v>752</v>
      </c>
      <c r="B601" s="4">
        <v>46146</v>
      </c>
      <c r="C601" s="2" t="s">
        <v>76</v>
      </c>
      <c r="D601" s="2" t="s">
        <v>70</v>
      </c>
      <c r="E601" s="2" t="s">
        <v>48</v>
      </c>
      <c r="F601" s="2" t="s">
        <v>33</v>
      </c>
      <c r="G601" s="2" t="s">
        <v>66</v>
      </c>
      <c r="H601" s="2" t="s">
        <v>67</v>
      </c>
      <c r="I601" s="2" t="s">
        <v>51</v>
      </c>
      <c r="J601" s="2">
        <v>4</v>
      </c>
      <c r="K601" s="5">
        <v>0</v>
      </c>
      <c r="L601" s="6">
        <v>1240000</v>
      </c>
      <c r="M601" s="6">
        <v>760000</v>
      </c>
      <c r="N601" s="6">
        <v>480000</v>
      </c>
      <c r="O601" s="2" t="s">
        <v>84</v>
      </c>
    </row>
    <row r="602" spans="1:15" x14ac:dyDescent="0.35">
      <c r="A602" s="2" t="s">
        <v>753</v>
      </c>
      <c r="B602" s="4">
        <v>46100</v>
      </c>
      <c r="C602" s="2" t="s">
        <v>76</v>
      </c>
      <c r="D602" s="2" t="s">
        <v>31</v>
      </c>
      <c r="E602" s="2" t="s">
        <v>81</v>
      </c>
      <c r="F602" s="2" t="s">
        <v>122</v>
      </c>
      <c r="G602" s="2" t="s">
        <v>71</v>
      </c>
      <c r="H602" s="2" t="s">
        <v>72</v>
      </c>
      <c r="I602" s="2" t="s">
        <v>73</v>
      </c>
      <c r="J602" s="2">
        <v>1</v>
      </c>
      <c r="K602" s="5">
        <v>0</v>
      </c>
      <c r="L602" s="6">
        <v>125000</v>
      </c>
      <c r="M602" s="6">
        <v>70000</v>
      </c>
      <c r="N602" s="6">
        <v>55000</v>
      </c>
      <c r="O602" s="2" t="s">
        <v>52</v>
      </c>
    </row>
    <row r="603" spans="1:15" x14ac:dyDescent="0.35">
      <c r="A603" s="2" t="s">
        <v>754</v>
      </c>
      <c r="B603" s="4">
        <v>46159</v>
      </c>
      <c r="C603" s="2" t="s">
        <v>65</v>
      </c>
      <c r="D603" s="2" t="s">
        <v>70</v>
      </c>
      <c r="E603" s="2" t="s">
        <v>41</v>
      </c>
      <c r="F603" s="2" t="s">
        <v>112</v>
      </c>
      <c r="G603" s="2" t="s">
        <v>78</v>
      </c>
      <c r="H603" s="2" t="s">
        <v>79</v>
      </c>
      <c r="I603" s="2" t="s">
        <v>62</v>
      </c>
      <c r="J603" s="2">
        <v>1</v>
      </c>
      <c r="K603" s="5">
        <v>0.15</v>
      </c>
      <c r="L603" s="6">
        <v>18062</v>
      </c>
      <c r="M603" s="6">
        <v>43000</v>
      </c>
      <c r="N603" s="6">
        <v>-24938</v>
      </c>
      <c r="O603" s="2" t="s">
        <v>57</v>
      </c>
    </row>
    <row r="604" spans="1:15" x14ac:dyDescent="0.35">
      <c r="A604" s="2" t="s">
        <v>755</v>
      </c>
      <c r="B604" s="4">
        <v>46175</v>
      </c>
      <c r="C604" s="2" t="s">
        <v>65</v>
      </c>
      <c r="D604" s="2" t="s">
        <v>31</v>
      </c>
      <c r="E604" s="2" t="s">
        <v>48</v>
      </c>
      <c r="F604" s="2" t="s">
        <v>33</v>
      </c>
      <c r="G604" s="2" t="s">
        <v>82</v>
      </c>
      <c r="H604" s="2" t="s">
        <v>83</v>
      </c>
      <c r="I604" s="2" t="s">
        <v>279</v>
      </c>
      <c r="J604" s="2">
        <v>4</v>
      </c>
      <c r="K604" s="5">
        <v>0</v>
      </c>
      <c r="L604" s="6">
        <v>5800000</v>
      </c>
      <c r="M604" s="6">
        <v>3920000</v>
      </c>
      <c r="N604" s="6">
        <v>1880000</v>
      </c>
      <c r="O604" s="2" t="s">
        <v>93</v>
      </c>
    </row>
    <row r="605" spans="1:15" x14ac:dyDescent="0.35">
      <c r="A605" s="2" t="s">
        <v>756</v>
      </c>
      <c r="B605" s="4">
        <v>46086</v>
      </c>
      <c r="C605" s="2" t="s">
        <v>39</v>
      </c>
      <c r="D605" s="2" t="s">
        <v>59</v>
      </c>
      <c r="E605" s="2" t="s">
        <v>48</v>
      </c>
      <c r="F605" s="2" t="s">
        <v>33</v>
      </c>
      <c r="G605" s="2" t="s">
        <v>86</v>
      </c>
      <c r="H605" s="2" t="s">
        <v>87</v>
      </c>
      <c r="I605" s="2" t="s">
        <v>36</v>
      </c>
      <c r="J605" s="2">
        <v>3</v>
      </c>
      <c r="K605" s="5">
        <v>0.15</v>
      </c>
      <c r="L605" s="6">
        <v>892500</v>
      </c>
      <c r="M605" s="6">
        <v>630000</v>
      </c>
      <c r="N605" s="6">
        <v>262500</v>
      </c>
      <c r="O605" s="2" t="s">
        <v>57</v>
      </c>
    </row>
    <row r="606" spans="1:15" x14ac:dyDescent="0.35">
      <c r="A606" s="2" t="s">
        <v>757</v>
      </c>
      <c r="B606" s="4">
        <v>46043</v>
      </c>
      <c r="C606" s="2" t="s">
        <v>76</v>
      </c>
      <c r="D606" s="2" t="s">
        <v>47</v>
      </c>
      <c r="E606" s="2" t="s">
        <v>81</v>
      </c>
      <c r="F606" s="2" t="s">
        <v>33</v>
      </c>
      <c r="G606" s="2" t="s">
        <v>34</v>
      </c>
      <c r="H606" s="2" t="s">
        <v>35</v>
      </c>
      <c r="I606" s="2" t="s">
        <v>36</v>
      </c>
      <c r="J606" s="2">
        <v>7</v>
      </c>
      <c r="K606" s="5">
        <v>0.15</v>
      </c>
      <c r="L606" s="6">
        <v>2826250</v>
      </c>
      <c r="M606" s="6">
        <v>1995000</v>
      </c>
      <c r="N606" s="6">
        <v>831250</v>
      </c>
      <c r="O606" s="2" t="s">
        <v>57</v>
      </c>
    </row>
    <row r="607" spans="1:15" x14ac:dyDescent="0.35">
      <c r="A607" s="2" t="s">
        <v>758</v>
      </c>
      <c r="B607" s="4">
        <v>46128</v>
      </c>
      <c r="C607" s="2" t="s">
        <v>111</v>
      </c>
      <c r="D607" s="2" t="s">
        <v>70</v>
      </c>
      <c r="E607" s="2" t="s">
        <v>235</v>
      </c>
      <c r="F607" s="2" t="s">
        <v>33</v>
      </c>
      <c r="G607" s="2" t="s">
        <v>42</v>
      </c>
      <c r="H607" s="2" t="s">
        <v>43</v>
      </c>
      <c r="I607" s="2" t="s">
        <v>44</v>
      </c>
      <c r="J607" s="2">
        <v>4</v>
      </c>
      <c r="K607" s="5">
        <v>0</v>
      </c>
      <c r="L607" s="6">
        <v>1100000</v>
      </c>
      <c r="M607" s="6">
        <v>620000</v>
      </c>
      <c r="N607" s="6">
        <v>480000</v>
      </c>
      <c r="O607" s="2" t="s">
        <v>52</v>
      </c>
    </row>
    <row r="608" spans="1:15" x14ac:dyDescent="0.35">
      <c r="A608" s="2" t="s">
        <v>759</v>
      </c>
      <c r="B608" s="4">
        <v>46092</v>
      </c>
      <c r="C608" s="2" t="s">
        <v>95</v>
      </c>
      <c r="D608" s="2" t="s">
        <v>31</v>
      </c>
      <c r="E608" s="2" t="s">
        <v>41</v>
      </c>
      <c r="F608" s="2" t="s">
        <v>33</v>
      </c>
      <c r="G608" s="2" t="s">
        <v>49</v>
      </c>
      <c r="H608" s="2" t="s">
        <v>50</v>
      </c>
      <c r="I608" s="2" t="s">
        <v>51</v>
      </c>
      <c r="J608" s="2">
        <v>8</v>
      </c>
      <c r="K608" s="5">
        <v>0.03</v>
      </c>
      <c r="L608" s="6"/>
      <c r="M608" s="6">
        <v>1160000</v>
      </c>
      <c r="N608" s="6">
        <v>741200</v>
      </c>
      <c r="O608" s="2" t="s">
        <v>84</v>
      </c>
    </row>
    <row r="609" spans="1:15" x14ac:dyDescent="0.35">
      <c r="A609" s="2" t="s">
        <v>760</v>
      </c>
      <c r="B609" s="4">
        <v>46049</v>
      </c>
      <c r="C609" s="2" t="s">
        <v>39</v>
      </c>
      <c r="D609" s="2" t="s">
        <v>59</v>
      </c>
      <c r="E609" s="2" t="s">
        <v>41</v>
      </c>
      <c r="F609" s="2" t="s">
        <v>33</v>
      </c>
      <c r="G609" s="2" t="s">
        <v>55</v>
      </c>
      <c r="H609" s="2" t="s">
        <v>56</v>
      </c>
      <c r="I609" s="2" t="s">
        <v>36</v>
      </c>
      <c r="J609" s="2">
        <v>5</v>
      </c>
      <c r="K609" s="5">
        <v>0.05</v>
      </c>
      <c r="L609" s="6">
        <v>8787500</v>
      </c>
      <c r="M609" s="6">
        <v>6600000</v>
      </c>
      <c r="N609" s="6">
        <v>2187500</v>
      </c>
      <c r="O609" s="2" t="s">
        <v>37</v>
      </c>
    </row>
    <row r="610" spans="1:15" x14ac:dyDescent="0.35">
      <c r="A610" s="2" t="s">
        <v>761</v>
      </c>
      <c r="B610" s="4">
        <v>46061</v>
      </c>
      <c r="C610" s="2" t="s">
        <v>111</v>
      </c>
      <c r="D610" s="2" t="s">
        <v>59</v>
      </c>
      <c r="E610" s="2" t="s">
        <v>81</v>
      </c>
      <c r="F610" s="2" t="s">
        <v>146</v>
      </c>
      <c r="G610" s="2" t="s">
        <v>60</v>
      </c>
      <c r="H610" s="2" t="s">
        <v>61</v>
      </c>
      <c r="I610" s="2" t="s">
        <v>62</v>
      </c>
      <c r="J610" s="2">
        <v>1</v>
      </c>
      <c r="K610" s="5">
        <v>0.08</v>
      </c>
      <c r="L610" s="6">
        <v>59800</v>
      </c>
      <c r="M610" s="6">
        <v>31000</v>
      </c>
      <c r="N610" s="6">
        <v>28800</v>
      </c>
      <c r="O610" s="2" t="s">
        <v>63</v>
      </c>
    </row>
    <row r="611" spans="1:15" x14ac:dyDescent="0.35">
      <c r="A611" s="2" t="s">
        <v>762</v>
      </c>
      <c r="B611" s="4">
        <v>46141</v>
      </c>
      <c r="C611" s="2" t="s">
        <v>76</v>
      </c>
      <c r="D611" s="2" t="s">
        <v>31</v>
      </c>
      <c r="E611" s="2" t="s">
        <v>41</v>
      </c>
      <c r="F611" s="2" t="s">
        <v>33</v>
      </c>
      <c r="G611" s="2" t="s">
        <v>66</v>
      </c>
      <c r="H611" s="2" t="s">
        <v>67</v>
      </c>
      <c r="I611" s="2" t="s">
        <v>51</v>
      </c>
      <c r="J611" s="2">
        <v>1</v>
      </c>
      <c r="K611" s="5">
        <v>0.05</v>
      </c>
      <c r="L611" s="6">
        <v>294500</v>
      </c>
      <c r="M611" s="6">
        <v>190000</v>
      </c>
      <c r="N611" s="6">
        <v>104500</v>
      </c>
      <c r="O611" s="2" t="s">
        <v>93</v>
      </c>
    </row>
    <row r="612" spans="1:15" x14ac:dyDescent="0.35">
      <c r="A612" s="2" t="s">
        <v>763</v>
      </c>
      <c r="B612" s="4">
        <v>46041</v>
      </c>
      <c r="C612" s="2" t="s">
        <v>95</v>
      </c>
      <c r="D612" s="2" t="s">
        <v>70</v>
      </c>
      <c r="E612" s="2" t="s">
        <v>48</v>
      </c>
      <c r="F612" s="2" t="s">
        <v>33</v>
      </c>
      <c r="G612" s="2" t="s">
        <v>71</v>
      </c>
      <c r="H612" s="2" t="s">
        <v>72</v>
      </c>
      <c r="I612" s="2" t="s">
        <v>764</v>
      </c>
      <c r="J612" s="2">
        <v>8</v>
      </c>
      <c r="K612" s="5">
        <v>0.03</v>
      </c>
      <c r="L612" s="6">
        <v>970000</v>
      </c>
      <c r="M612" s="6">
        <v>560000</v>
      </c>
      <c r="N612" s="6">
        <v>410000</v>
      </c>
      <c r="O612" s="2" t="s">
        <v>37</v>
      </c>
    </row>
    <row r="613" spans="1:15" x14ac:dyDescent="0.35">
      <c r="A613" s="2" t="s">
        <v>765</v>
      </c>
      <c r="B613" s="4">
        <v>46086</v>
      </c>
      <c r="C613" s="2" t="s">
        <v>111</v>
      </c>
      <c r="D613" s="2" t="s">
        <v>40</v>
      </c>
      <c r="E613" s="2" t="s">
        <v>32</v>
      </c>
      <c r="F613" s="2" t="s">
        <v>33</v>
      </c>
      <c r="G613" s="2" t="s">
        <v>78</v>
      </c>
      <c r="H613" s="2" t="s">
        <v>79</v>
      </c>
      <c r="I613" s="2" t="s">
        <v>62</v>
      </c>
      <c r="J613" s="2">
        <v>7</v>
      </c>
      <c r="K613" s="5">
        <v>0.08</v>
      </c>
      <c r="L613" s="6">
        <v>547400</v>
      </c>
      <c r="M613" s="6">
        <v>301000</v>
      </c>
      <c r="N613" s="6">
        <v>246400</v>
      </c>
      <c r="O613" s="2" t="s">
        <v>37</v>
      </c>
    </row>
    <row r="614" spans="1:15" x14ac:dyDescent="0.35">
      <c r="A614" s="2" t="s">
        <v>766</v>
      </c>
      <c r="B614" s="4">
        <v>46156</v>
      </c>
      <c r="C614" s="2" t="s">
        <v>30</v>
      </c>
      <c r="D614" s="2" t="s">
        <v>70</v>
      </c>
      <c r="E614" s="2" t="s">
        <v>81</v>
      </c>
      <c r="F614" s="2" t="s">
        <v>33</v>
      </c>
      <c r="G614" s="2" t="s">
        <v>82</v>
      </c>
      <c r="H614" s="2" t="s">
        <v>83</v>
      </c>
      <c r="I614" s="2" t="s">
        <v>44</v>
      </c>
      <c r="J614" s="2">
        <v>4</v>
      </c>
      <c r="K614" s="5">
        <v>0.08</v>
      </c>
      <c r="L614" s="6">
        <v>5336000</v>
      </c>
      <c r="M614" s="6">
        <v>3920000</v>
      </c>
      <c r="N614" s="6">
        <v>1416000</v>
      </c>
      <c r="O614" s="2" t="s">
        <v>74</v>
      </c>
    </row>
    <row r="615" spans="1:15" x14ac:dyDescent="0.35">
      <c r="A615" s="2" t="s">
        <v>767</v>
      </c>
      <c r="B615" s="4">
        <v>46163</v>
      </c>
      <c r="C615" s="2" t="s">
        <v>54</v>
      </c>
      <c r="D615" s="2" t="s">
        <v>70</v>
      </c>
      <c r="E615" s="2" t="s">
        <v>226</v>
      </c>
      <c r="F615" s="2" t="s">
        <v>33</v>
      </c>
      <c r="G615" s="2" t="s">
        <v>86</v>
      </c>
      <c r="H615" s="2" t="s">
        <v>87</v>
      </c>
      <c r="I615" s="2" t="s">
        <v>36</v>
      </c>
      <c r="J615" s="2">
        <v>2</v>
      </c>
      <c r="K615" s="5">
        <v>0.05</v>
      </c>
      <c r="L615" s="6">
        <v>665000</v>
      </c>
      <c r="M615" s="6">
        <v>420000</v>
      </c>
      <c r="N615" s="6">
        <v>245000</v>
      </c>
      <c r="O615" s="2" t="s">
        <v>74</v>
      </c>
    </row>
    <row r="616" spans="1:15" x14ac:dyDescent="0.35">
      <c r="A616" s="2" t="s">
        <v>768</v>
      </c>
      <c r="B616" s="2" t="s">
        <v>769</v>
      </c>
      <c r="C616" s="2" t="s">
        <v>95</v>
      </c>
      <c r="D616" s="2" t="s">
        <v>59</v>
      </c>
      <c r="E616" s="2" t="s">
        <v>81</v>
      </c>
      <c r="F616" s="2" t="s">
        <v>33</v>
      </c>
      <c r="G616" s="2" t="s">
        <v>34</v>
      </c>
      <c r="H616" s="2" t="s">
        <v>35</v>
      </c>
      <c r="I616" s="2" t="s">
        <v>36</v>
      </c>
      <c r="J616" s="2">
        <v>4</v>
      </c>
      <c r="K616" s="5">
        <v>0</v>
      </c>
      <c r="L616" s="6">
        <v>1900000</v>
      </c>
      <c r="M616" s="6">
        <v>1140000</v>
      </c>
      <c r="N616" s="6">
        <v>760000</v>
      </c>
      <c r="O616" s="2" t="s">
        <v>84</v>
      </c>
    </row>
    <row r="617" spans="1:15" x14ac:dyDescent="0.35">
      <c r="A617" s="2" t="s">
        <v>770</v>
      </c>
      <c r="B617" s="4">
        <v>46093</v>
      </c>
      <c r="C617" s="2" t="s">
        <v>111</v>
      </c>
      <c r="D617" s="2" t="s">
        <v>40</v>
      </c>
      <c r="E617" s="2" t="s">
        <v>41</v>
      </c>
      <c r="F617" s="2" t="s">
        <v>90</v>
      </c>
      <c r="G617" s="2" t="s">
        <v>42</v>
      </c>
      <c r="H617" s="2" t="s">
        <v>43</v>
      </c>
      <c r="I617" s="2" t="s">
        <v>44</v>
      </c>
      <c r="J617" s="2">
        <v>2</v>
      </c>
      <c r="K617" s="5">
        <v>0.08</v>
      </c>
      <c r="L617" s="6">
        <v>506000</v>
      </c>
      <c r="M617" s="6">
        <v>310000</v>
      </c>
      <c r="N617" s="6">
        <v>196000</v>
      </c>
      <c r="O617" s="2" t="s">
        <v>84</v>
      </c>
    </row>
    <row r="618" spans="1:15" x14ac:dyDescent="0.35">
      <c r="A618" s="2" t="s">
        <v>771</v>
      </c>
      <c r="B618" s="4">
        <v>46118</v>
      </c>
      <c r="C618" s="2" t="s">
        <v>95</v>
      </c>
      <c r="D618" s="2" t="s">
        <v>40</v>
      </c>
      <c r="E618" s="2" t="s">
        <v>81</v>
      </c>
      <c r="F618" s="2" t="s">
        <v>33</v>
      </c>
      <c r="G618" s="2" t="s">
        <v>49</v>
      </c>
      <c r="H618" s="2" t="s">
        <v>50</v>
      </c>
      <c r="I618" s="2" t="s">
        <v>51</v>
      </c>
      <c r="J618" s="2">
        <v>2</v>
      </c>
      <c r="K618" s="5">
        <v>0.03</v>
      </c>
      <c r="L618" s="6">
        <v>475300</v>
      </c>
      <c r="M618" s="6">
        <v>290000</v>
      </c>
      <c r="N618" s="6">
        <v>185300</v>
      </c>
      <c r="O618" s="2" t="s">
        <v>74</v>
      </c>
    </row>
    <row r="619" spans="1:15" x14ac:dyDescent="0.35">
      <c r="A619" s="2" t="s">
        <v>772</v>
      </c>
      <c r="B619" s="4">
        <v>46114</v>
      </c>
      <c r="C619" s="2" t="s">
        <v>111</v>
      </c>
      <c r="D619" s="2" t="s">
        <v>40</v>
      </c>
      <c r="E619" s="2" t="s">
        <v>32</v>
      </c>
      <c r="F619" s="2" t="s">
        <v>33</v>
      </c>
      <c r="G619" s="2" t="s">
        <v>55</v>
      </c>
      <c r="H619" s="2" t="s">
        <v>56</v>
      </c>
      <c r="I619" s="2" t="s">
        <v>36</v>
      </c>
      <c r="J619" s="2">
        <v>3</v>
      </c>
      <c r="K619" s="5">
        <v>0.15</v>
      </c>
      <c r="L619" s="6">
        <v>4717500</v>
      </c>
      <c r="M619" s="6">
        <v>3960000</v>
      </c>
      <c r="N619" s="6">
        <v>757500</v>
      </c>
      <c r="O619" s="2" t="s">
        <v>45</v>
      </c>
    </row>
    <row r="620" spans="1:15" x14ac:dyDescent="0.35">
      <c r="A620" s="2" t="s">
        <v>773</v>
      </c>
      <c r="B620" s="4">
        <v>46104</v>
      </c>
      <c r="C620" s="2" t="s">
        <v>54</v>
      </c>
      <c r="D620" s="2" t="s">
        <v>40</v>
      </c>
      <c r="E620" s="2" t="s">
        <v>48</v>
      </c>
      <c r="F620" s="2" t="s">
        <v>33</v>
      </c>
      <c r="G620" s="2" t="s">
        <v>60</v>
      </c>
      <c r="H620" s="2" t="s">
        <v>61</v>
      </c>
      <c r="I620" s="2" t="s">
        <v>62</v>
      </c>
      <c r="J620" s="2">
        <v>6</v>
      </c>
      <c r="K620" s="5">
        <v>0.08</v>
      </c>
      <c r="L620" s="6" t="s">
        <v>774</v>
      </c>
      <c r="M620" s="6">
        <v>186000</v>
      </c>
      <c r="N620" s="6">
        <v>172800</v>
      </c>
      <c r="O620" s="2" t="s">
        <v>84</v>
      </c>
    </row>
    <row r="621" spans="1:15" x14ac:dyDescent="0.35">
      <c r="A621" s="2" t="s">
        <v>775</v>
      </c>
      <c r="B621" s="4">
        <v>46087</v>
      </c>
      <c r="C621" s="2" t="s">
        <v>111</v>
      </c>
      <c r="D621" s="2" t="s">
        <v>47</v>
      </c>
      <c r="E621" s="2" t="s">
        <v>81</v>
      </c>
      <c r="F621" s="2" t="s">
        <v>33</v>
      </c>
      <c r="G621" s="2" t="s">
        <v>66</v>
      </c>
      <c r="H621" s="2" t="s">
        <v>67</v>
      </c>
      <c r="I621" s="2" t="s">
        <v>51</v>
      </c>
      <c r="J621" s="2">
        <v>1</v>
      </c>
      <c r="K621" s="5">
        <v>0.08</v>
      </c>
      <c r="L621" s="6">
        <v>285200</v>
      </c>
      <c r="M621" s="6">
        <v>190000</v>
      </c>
      <c r="N621" s="6">
        <v>95200</v>
      </c>
      <c r="O621" s="2" t="s">
        <v>45</v>
      </c>
    </row>
    <row r="622" spans="1:15" x14ac:dyDescent="0.35">
      <c r="A622" s="2" t="s">
        <v>776</v>
      </c>
      <c r="B622" s="4">
        <v>46168</v>
      </c>
      <c r="C622" s="2" t="s">
        <v>30</v>
      </c>
      <c r="D622" s="2" t="s">
        <v>59</v>
      </c>
      <c r="E622" s="2" t="s">
        <v>81</v>
      </c>
      <c r="F622" s="2" t="s">
        <v>33</v>
      </c>
      <c r="G622" s="2" t="s">
        <v>71</v>
      </c>
      <c r="H622" s="2" t="s">
        <v>72</v>
      </c>
      <c r="I622" s="2" t="s">
        <v>73</v>
      </c>
      <c r="J622" s="2">
        <v>3</v>
      </c>
      <c r="K622" s="5">
        <v>0.1</v>
      </c>
      <c r="L622" s="6">
        <v>337500</v>
      </c>
      <c r="M622" s="6">
        <v>210000</v>
      </c>
      <c r="N622" s="6">
        <v>127500</v>
      </c>
      <c r="O622" s="2" t="s">
        <v>37</v>
      </c>
    </row>
    <row r="623" spans="1:15" x14ac:dyDescent="0.35">
      <c r="A623" s="2" t="s">
        <v>777</v>
      </c>
      <c r="B623" s="4">
        <v>46158</v>
      </c>
      <c r="C623" s="2" t="s">
        <v>111</v>
      </c>
      <c r="D623" s="2" t="s">
        <v>70</v>
      </c>
      <c r="E623" s="2" t="s">
        <v>81</v>
      </c>
      <c r="F623" s="2" t="s">
        <v>33</v>
      </c>
      <c r="G623" s="2" t="s">
        <v>78</v>
      </c>
      <c r="H623" s="2" t="s">
        <v>79</v>
      </c>
      <c r="I623" s="2" t="s">
        <v>62</v>
      </c>
      <c r="J623" s="2">
        <v>3</v>
      </c>
      <c r="K623" s="5">
        <v>0.08</v>
      </c>
      <c r="L623" s="6">
        <v>234600</v>
      </c>
      <c r="M623" s="6">
        <v>129000</v>
      </c>
      <c r="N623" s="6">
        <v>105600</v>
      </c>
      <c r="O623" s="2" t="s">
        <v>74</v>
      </c>
    </row>
    <row r="624" spans="1:15" x14ac:dyDescent="0.35">
      <c r="A624" s="2" t="s">
        <v>778</v>
      </c>
      <c r="B624" s="4">
        <v>46186</v>
      </c>
      <c r="C624" s="2" t="s">
        <v>39</v>
      </c>
      <c r="D624" s="2" t="s">
        <v>40</v>
      </c>
      <c r="E624" s="2" t="s">
        <v>81</v>
      </c>
      <c r="F624" s="2" t="s">
        <v>33</v>
      </c>
      <c r="G624" s="2" t="s">
        <v>82</v>
      </c>
      <c r="H624" s="2" t="s">
        <v>83</v>
      </c>
      <c r="I624" s="2" t="s">
        <v>44</v>
      </c>
      <c r="J624" s="2">
        <v>7</v>
      </c>
      <c r="K624" s="5">
        <v>0.15</v>
      </c>
      <c r="L624" s="6">
        <v>8627500</v>
      </c>
      <c r="M624" s="6">
        <v>6860000</v>
      </c>
      <c r="N624" s="6">
        <v>1767500</v>
      </c>
      <c r="O624" s="2" t="s">
        <v>63</v>
      </c>
    </row>
    <row r="625" spans="1:15" x14ac:dyDescent="0.35">
      <c r="A625" s="2" t="s">
        <v>779</v>
      </c>
      <c r="B625" s="4">
        <v>46039</v>
      </c>
      <c r="C625" s="2" t="s">
        <v>76</v>
      </c>
      <c r="D625" s="2" t="s">
        <v>59</v>
      </c>
      <c r="E625" s="2" t="s">
        <v>32</v>
      </c>
      <c r="F625" s="2" t="s">
        <v>33</v>
      </c>
      <c r="G625" s="2" t="s">
        <v>86</v>
      </c>
      <c r="H625" s="2" t="s">
        <v>87</v>
      </c>
      <c r="I625" s="2" t="s">
        <v>36</v>
      </c>
      <c r="J625" s="2">
        <v>7</v>
      </c>
      <c r="K625" s="5">
        <v>0.03</v>
      </c>
      <c r="L625" s="6">
        <v>2376500</v>
      </c>
      <c r="M625" s="6">
        <v>1470000</v>
      </c>
      <c r="N625" s="6">
        <v>906500</v>
      </c>
      <c r="O625" s="2" t="s">
        <v>63</v>
      </c>
    </row>
    <row r="626" spans="1:15" x14ac:dyDescent="0.35">
      <c r="A626" s="2" t="s">
        <v>780</v>
      </c>
      <c r="B626" s="4">
        <v>46127</v>
      </c>
      <c r="C626" s="2" t="s">
        <v>30</v>
      </c>
      <c r="D626" s="2" t="s">
        <v>40</v>
      </c>
      <c r="E626" s="2" t="s">
        <v>41</v>
      </c>
      <c r="F626" s="2" t="s">
        <v>33</v>
      </c>
      <c r="G626" s="2" t="s">
        <v>34</v>
      </c>
      <c r="H626" s="2" t="s">
        <v>35</v>
      </c>
      <c r="I626" s="2" t="s">
        <v>36</v>
      </c>
      <c r="J626" s="2">
        <v>6</v>
      </c>
      <c r="K626" s="5">
        <v>0</v>
      </c>
      <c r="L626" s="6">
        <v>2850000</v>
      </c>
      <c r="M626" s="6">
        <v>1710000</v>
      </c>
      <c r="N626" s="6">
        <v>1140000</v>
      </c>
      <c r="O626" s="2" t="s">
        <v>84</v>
      </c>
    </row>
    <row r="627" spans="1:15" x14ac:dyDescent="0.35">
      <c r="A627" s="2" t="s">
        <v>781</v>
      </c>
      <c r="B627" s="4">
        <v>46031</v>
      </c>
      <c r="C627" s="2" t="s">
        <v>65</v>
      </c>
      <c r="D627" s="2" t="s">
        <v>40</v>
      </c>
      <c r="E627" s="2" t="s">
        <v>41</v>
      </c>
      <c r="F627" s="2" t="s">
        <v>33</v>
      </c>
      <c r="G627" s="2" t="s">
        <v>42</v>
      </c>
      <c r="H627" s="2" t="s">
        <v>43</v>
      </c>
      <c r="I627" s="2" t="s">
        <v>44</v>
      </c>
      <c r="J627" s="2">
        <v>4</v>
      </c>
      <c r="K627" s="5">
        <v>0</v>
      </c>
      <c r="L627" s="6">
        <v>1100000</v>
      </c>
      <c r="M627" s="6">
        <v>620000</v>
      </c>
      <c r="N627" s="6">
        <v>480000</v>
      </c>
      <c r="O627" s="2" t="s">
        <v>52</v>
      </c>
    </row>
    <row r="628" spans="1:15" x14ac:dyDescent="0.35">
      <c r="A628" s="2" t="s">
        <v>782</v>
      </c>
      <c r="B628" s="4">
        <v>46157</v>
      </c>
      <c r="C628" s="2" t="s">
        <v>95</v>
      </c>
      <c r="D628" s="2" t="s">
        <v>47</v>
      </c>
      <c r="E628" s="2" t="s">
        <v>41</v>
      </c>
      <c r="F628" s="2" t="s">
        <v>33</v>
      </c>
      <c r="G628" s="2" t="s">
        <v>49</v>
      </c>
      <c r="H628" s="2" t="s">
        <v>50</v>
      </c>
      <c r="I628" s="2" t="s">
        <v>51</v>
      </c>
      <c r="J628" s="2"/>
      <c r="K628" s="5">
        <v>0</v>
      </c>
      <c r="L628" s="6">
        <v>1225000</v>
      </c>
      <c r="M628" s="6">
        <v>725000</v>
      </c>
      <c r="N628" s="6">
        <v>500000</v>
      </c>
      <c r="O628" s="2" t="s">
        <v>45</v>
      </c>
    </row>
    <row r="629" spans="1:15" x14ac:dyDescent="0.35">
      <c r="A629" s="2" t="s">
        <v>783</v>
      </c>
      <c r="B629" s="4">
        <v>46190</v>
      </c>
      <c r="C629" s="2" t="s">
        <v>65</v>
      </c>
      <c r="D629" s="2" t="s">
        <v>500</v>
      </c>
      <c r="E629" s="2" t="s">
        <v>81</v>
      </c>
      <c r="F629" s="2" t="s">
        <v>33</v>
      </c>
      <c r="G629" s="2" t="s">
        <v>55</v>
      </c>
      <c r="H629" s="2" t="s">
        <v>56</v>
      </c>
      <c r="I629" s="2" t="s">
        <v>36</v>
      </c>
      <c r="J629" s="2">
        <v>8</v>
      </c>
      <c r="K629" s="5">
        <v>0</v>
      </c>
      <c r="L629" s="6">
        <v>14800000</v>
      </c>
      <c r="M629" s="6">
        <v>10560000</v>
      </c>
      <c r="N629" s="6">
        <v>4240000</v>
      </c>
      <c r="O629" s="2" t="s">
        <v>63</v>
      </c>
    </row>
    <row r="630" spans="1:15" x14ac:dyDescent="0.35">
      <c r="A630" s="2" t="s">
        <v>784</v>
      </c>
      <c r="B630" s="4">
        <v>46037</v>
      </c>
      <c r="C630" s="2" t="s">
        <v>69</v>
      </c>
      <c r="D630" s="2" t="s">
        <v>40</v>
      </c>
      <c r="E630" s="2" t="s">
        <v>81</v>
      </c>
      <c r="F630" s="2" t="s">
        <v>33</v>
      </c>
      <c r="G630" s="2" t="s">
        <v>60</v>
      </c>
      <c r="H630" s="2" t="s">
        <v>61</v>
      </c>
      <c r="I630" s="2" t="s">
        <v>62</v>
      </c>
      <c r="J630" s="2">
        <v>5</v>
      </c>
      <c r="K630" s="5">
        <v>0.1</v>
      </c>
      <c r="L630" s="6">
        <v>292500</v>
      </c>
      <c r="M630" s="6">
        <v>155000</v>
      </c>
      <c r="N630" s="6">
        <v>137500</v>
      </c>
      <c r="O630" s="2" t="s">
        <v>45</v>
      </c>
    </row>
    <row r="631" spans="1:15" x14ac:dyDescent="0.35">
      <c r="A631" s="2" t="s">
        <v>785</v>
      </c>
      <c r="B631" s="4">
        <v>46155</v>
      </c>
      <c r="C631" s="2" t="s">
        <v>39</v>
      </c>
      <c r="D631" s="2" t="s">
        <v>47</v>
      </c>
      <c r="E631" s="2" t="s">
        <v>48</v>
      </c>
      <c r="F631" s="2" t="s">
        <v>33</v>
      </c>
      <c r="G631" s="2" t="s">
        <v>66</v>
      </c>
      <c r="H631" s="2" t="s">
        <v>67</v>
      </c>
      <c r="I631" s="2" t="s">
        <v>51</v>
      </c>
      <c r="J631" s="2">
        <v>2</v>
      </c>
      <c r="K631" s="5">
        <v>0</v>
      </c>
      <c r="L631" s="6">
        <v>620000</v>
      </c>
      <c r="M631" s="6">
        <v>380000</v>
      </c>
      <c r="N631" s="6">
        <v>240000</v>
      </c>
      <c r="O631" s="2" t="s">
        <v>45</v>
      </c>
    </row>
    <row r="632" spans="1:15" x14ac:dyDescent="0.35">
      <c r="A632" s="2" t="s">
        <v>786</v>
      </c>
      <c r="B632" s="4">
        <v>46157</v>
      </c>
      <c r="C632" s="2" t="s">
        <v>69</v>
      </c>
      <c r="D632" s="2" t="s">
        <v>31</v>
      </c>
      <c r="E632" s="2" t="s">
        <v>48</v>
      </c>
      <c r="F632" s="2" t="s">
        <v>33</v>
      </c>
      <c r="G632" s="2" t="s">
        <v>71</v>
      </c>
      <c r="H632" s="2" t="s">
        <v>72</v>
      </c>
      <c r="I632" s="2" t="s">
        <v>73</v>
      </c>
      <c r="J632" s="2">
        <v>4</v>
      </c>
      <c r="K632" s="5">
        <v>0.1</v>
      </c>
      <c r="L632" s="6">
        <v>450000</v>
      </c>
      <c r="M632" s="6">
        <v>280000</v>
      </c>
      <c r="N632" s="6">
        <v>170000</v>
      </c>
      <c r="O632" s="2" t="s">
        <v>63</v>
      </c>
    </row>
    <row r="633" spans="1:15" x14ac:dyDescent="0.35">
      <c r="A633" s="2" t="s">
        <v>787</v>
      </c>
      <c r="B633" s="4">
        <v>46195</v>
      </c>
      <c r="C633" s="2" t="s">
        <v>30</v>
      </c>
      <c r="D633" s="2" t="s">
        <v>40</v>
      </c>
      <c r="E633" s="2" t="s">
        <v>32</v>
      </c>
      <c r="F633" s="2" t="s">
        <v>33</v>
      </c>
      <c r="G633" s="2" t="s">
        <v>78</v>
      </c>
      <c r="H633" s="2" t="s">
        <v>79</v>
      </c>
      <c r="I633" s="2" t="s">
        <v>62</v>
      </c>
      <c r="J633" s="2">
        <v>8</v>
      </c>
      <c r="K633" s="5">
        <v>0.15</v>
      </c>
      <c r="L633" s="6">
        <v>578000</v>
      </c>
      <c r="M633" s="6">
        <v>344000</v>
      </c>
      <c r="N633" s="6">
        <v>234000</v>
      </c>
      <c r="O633" s="2" t="s">
        <v>93</v>
      </c>
    </row>
    <row r="634" spans="1:15" x14ac:dyDescent="0.35">
      <c r="A634" s="2" t="s">
        <v>788</v>
      </c>
      <c r="B634" s="4">
        <v>46152</v>
      </c>
      <c r="C634" s="2" t="s">
        <v>54</v>
      </c>
      <c r="D634" s="2" t="s">
        <v>47</v>
      </c>
      <c r="E634" s="2" t="s">
        <v>48</v>
      </c>
      <c r="F634" s="2" t="s">
        <v>33</v>
      </c>
      <c r="G634" s="2" t="s">
        <v>82</v>
      </c>
      <c r="H634" s="2" t="s">
        <v>83</v>
      </c>
      <c r="I634" s="2" t="s">
        <v>44</v>
      </c>
      <c r="J634" s="2">
        <v>6</v>
      </c>
      <c r="K634" s="5">
        <v>0.15</v>
      </c>
      <c r="L634" s="6">
        <v>7395000</v>
      </c>
      <c r="M634" s="6">
        <v>5880000</v>
      </c>
      <c r="N634" s="6">
        <v>1515000</v>
      </c>
      <c r="O634" s="2" t="s">
        <v>63</v>
      </c>
    </row>
    <row r="635" spans="1:15" x14ac:dyDescent="0.35">
      <c r="A635" s="2" t="s">
        <v>789</v>
      </c>
      <c r="B635" s="4">
        <v>46163</v>
      </c>
      <c r="C635" s="2" t="s">
        <v>39</v>
      </c>
      <c r="D635" s="2" t="s">
        <v>59</v>
      </c>
      <c r="E635" s="2" t="s">
        <v>81</v>
      </c>
      <c r="F635" s="2" t="s">
        <v>33</v>
      </c>
      <c r="G635" s="2" t="s">
        <v>86</v>
      </c>
      <c r="H635" s="2" t="s">
        <v>87</v>
      </c>
      <c r="I635" s="2" t="s">
        <v>36</v>
      </c>
      <c r="J635" s="2">
        <v>6</v>
      </c>
      <c r="K635" s="5">
        <v>0.05</v>
      </c>
      <c r="L635" s="6">
        <v>1995000</v>
      </c>
      <c r="M635" s="6">
        <v>1260000</v>
      </c>
      <c r="N635" s="6">
        <v>735000</v>
      </c>
      <c r="O635" s="2" t="s">
        <v>45</v>
      </c>
    </row>
    <row r="636" spans="1:15" x14ac:dyDescent="0.35">
      <c r="A636" s="2" t="s">
        <v>790</v>
      </c>
      <c r="B636" s="4">
        <v>46119</v>
      </c>
      <c r="C636" s="2" t="s">
        <v>95</v>
      </c>
      <c r="D636" s="2" t="s">
        <v>59</v>
      </c>
      <c r="E636" s="2" t="s">
        <v>41</v>
      </c>
      <c r="F636" s="2" t="s">
        <v>77</v>
      </c>
      <c r="G636" s="2" t="s">
        <v>34</v>
      </c>
      <c r="H636" s="2" t="s">
        <v>35</v>
      </c>
      <c r="I636" s="2" t="s">
        <v>36</v>
      </c>
      <c r="J636" s="2">
        <v>5</v>
      </c>
      <c r="K636" s="5">
        <v>0.05</v>
      </c>
      <c r="L636" s="6">
        <v>564062</v>
      </c>
      <c r="M636" s="6">
        <v>1425000</v>
      </c>
      <c r="N636" s="6">
        <v>-860938</v>
      </c>
      <c r="O636" s="2" t="s">
        <v>57</v>
      </c>
    </row>
    <row r="637" spans="1:15" x14ac:dyDescent="0.35">
      <c r="A637" s="2" t="s">
        <v>791</v>
      </c>
      <c r="B637" s="4">
        <v>46175</v>
      </c>
      <c r="C637" s="2" t="s">
        <v>76</v>
      </c>
      <c r="D637" s="2" t="s">
        <v>70</v>
      </c>
      <c r="E637" s="2" t="s">
        <v>41</v>
      </c>
      <c r="F637" s="2" t="s">
        <v>33</v>
      </c>
      <c r="G637" s="2" t="s">
        <v>42</v>
      </c>
      <c r="H637" s="2" t="s">
        <v>43</v>
      </c>
      <c r="I637" s="2" t="s">
        <v>44</v>
      </c>
      <c r="J637" s="2">
        <v>1</v>
      </c>
      <c r="K637" s="5">
        <v>0.1</v>
      </c>
      <c r="L637" s="6">
        <v>247500</v>
      </c>
      <c r="M637" s="6">
        <v>155000</v>
      </c>
      <c r="N637" s="6">
        <v>92500</v>
      </c>
      <c r="O637" s="2" t="s">
        <v>45</v>
      </c>
    </row>
    <row r="638" spans="1:15" x14ac:dyDescent="0.35">
      <c r="A638" s="2" t="s">
        <v>792</v>
      </c>
      <c r="B638" s="4">
        <v>46077</v>
      </c>
      <c r="C638" s="2" t="s">
        <v>69</v>
      </c>
      <c r="D638" s="2" t="s">
        <v>70</v>
      </c>
      <c r="E638" s="2" t="s">
        <v>32</v>
      </c>
      <c r="F638" s="2" t="s">
        <v>33</v>
      </c>
      <c r="G638" s="2" t="s">
        <v>49</v>
      </c>
      <c r="H638" s="2" t="s">
        <v>50</v>
      </c>
      <c r="I638" s="2" t="s">
        <v>51</v>
      </c>
      <c r="J638" s="2">
        <v>6</v>
      </c>
      <c r="K638" s="5">
        <v>0</v>
      </c>
      <c r="L638" s="6">
        <v>1470000</v>
      </c>
      <c r="M638" s="6">
        <v>870000</v>
      </c>
      <c r="N638" s="6">
        <v>600000</v>
      </c>
      <c r="O638" s="2" t="s">
        <v>74</v>
      </c>
    </row>
    <row r="639" spans="1:15" x14ac:dyDescent="0.35">
      <c r="A639" s="2" t="s">
        <v>793</v>
      </c>
      <c r="B639" s="4">
        <v>46140</v>
      </c>
      <c r="C639" s="2" t="s">
        <v>39</v>
      </c>
      <c r="D639" s="2" t="s">
        <v>70</v>
      </c>
      <c r="E639" s="2" t="s">
        <v>32</v>
      </c>
      <c r="F639" s="2" t="s">
        <v>33</v>
      </c>
      <c r="G639" s="2" t="s">
        <v>55</v>
      </c>
      <c r="H639" s="2" t="s">
        <v>56</v>
      </c>
      <c r="I639" s="2" t="s">
        <v>36</v>
      </c>
      <c r="J639" s="2">
        <v>6</v>
      </c>
      <c r="K639" s="5">
        <v>0.03</v>
      </c>
      <c r="L639" s="6">
        <v>10767000</v>
      </c>
      <c r="M639" s="6">
        <v>7920000</v>
      </c>
      <c r="N639" s="6">
        <v>2847000</v>
      </c>
      <c r="O639" s="2" t="s">
        <v>57</v>
      </c>
    </row>
    <row r="640" spans="1:15" x14ac:dyDescent="0.35">
      <c r="A640" s="2" t="s">
        <v>794</v>
      </c>
      <c r="B640" s="4">
        <v>46099</v>
      </c>
      <c r="C640" s="2" t="s">
        <v>54</v>
      </c>
      <c r="D640" s="2" t="s">
        <v>31</v>
      </c>
      <c r="E640" s="2" t="s">
        <v>41</v>
      </c>
      <c r="F640" s="2" t="s">
        <v>33</v>
      </c>
      <c r="G640" s="2" t="s">
        <v>60</v>
      </c>
      <c r="H640" s="2" t="s">
        <v>61</v>
      </c>
      <c r="I640" s="2" t="s">
        <v>62</v>
      </c>
      <c r="J640" s="2">
        <v>2</v>
      </c>
      <c r="K640" s="5">
        <v>0.1</v>
      </c>
      <c r="L640" s="6">
        <v>117000</v>
      </c>
      <c r="M640" s="6">
        <v>62000</v>
      </c>
      <c r="N640" s="6">
        <v>55000</v>
      </c>
      <c r="O640" s="2" t="s">
        <v>52</v>
      </c>
    </row>
    <row r="641" spans="1:15" x14ac:dyDescent="0.35">
      <c r="A641" s="2" t="s">
        <v>795</v>
      </c>
      <c r="B641" s="4">
        <v>46067</v>
      </c>
      <c r="C641" s="2" t="s">
        <v>95</v>
      </c>
      <c r="D641" s="2" t="s">
        <v>40</v>
      </c>
      <c r="E641" s="2" t="s">
        <v>81</v>
      </c>
      <c r="F641" s="2" t="s">
        <v>33</v>
      </c>
      <c r="G641" s="2" t="s">
        <v>66</v>
      </c>
      <c r="H641" s="2" t="s">
        <v>67</v>
      </c>
      <c r="I641" s="2" t="s">
        <v>51</v>
      </c>
      <c r="J641" s="2">
        <v>8</v>
      </c>
      <c r="K641" s="5">
        <v>0.15</v>
      </c>
      <c r="L641" s="6">
        <v>2108000</v>
      </c>
      <c r="M641" s="6">
        <v>1520000</v>
      </c>
      <c r="N641" s="6">
        <v>588000</v>
      </c>
      <c r="O641" s="2" t="s">
        <v>93</v>
      </c>
    </row>
    <row r="642" spans="1:15" x14ac:dyDescent="0.35">
      <c r="A642" s="2" t="s">
        <v>796</v>
      </c>
      <c r="B642" s="4">
        <v>46043</v>
      </c>
      <c r="C642" s="2" t="s">
        <v>69</v>
      </c>
      <c r="D642" s="2" t="s">
        <v>59</v>
      </c>
      <c r="E642" s="2" t="s">
        <v>48</v>
      </c>
      <c r="F642" s="2" t="s">
        <v>33</v>
      </c>
      <c r="G642" s="2" t="s">
        <v>71</v>
      </c>
      <c r="H642" s="2" t="s">
        <v>72</v>
      </c>
      <c r="I642" s="2" t="s">
        <v>73</v>
      </c>
      <c r="J642" s="2">
        <v>1</v>
      </c>
      <c r="K642" s="5">
        <v>0.05</v>
      </c>
      <c r="L642" s="6">
        <v>118750</v>
      </c>
      <c r="M642" s="6">
        <v>70000</v>
      </c>
      <c r="N642" s="6">
        <v>48750</v>
      </c>
      <c r="O642" s="2" t="s">
        <v>45</v>
      </c>
    </row>
    <row r="643" spans="1:15" x14ac:dyDescent="0.35">
      <c r="A643" s="2" t="s">
        <v>797</v>
      </c>
      <c r="B643" s="4">
        <v>46190</v>
      </c>
      <c r="C643" s="2" t="s">
        <v>76</v>
      </c>
      <c r="D643" s="2" t="s">
        <v>59</v>
      </c>
      <c r="E643" s="2" t="s">
        <v>41</v>
      </c>
      <c r="F643" s="2" t="s">
        <v>33</v>
      </c>
      <c r="G643" s="2" t="s">
        <v>78</v>
      </c>
      <c r="H643" s="2" t="s">
        <v>79</v>
      </c>
      <c r="I643" s="2" t="s">
        <v>62</v>
      </c>
      <c r="J643" s="2">
        <v>1</v>
      </c>
      <c r="K643" s="5">
        <v>0.15</v>
      </c>
      <c r="L643" s="6">
        <v>72250</v>
      </c>
      <c r="M643" s="6">
        <v>43000</v>
      </c>
      <c r="N643" s="6">
        <v>29250</v>
      </c>
      <c r="O643" s="2" t="s">
        <v>74</v>
      </c>
    </row>
    <row r="644" spans="1:15" x14ac:dyDescent="0.35">
      <c r="A644" s="2" t="s">
        <v>798</v>
      </c>
      <c r="B644" s="4">
        <v>46104</v>
      </c>
      <c r="C644" s="2" t="s">
        <v>95</v>
      </c>
      <c r="D644" s="2" t="s">
        <v>31</v>
      </c>
      <c r="E644" s="2" t="s">
        <v>32</v>
      </c>
      <c r="F644" s="2" t="s">
        <v>33</v>
      </c>
      <c r="G644" s="2" t="s">
        <v>799</v>
      </c>
      <c r="H644" s="2" t="s">
        <v>83</v>
      </c>
      <c r="I644" s="2" t="s">
        <v>44</v>
      </c>
      <c r="J644" s="2">
        <v>3</v>
      </c>
      <c r="K644" s="5">
        <v>0.05</v>
      </c>
      <c r="L644" s="6">
        <v>4132500</v>
      </c>
      <c r="M644" s="6">
        <v>2940000</v>
      </c>
      <c r="N644" s="6">
        <v>1192500</v>
      </c>
      <c r="O644" s="2" t="s">
        <v>93</v>
      </c>
    </row>
    <row r="645" spans="1:15" x14ac:dyDescent="0.35">
      <c r="A645" s="2" t="s">
        <v>800</v>
      </c>
      <c r="B645" s="4">
        <v>46137</v>
      </c>
      <c r="C645" s="2" t="s">
        <v>30</v>
      </c>
      <c r="D645" s="2" t="s">
        <v>59</v>
      </c>
      <c r="E645" s="2" t="s">
        <v>32</v>
      </c>
      <c r="F645" s="2" t="s">
        <v>122</v>
      </c>
      <c r="G645" s="2" t="s">
        <v>86</v>
      </c>
      <c r="H645" s="2" t="s">
        <v>87</v>
      </c>
      <c r="I645" s="2" t="s">
        <v>36</v>
      </c>
      <c r="J645" s="2">
        <v>2</v>
      </c>
      <c r="K645" s="5">
        <v>0.03</v>
      </c>
      <c r="L645" s="6">
        <v>679000</v>
      </c>
      <c r="M645" s="6">
        <v>420000</v>
      </c>
      <c r="N645" s="6">
        <v>259000</v>
      </c>
      <c r="O645" s="2" t="s">
        <v>63</v>
      </c>
    </row>
    <row r="646" spans="1:15" x14ac:dyDescent="0.35">
      <c r="A646" s="2" t="s">
        <v>801</v>
      </c>
      <c r="B646" s="4">
        <v>46044</v>
      </c>
      <c r="C646" s="2" t="s">
        <v>76</v>
      </c>
      <c r="D646" s="2" t="s">
        <v>47</v>
      </c>
      <c r="E646" s="2" t="s">
        <v>48</v>
      </c>
      <c r="F646" s="2" t="s">
        <v>33</v>
      </c>
      <c r="G646" s="2" t="s">
        <v>34</v>
      </c>
      <c r="H646" s="2" t="s">
        <v>35</v>
      </c>
      <c r="I646" s="2" t="s">
        <v>36</v>
      </c>
      <c r="J646" s="2">
        <v>8</v>
      </c>
      <c r="K646" s="5">
        <v>0.1</v>
      </c>
      <c r="L646" s="6">
        <v>3420000</v>
      </c>
      <c r="M646" s="6">
        <v>2280000</v>
      </c>
      <c r="N646" s="6">
        <v>1140000</v>
      </c>
      <c r="O646" s="2" t="s">
        <v>37</v>
      </c>
    </row>
    <row r="647" spans="1:15" x14ac:dyDescent="0.35">
      <c r="A647" s="2" t="s">
        <v>802</v>
      </c>
      <c r="B647" s="4">
        <v>46125</v>
      </c>
      <c r="C647" s="2" t="s">
        <v>39</v>
      </c>
      <c r="D647" s="2" t="s">
        <v>31</v>
      </c>
      <c r="E647" s="2" t="s">
        <v>48</v>
      </c>
      <c r="F647" s="2" t="s">
        <v>33</v>
      </c>
      <c r="G647" s="2" t="s">
        <v>42</v>
      </c>
      <c r="H647" s="2" t="s">
        <v>43</v>
      </c>
      <c r="I647" s="2" t="s">
        <v>279</v>
      </c>
      <c r="J647" s="2">
        <v>7</v>
      </c>
      <c r="K647" s="5">
        <v>0.15</v>
      </c>
      <c r="L647" s="6">
        <v>1636250</v>
      </c>
      <c r="M647" s="6">
        <v>1085000</v>
      </c>
      <c r="N647" s="6">
        <v>551250</v>
      </c>
      <c r="O647" s="2" t="s">
        <v>52</v>
      </c>
    </row>
    <row r="648" spans="1:15" x14ac:dyDescent="0.35">
      <c r="A648" s="2" t="s">
        <v>803</v>
      </c>
      <c r="B648" s="4">
        <v>46124</v>
      </c>
      <c r="C648" s="2" t="s">
        <v>39</v>
      </c>
      <c r="D648" s="2" t="s">
        <v>47</v>
      </c>
      <c r="E648" s="2" t="s">
        <v>32</v>
      </c>
      <c r="F648" s="2" t="s">
        <v>33</v>
      </c>
      <c r="G648" s="2" t="s">
        <v>49</v>
      </c>
      <c r="H648" s="2" t="s">
        <v>50</v>
      </c>
      <c r="I648" s="2" t="s">
        <v>51</v>
      </c>
      <c r="J648" s="2">
        <v>4</v>
      </c>
      <c r="K648" s="5">
        <v>0.1</v>
      </c>
      <c r="L648" s="6">
        <v>882000</v>
      </c>
      <c r="M648" s="6">
        <v>580000</v>
      </c>
      <c r="N648" s="6">
        <v>302000</v>
      </c>
      <c r="O648" s="2" t="s">
        <v>37</v>
      </c>
    </row>
    <row r="649" spans="1:15" x14ac:dyDescent="0.35">
      <c r="A649" s="2" t="s">
        <v>804</v>
      </c>
      <c r="B649" s="4">
        <v>46091</v>
      </c>
      <c r="C649" s="2" t="s">
        <v>69</v>
      </c>
      <c r="D649" s="2" t="s">
        <v>47</v>
      </c>
      <c r="E649" s="2" t="s">
        <v>41</v>
      </c>
      <c r="F649" s="2" t="s">
        <v>33</v>
      </c>
      <c r="G649" s="2" t="s">
        <v>55</v>
      </c>
      <c r="H649" s="2" t="s">
        <v>56</v>
      </c>
      <c r="I649" s="2" t="s">
        <v>36</v>
      </c>
      <c r="J649" s="2">
        <v>7</v>
      </c>
      <c r="K649" s="5">
        <v>0.05</v>
      </c>
      <c r="L649" s="6">
        <v>12302500</v>
      </c>
      <c r="M649" s="6">
        <v>9240000</v>
      </c>
      <c r="N649" s="6">
        <v>3062500</v>
      </c>
      <c r="O649" s="2" t="s">
        <v>93</v>
      </c>
    </row>
    <row r="650" spans="1:15" x14ac:dyDescent="0.35">
      <c r="A650" s="2" t="s">
        <v>805</v>
      </c>
      <c r="B650" s="4">
        <v>46131</v>
      </c>
      <c r="C650" s="2" t="s">
        <v>76</v>
      </c>
      <c r="D650" s="2" t="s">
        <v>70</v>
      </c>
      <c r="E650" s="2" t="s">
        <v>235</v>
      </c>
      <c r="F650" s="2" t="s">
        <v>33</v>
      </c>
      <c r="G650" s="2" t="s">
        <v>60</v>
      </c>
      <c r="H650" s="2" t="s">
        <v>61</v>
      </c>
      <c r="I650" s="2" t="s">
        <v>62</v>
      </c>
      <c r="J650" s="2">
        <v>6</v>
      </c>
      <c r="K650" s="5">
        <v>0.05</v>
      </c>
      <c r="L650" s="6">
        <v>370500</v>
      </c>
      <c r="M650" s="6">
        <v>186000</v>
      </c>
      <c r="N650" s="6">
        <v>184500</v>
      </c>
      <c r="O650" s="2" t="s">
        <v>84</v>
      </c>
    </row>
    <row r="651" spans="1:15" x14ac:dyDescent="0.35">
      <c r="A651" s="2" t="s">
        <v>806</v>
      </c>
      <c r="B651" s="4">
        <v>46112</v>
      </c>
      <c r="C651" s="2" t="s">
        <v>39</v>
      </c>
      <c r="D651" s="2" t="s">
        <v>40</v>
      </c>
      <c r="E651" s="2" t="s">
        <v>32</v>
      </c>
      <c r="F651" s="2" t="s">
        <v>33</v>
      </c>
      <c r="G651" s="2" t="s">
        <v>66</v>
      </c>
      <c r="H651" s="2" t="s">
        <v>67</v>
      </c>
      <c r="I651" s="2" t="s">
        <v>51</v>
      </c>
      <c r="J651" s="2">
        <v>8</v>
      </c>
      <c r="K651" s="5">
        <v>0.1</v>
      </c>
      <c r="L651" s="6">
        <v>2232000</v>
      </c>
      <c r="M651" s="6">
        <v>1520000</v>
      </c>
      <c r="N651" s="6">
        <v>712000</v>
      </c>
      <c r="O651" s="2" t="s">
        <v>63</v>
      </c>
    </row>
    <row r="652" spans="1:15" x14ac:dyDescent="0.35">
      <c r="A652" s="2" t="s">
        <v>807</v>
      </c>
      <c r="B652" s="4">
        <v>46062</v>
      </c>
      <c r="C652" s="2" t="s">
        <v>76</v>
      </c>
      <c r="D652" s="2" t="s">
        <v>31</v>
      </c>
      <c r="E652" s="2" t="s">
        <v>32</v>
      </c>
      <c r="F652" s="2" t="s">
        <v>33</v>
      </c>
      <c r="G652" s="2" t="s">
        <v>71</v>
      </c>
      <c r="H652" s="2" t="s">
        <v>72</v>
      </c>
      <c r="I652" s="2" t="s">
        <v>73</v>
      </c>
      <c r="J652" s="2">
        <v>2</v>
      </c>
      <c r="K652" s="5">
        <v>0</v>
      </c>
      <c r="L652" s="6">
        <v>250000</v>
      </c>
      <c r="M652" s="6">
        <v>140000</v>
      </c>
      <c r="N652" s="6">
        <v>110000</v>
      </c>
      <c r="O652" s="2" t="s">
        <v>74</v>
      </c>
    </row>
    <row r="653" spans="1:15" x14ac:dyDescent="0.35">
      <c r="A653" s="2" t="s">
        <v>808</v>
      </c>
      <c r="B653" s="4">
        <v>46110</v>
      </c>
      <c r="C653" s="2" t="s">
        <v>39</v>
      </c>
      <c r="D653" s="2" t="s">
        <v>40</v>
      </c>
      <c r="E653" s="2" t="s">
        <v>81</v>
      </c>
      <c r="F653" s="2" t="s">
        <v>33</v>
      </c>
      <c r="G653" s="2" t="s">
        <v>78</v>
      </c>
      <c r="H653" s="2" t="s">
        <v>79</v>
      </c>
      <c r="I653" s="2" t="s">
        <v>62</v>
      </c>
      <c r="J653" s="2">
        <v>2</v>
      </c>
      <c r="K653" s="5">
        <v>0.05</v>
      </c>
      <c r="L653" s="6">
        <v>161500</v>
      </c>
      <c r="M653" s="6">
        <v>86000</v>
      </c>
      <c r="N653" s="6">
        <v>75500</v>
      </c>
      <c r="O653" s="2" t="s">
        <v>45</v>
      </c>
    </row>
    <row r="654" spans="1:15" x14ac:dyDescent="0.35">
      <c r="A654" s="2" t="s">
        <v>809</v>
      </c>
      <c r="B654" s="2" t="s">
        <v>810</v>
      </c>
      <c r="C654" s="2" t="s">
        <v>65</v>
      </c>
      <c r="D654" s="2" t="s">
        <v>31</v>
      </c>
      <c r="E654" s="2" t="s">
        <v>41</v>
      </c>
      <c r="F654" s="2" t="s">
        <v>33</v>
      </c>
      <c r="G654" s="2" t="s">
        <v>82</v>
      </c>
      <c r="H654" s="2" t="s">
        <v>83</v>
      </c>
      <c r="I654" s="2" t="s">
        <v>44</v>
      </c>
      <c r="J654" s="2">
        <v>5</v>
      </c>
      <c r="K654" s="5">
        <v>0.1</v>
      </c>
      <c r="L654" s="6">
        <v>6525000</v>
      </c>
      <c r="M654" s="6">
        <v>4900000</v>
      </c>
      <c r="N654" s="6">
        <v>1625000</v>
      </c>
      <c r="O654" s="2" t="s">
        <v>74</v>
      </c>
    </row>
    <row r="655" spans="1:15" x14ac:dyDescent="0.35">
      <c r="A655" s="2" t="s">
        <v>811</v>
      </c>
      <c r="B655" s="4">
        <v>46088</v>
      </c>
      <c r="C655" s="2" t="s">
        <v>95</v>
      </c>
      <c r="D655" s="2" t="s">
        <v>47</v>
      </c>
      <c r="E655" s="2" t="s">
        <v>81</v>
      </c>
      <c r="F655" s="2" t="s">
        <v>33</v>
      </c>
      <c r="G655" s="2" t="s">
        <v>86</v>
      </c>
      <c r="H655" s="2" t="s">
        <v>87</v>
      </c>
      <c r="I655" s="2" t="s">
        <v>36</v>
      </c>
      <c r="J655" s="2">
        <v>3</v>
      </c>
      <c r="K655" s="5">
        <v>0</v>
      </c>
      <c r="L655" s="6">
        <v>1050000</v>
      </c>
      <c r="M655" s="6">
        <v>630000</v>
      </c>
      <c r="N655" s="6">
        <v>420000</v>
      </c>
      <c r="O655" s="2" t="s">
        <v>52</v>
      </c>
    </row>
    <row r="656" spans="1:15" x14ac:dyDescent="0.35">
      <c r="A656" s="2" t="s">
        <v>812</v>
      </c>
      <c r="B656" s="4">
        <v>46190</v>
      </c>
      <c r="C656" s="2" t="s">
        <v>69</v>
      </c>
      <c r="D656" s="2" t="s">
        <v>70</v>
      </c>
      <c r="E656" s="2" t="s">
        <v>81</v>
      </c>
      <c r="F656" s="2" t="s">
        <v>33</v>
      </c>
      <c r="G656" s="2" t="s">
        <v>34</v>
      </c>
      <c r="H656" s="2" t="s">
        <v>35</v>
      </c>
      <c r="I656" s="2" t="s">
        <v>36</v>
      </c>
      <c r="J656" s="2">
        <v>1</v>
      </c>
      <c r="K656" s="5">
        <v>0</v>
      </c>
      <c r="L656" s="6">
        <v>475000</v>
      </c>
      <c r="M656" s="6">
        <v>285000</v>
      </c>
      <c r="N656" s="6">
        <v>190000</v>
      </c>
      <c r="O656" s="2" t="s">
        <v>74</v>
      </c>
    </row>
    <row r="657" spans="1:15" x14ac:dyDescent="0.35">
      <c r="A657" s="2" t="s">
        <v>813</v>
      </c>
      <c r="B657" s="4">
        <v>46097</v>
      </c>
      <c r="C657" s="2" t="s">
        <v>111</v>
      </c>
      <c r="D657" s="2" t="s">
        <v>40</v>
      </c>
      <c r="E657" s="2" t="s">
        <v>81</v>
      </c>
      <c r="F657" s="2" t="s">
        <v>77</v>
      </c>
      <c r="G657" s="2" t="s">
        <v>42</v>
      </c>
      <c r="H657" s="2" t="s">
        <v>43</v>
      </c>
      <c r="I657" s="2" t="s">
        <v>44</v>
      </c>
      <c r="J657" s="2">
        <v>7</v>
      </c>
      <c r="K657" s="5">
        <v>0.03</v>
      </c>
      <c r="L657" s="6">
        <v>933625</v>
      </c>
      <c r="M657" s="6">
        <v>1085000</v>
      </c>
      <c r="N657" s="6">
        <v>-151375</v>
      </c>
      <c r="O657" s="2" t="s">
        <v>37</v>
      </c>
    </row>
    <row r="658" spans="1:15" x14ac:dyDescent="0.35">
      <c r="A658" s="2" t="s">
        <v>814</v>
      </c>
      <c r="B658" s="4">
        <v>46070</v>
      </c>
      <c r="C658" s="2" t="s">
        <v>39</v>
      </c>
      <c r="D658" s="2" t="s">
        <v>40</v>
      </c>
      <c r="E658" s="2" t="s">
        <v>41</v>
      </c>
      <c r="F658" s="2" t="s">
        <v>77</v>
      </c>
      <c r="G658" s="2" t="s">
        <v>49</v>
      </c>
      <c r="H658" s="2" t="s">
        <v>50</v>
      </c>
      <c r="I658" s="2" t="s">
        <v>51</v>
      </c>
      <c r="J658" s="2">
        <v>4</v>
      </c>
      <c r="K658" s="5">
        <v>0.1</v>
      </c>
      <c r="L658" s="6">
        <v>441000</v>
      </c>
      <c r="M658" s="6">
        <v>580000</v>
      </c>
      <c r="N658" s="6">
        <v>-139000</v>
      </c>
      <c r="O658" s="2" t="s">
        <v>57</v>
      </c>
    </row>
    <row r="659" spans="1:15" x14ac:dyDescent="0.35">
      <c r="A659" s="2" t="s">
        <v>815</v>
      </c>
      <c r="B659" s="4">
        <v>46108</v>
      </c>
      <c r="C659" s="2" t="s">
        <v>54</v>
      </c>
      <c r="D659" s="2" t="s">
        <v>40</v>
      </c>
      <c r="E659" s="2" t="s">
        <v>81</v>
      </c>
      <c r="F659" s="2" t="s">
        <v>33</v>
      </c>
      <c r="G659" s="2" t="s">
        <v>55</v>
      </c>
      <c r="H659" s="2" t="s">
        <v>56</v>
      </c>
      <c r="I659" s="2" t="s">
        <v>36</v>
      </c>
      <c r="J659" s="2">
        <v>8</v>
      </c>
      <c r="K659" s="5">
        <v>0.08</v>
      </c>
      <c r="L659" s="6">
        <v>13616000</v>
      </c>
      <c r="M659" s="6">
        <v>10560000</v>
      </c>
      <c r="N659" s="6">
        <v>3056000</v>
      </c>
      <c r="O659" s="2" t="s">
        <v>63</v>
      </c>
    </row>
    <row r="660" spans="1:15" x14ac:dyDescent="0.35">
      <c r="A660" s="2" t="s">
        <v>816</v>
      </c>
      <c r="B660" s="4">
        <v>46183</v>
      </c>
      <c r="C660" s="2" t="s">
        <v>76</v>
      </c>
      <c r="D660" s="2" t="s">
        <v>70</v>
      </c>
      <c r="E660" s="2" t="s">
        <v>41</v>
      </c>
      <c r="F660" s="2" t="s">
        <v>77</v>
      </c>
      <c r="G660" s="2" t="s">
        <v>60</v>
      </c>
      <c r="H660" s="2" t="s">
        <v>61</v>
      </c>
      <c r="I660" s="2" t="s">
        <v>62</v>
      </c>
      <c r="J660" s="2">
        <v>5</v>
      </c>
      <c r="K660" s="5">
        <v>0.03</v>
      </c>
      <c r="L660" s="6">
        <v>157625</v>
      </c>
      <c r="M660" s="6">
        <v>155000</v>
      </c>
      <c r="N660" s="6">
        <v>2625</v>
      </c>
      <c r="O660" s="2" t="s">
        <v>93</v>
      </c>
    </row>
    <row r="661" spans="1:15" x14ac:dyDescent="0.35">
      <c r="A661" s="2" t="s">
        <v>817</v>
      </c>
      <c r="B661" s="4">
        <v>46030</v>
      </c>
      <c r="C661" s="2" t="s">
        <v>69</v>
      </c>
      <c r="D661" s="2" t="s">
        <v>59</v>
      </c>
      <c r="E661" s="2" t="s">
        <v>32</v>
      </c>
      <c r="F661" s="2" t="s">
        <v>33</v>
      </c>
      <c r="G661" s="2" t="s">
        <v>66</v>
      </c>
      <c r="H661" s="2" t="s">
        <v>67</v>
      </c>
      <c r="I661" s="2" t="s">
        <v>51</v>
      </c>
      <c r="J661" s="2">
        <v>5</v>
      </c>
      <c r="K661" s="5">
        <v>0.03</v>
      </c>
      <c r="L661" s="6" t="s">
        <v>818</v>
      </c>
      <c r="M661" s="6">
        <v>950000</v>
      </c>
      <c r="N661" s="6">
        <v>553500</v>
      </c>
      <c r="O661" s="2" t="s">
        <v>93</v>
      </c>
    </row>
    <row r="662" spans="1:15" x14ac:dyDescent="0.35">
      <c r="A662" s="2" t="s">
        <v>819</v>
      </c>
      <c r="B662" s="4">
        <v>46156</v>
      </c>
      <c r="C662" s="2" t="s">
        <v>76</v>
      </c>
      <c r="D662" s="2" t="s">
        <v>31</v>
      </c>
      <c r="E662" s="2" t="s">
        <v>48</v>
      </c>
      <c r="F662" s="2" t="s">
        <v>33</v>
      </c>
      <c r="G662" s="2" t="s">
        <v>71</v>
      </c>
      <c r="H662" s="2" t="s">
        <v>72</v>
      </c>
      <c r="I662" s="2" t="s">
        <v>73</v>
      </c>
      <c r="J662" s="2">
        <v>4</v>
      </c>
      <c r="K662" s="5">
        <v>0.08</v>
      </c>
      <c r="L662" s="6">
        <v>460000</v>
      </c>
      <c r="M662" s="6">
        <v>280000</v>
      </c>
      <c r="N662" s="6">
        <v>180000</v>
      </c>
      <c r="O662" s="2" t="s">
        <v>63</v>
      </c>
    </row>
    <row r="663" spans="1:15" x14ac:dyDescent="0.35">
      <c r="A663" s="2" t="s">
        <v>820</v>
      </c>
      <c r="B663" s="2" t="s">
        <v>821</v>
      </c>
      <c r="C663" s="2" t="s">
        <v>30</v>
      </c>
      <c r="D663" s="2" t="s">
        <v>47</v>
      </c>
      <c r="E663" s="2" t="s">
        <v>32</v>
      </c>
      <c r="F663" s="2" t="s">
        <v>33</v>
      </c>
      <c r="G663" s="2" t="s">
        <v>78</v>
      </c>
      <c r="H663" s="2" t="s">
        <v>79</v>
      </c>
      <c r="I663" s="2" t="s">
        <v>62</v>
      </c>
      <c r="J663" s="2">
        <v>3</v>
      </c>
      <c r="K663" s="5">
        <v>0.03</v>
      </c>
      <c r="L663" s="6">
        <v>247350</v>
      </c>
      <c r="M663" s="6">
        <v>129000</v>
      </c>
      <c r="N663" s="6">
        <v>118350</v>
      </c>
      <c r="O663" s="2" t="s">
        <v>57</v>
      </c>
    </row>
    <row r="664" spans="1:15" x14ac:dyDescent="0.35">
      <c r="A664" s="2" t="s">
        <v>822</v>
      </c>
      <c r="B664" s="4">
        <v>46199</v>
      </c>
      <c r="C664" s="2" t="s">
        <v>54</v>
      </c>
      <c r="D664" s="2" t="s">
        <v>47</v>
      </c>
      <c r="E664" s="2" t="s">
        <v>32</v>
      </c>
      <c r="F664" s="2" t="s">
        <v>77</v>
      </c>
      <c r="G664" s="2" t="s">
        <v>82</v>
      </c>
      <c r="H664" s="2" t="s">
        <v>83</v>
      </c>
      <c r="I664" s="2" t="s">
        <v>44</v>
      </c>
      <c r="J664" s="2">
        <v>3</v>
      </c>
      <c r="K664" s="5">
        <v>0.08</v>
      </c>
      <c r="L664" s="6">
        <v>0</v>
      </c>
      <c r="M664" s="6">
        <v>2940000</v>
      </c>
      <c r="N664" s="6">
        <v>-2940000</v>
      </c>
      <c r="O664" s="2" t="s">
        <v>37</v>
      </c>
    </row>
    <row r="665" spans="1:15" x14ac:dyDescent="0.35">
      <c r="A665" s="2" t="s">
        <v>823</v>
      </c>
      <c r="B665" s="4">
        <v>46165</v>
      </c>
      <c r="C665" s="2" t="s">
        <v>54</v>
      </c>
      <c r="D665" s="2" t="s">
        <v>31</v>
      </c>
      <c r="E665" s="2" t="s">
        <v>41</v>
      </c>
      <c r="F665" s="2" t="s">
        <v>33</v>
      </c>
      <c r="G665" s="2" t="s">
        <v>86</v>
      </c>
      <c r="H665" s="2" t="s">
        <v>87</v>
      </c>
      <c r="I665" s="2" t="s">
        <v>36</v>
      </c>
      <c r="J665" s="2">
        <v>2</v>
      </c>
      <c r="K665" s="5">
        <v>0.03</v>
      </c>
      <c r="L665" s="6">
        <v>679000</v>
      </c>
      <c r="M665" s="6">
        <v>420000</v>
      </c>
      <c r="N665" s="6">
        <v>259000</v>
      </c>
      <c r="O665" s="2" t="s">
        <v>93</v>
      </c>
    </row>
    <row r="666" spans="1:15" x14ac:dyDescent="0.35">
      <c r="A666" s="2" t="s">
        <v>824</v>
      </c>
      <c r="B666" s="4">
        <v>46128</v>
      </c>
      <c r="C666" s="2" t="s">
        <v>39</v>
      </c>
      <c r="D666" s="2" t="s">
        <v>70</v>
      </c>
      <c r="E666" s="2" t="s">
        <v>32</v>
      </c>
      <c r="F666" s="2" t="s">
        <v>33</v>
      </c>
      <c r="G666" s="2" t="s">
        <v>34</v>
      </c>
      <c r="H666" s="2" t="s">
        <v>35</v>
      </c>
      <c r="I666" s="2" t="s">
        <v>36</v>
      </c>
      <c r="J666" s="2">
        <v>5</v>
      </c>
      <c r="K666" s="5">
        <v>0.08</v>
      </c>
      <c r="L666" s="6">
        <v>2185000</v>
      </c>
      <c r="M666" s="6">
        <v>1425000</v>
      </c>
      <c r="N666" s="6">
        <v>760000</v>
      </c>
      <c r="O666" s="2" t="s">
        <v>37</v>
      </c>
    </row>
    <row r="667" spans="1:15" x14ac:dyDescent="0.35">
      <c r="A667" s="2" t="s">
        <v>825</v>
      </c>
      <c r="B667" s="4">
        <v>46056</v>
      </c>
      <c r="C667" s="2" t="s">
        <v>39</v>
      </c>
      <c r="D667" s="2" t="s">
        <v>47</v>
      </c>
      <c r="E667" s="2" t="s">
        <v>81</v>
      </c>
      <c r="F667" s="2" t="s">
        <v>33</v>
      </c>
      <c r="G667" s="2" t="s">
        <v>42</v>
      </c>
      <c r="H667" s="2" t="s">
        <v>43</v>
      </c>
      <c r="I667" s="2" t="s">
        <v>44</v>
      </c>
      <c r="J667" s="2">
        <v>3</v>
      </c>
      <c r="K667" s="5">
        <v>0</v>
      </c>
      <c r="L667" s="6">
        <v>825000</v>
      </c>
      <c r="M667" s="6">
        <v>465000</v>
      </c>
      <c r="N667" s="6">
        <v>360000</v>
      </c>
      <c r="O667" s="2" t="s">
        <v>45</v>
      </c>
    </row>
    <row r="668" spans="1:15" x14ac:dyDescent="0.35">
      <c r="A668" s="2" t="s">
        <v>826</v>
      </c>
      <c r="B668" s="4">
        <v>46082</v>
      </c>
      <c r="C668" s="2" t="s">
        <v>111</v>
      </c>
      <c r="D668" s="2" t="s">
        <v>59</v>
      </c>
      <c r="E668" s="2" t="s">
        <v>32</v>
      </c>
      <c r="F668" s="2" t="s">
        <v>33</v>
      </c>
      <c r="G668" s="2" t="s">
        <v>49</v>
      </c>
      <c r="H668" s="2" t="s">
        <v>50</v>
      </c>
      <c r="I668" s="2" t="s">
        <v>51</v>
      </c>
      <c r="J668" s="2">
        <v>1</v>
      </c>
      <c r="K668" s="5">
        <v>0.05</v>
      </c>
      <c r="L668" s="6">
        <v>232750</v>
      </c>
      <c r="M668" s="6">
        <v>145000</v>
      </c>
      <c r="N668" s="6">
        <v>87750</v>
      </c>
      <c r="O668" s="2" t="s">
        <v>63</v>
      </c>
    </row>
    <row r="669" spans="1:15" x14ac:dyDescent="0.35">
      <c r="A669" s="2" t="s">
        <v>827</v>
      </c>
      <c r="B669" s="2"/>
      <c r="C669" s="2" t="s">
        <v>39</v>
      </c>
      <c r="D669" s="2" t="s">
        <v>31</v>
      </c>
      <c r="E669" s="2" t="s">
        <v>32</v>
      </c>
      <c r="F669" s="2" t="s">
        <v>33</v>
      </c>
      <c r="G669" s="2" t="s">
        <v>55</v>
      </c>
      <c r="H669" s="2" t="s">
        <v>56</v>
      </c>
      <c r="I669" s="2" t="s">
        <v>36</v>
      </c>
      <c r="J669" s="2">
        <v>7</v>
      </c>
      <c r="K669" s="5">
        <v>0.08</v>
      </c>
      <c r="L669" s="6">
        <v>11914000</v>
      </c>
      <c r="M669" s="6">
        <v>9240000</v>
      </c>
      <c r="N669" s="6">
        <v>2674000</v>
      </c>
      <c r="O669" s="2" t="s">
        <v>74</v>
      </c>
    </row>
    <row r="670" spans="1:15" x14ac:dyDescent="0.35">
      <c r="A670" s="2" t="s">
        <v>828</v>
      </c>
      <c r="B670" s="4">
        <v>46127</v>
      </c>
      <c r="C670" s="2" t="s">
        <v>69</v>
      </c>
      <c r="D670" s="2" t="s">
        <v>31</v>
      </c>
      <c r="E670" s="2" t="s">
        <v>32</v>
      </c>
      <c r="F670" s="2" t="s">
        <v>112</v>
      </c>
      <c r="G670" s="2" t="s">
        <v>60</v>
      </c>
      <c r="H670" s="2" t="s">
        <v>61</v>
      </c>
      <c r="I670" s="2" t="s">
        <v>62</v>
      </c>
      <c r="J670" s="2">
        <v>1</v>
      </c>
      <c r="K670" s="5">
        <v>0.05</v>
      </c>
      <c r="L670" s="6">
        <v>0</v>
      </c>
      <c r="M670" s="6">
        <v>31000</v>
      </c>
      <c r="N670" s="6">
        <v>-31000</v>
      </c>
      <c r="O670" s="2" t="s">
        <v>84</v>
      </c>
    </row>
    <row r="671" spans="1:15" x14ac:dyDescent="0.35">
      <c r="A671" s="2" t="s">
        <v>829</v>
      </c>
      <c r="B671" s="4">
        <v>46135</v>
      </c>
      <c r="C671" s="2" t="s">
        <v>65</v>
      </c>
      <c r="D671" s="2" t="s">
        <v>59</v>
      </c>
      <c r="E671" s="2" t="s">
        <v>32</v>
      </c>
      <c r="F671" s="2" t="s">
        <v>146</v>
      </c>
      <c r="G671" s="2" t="s">
        <v>66</v>
      </c>
      <c r="H671" s="2" t="s">
        <v>67</v>
      </c>
      <c r="I671" s="2" t="s">
        <v>51</v>
      </c>
      <c r="J671" s="2">
        <v>8</v>
      </c>
      <c r="K671" s="5">
        <v>0.15</v>
      </c>
      <c r="L671" s="6">
        <v>2108000</v>
      </c>
      <c r="M671" s="6">
        <v>1520000</v>
      </c>
      <c r="N671" s="6">
        <v>588000</v>
      </c>
      <c r="O671" s="2" t="s">
        <v>93</v>
      </c>
    </row>
    <row r="672" spans="1:15" x14ac:dyDescent="0.35">
      <c r="A672" s="2" t="s">
        <v>830</v>
      </c>
      <c r="B672" s="4">
        <v>46033</v>
      </c>
      <c r="C672" s="2" t="s">
        <v>69</v>
      </c>
      <c r="D672" s="2" t="s">
        <v>47</v>
      </c>
      <c r="E672" s="2" t="s">
        <v>41</v>
      </c>
      <c r="F672" s="2" t="s">
        <v>33</v>
      </c>
      <c r="G672" s="2" t="s">
        <v>71</v>
      </c>
      <c r="H672" s="2" t="s">
        <v>72</v>
      </c>
      <c r="I672" s="2" t="s">
        <v>73</v>
      </c>
      <c r="J672" s="2">
        <v>7</v>
      </c>
      <c r="K672" s="5">
        <v>0.15</v>
      </c>
      <c r="L672" s="6">
        <v>743750</v>
      </c>
      <c r="M672" s="6">
        <v>490000</v>
      </c>
      <c r="N672" s="6">
        <v>253750</v>
      </c>
      <c r="O672" s="2" t="s">
        <v>52</v>
      </c>
    </row>
    <row r="673" spans="1:15" x14ac:dyDescent="0.35">
      <c r="A673" s="2" t="s">
        <v>831</v>
      </c>
      <c r="B673" s="4">
        <v>46139</v>
      </c>
      <c r="C673" s="2" t="s">
        <v>65</v>
      </c>
      <c r="D673" s="2" t="s">
        <v>59</v>
      </c>
      <c r="E673" s="2" t="s">
        <v>41</v>
      </c>
      <c r="F673" s="2" t="s">
        <v>33</v>
      </c>
      <c r="G673" s="2" t="s">
        <v>78</v>
      </c>
      <c r="H673" s="2" t="s">
        <v>79</v>
      </c>
      <c r="I673" s="2" t="s">
        <v>149</v>
      </c>
      <c r="J673" s="2">
        <v>1</v>
      </c>
      <c r="K673" s="5">
        <v>0.03</v>
      </c>
      <c r="L673" s="6">
        <v>82450</v>
      </c>
      <c r="M673" s="6">
        <v>43000</v>
      </c>
      <c r="N673" s="6">
        <v>39450</v>
      </c>
      <c r="O673" s="2" t="s">
        <v>74</v>
      </c>
    </row>
    <row r="674" spans="1:15" x14ac:dyDescent="0.35">
      <c r="A674" s="2" t="s">
        <v>832</v>
      </c>
      <c r="B674" s="4">
        <v>46071</v>
      </c>
      <c r="C674" s="2" t="s">
        <v>111</v>
      </c>
      <c r="D674" s="2" t="s">
        <v>70</v>
      </c>
      <c r="E674" s="2" t="s">
        <v>81</v>
      </c>
      <c r="F674" s="2" t="s">
        <v>33</v>
      </c>
      <c r="G674" s="2" t="s">
        <v>82</v>
      </c>
      <c r="H674" s="2" t="s">
        <v>83</v>
      </c>
      <c r="I674" s="2" t="s">
        <v>44</v>
      </c>
      <c r="J674" s="2">
        <v>5</v>
      </c>
      <c r="K674" s="5">
        <v>0.08</v>
      </c>
      <c r="L674" s="6">
        <v>6670000</v>
      </c>
      <c r="M674" s="6">
        <v>4900000</v>
      </c>
      <c r="N674" s="6">
        <v>1770000</v>
      </c>
      <c r="O674" s="2" t="s">
        <v>84</v>
      </c>
    </row>
    <row r="675" spans="1:15" x14ac:dyDescent="0.35">
      <c r="A675" s="2" t="s">
        <v>833</v>
      </c>
      <c r="B675" s="4">
        <v>46131</v>
      </c>
      <c r="C675" s="2" t="s">
        <v>111</v>
      </c>
      <c r="D675" s="2" t="s">
        <v>47</v>
      </c>
      <c r="E675" s="2" t="s">
        <v>32</v>
      </c>
      <c r="F675" s="2" t="s">
        <v>112</v>
      </c>
      <c r="G675" s="2" t="s">
        <v>86</v>
      </c>
      <c r="H675" s="2" t="s">
        <v>87</v>
      </c>
      <c r="I675" s="2" t="s">
        <v>36</v>
      </c>
      <c r="J675" s="2">
        <v>5</v>
      </c>
      <c r="K675" s="5">
        <v>0.1</v>
      </c>
      <c r="L675" s="6"/>
      <c r="M675" s="6">
        <v>1050000</v>
      </c>
      <c r="N675" s="6">
        <v>-262500</v>
      </c>
      <c r="O675" s="2" t="s">
        <v>52</v>
      </c>
    </row>
    <row r="676" spans="1:15" x14ac:dyDescent="0.35">
      <c r="A676" s="2" t="s">
        <v>834</v>
      </c>
      <c r="B676" s="4">
        <v>46046</v>
      </c>
      <c r="C676" s="2" t="s">
        <v>65</v>
      </c>
      <c r="D676" s="2" t="s">
        <v>47</v>
      </c>
      <c r="E676" s="2" t="s">
        <v>226</v>
      </c>
      <c r="F676" s="2" t="s">
        <v>33</v>
      </c>
      <c r="G676" s="2" t="s">
        <v>34</v>
      </c>
      <c r="H676" s="2" t="s">
        <v>35</v>
      </c>
      <c r="I676" s="2" t="s">
        <v>36</v>
      </c>
      <c r="J676" s="2">
        <v>2</v>
      </c>
      <c r="K676" s="5">
        <v>0.03</v>
      </c>
      <c r="L676" s="6">
        <v>921500</v>
      </c>
      <c r="M676" s="6">
        <v>570000</v>
      </c>
      <c r="N676" s="6">
        <v>351500</v>
      </c>
      <c r="O676" s="2" t="s">
        <v>93</v>
      </c>
    </row>
    <row r="677" spans="1:15" x14ac:dyDescent="0.35">
      <c r="A677" s="2" t="s">
        <v>835</v>
      </c>
      <c r="B677" s="4">
        <v>46105</v>
      </c>
      <c r="C677" s="2" t="s">
        <v>111</v>
      </c>
      <c r="D677" s="2" t="s">
        <v>47</v>
      </c>
      <c r="E677" s="2" t="s">
        <v>32</v>
      </c>
      <c r="F677" s="2" t="s">
        <v>33</v>
      </c>
      <c r="G677" s="2" t="s">
        <v>42</v>
      </c>
      <c r="H677" s="2" t="s">
        <v>43</v>
      </c>
      <c r="I677" s="2" t="s">
        <v>44</v>
      </c>
      <c r="J677" s="2">
        <v>8</v>
      </c>
      <c r="K677" s="5">
        <v>0</v>
      </c>
      <c r="L677" s="6">
        <v>2200000</v>
      </c>
      <c r="M677" s="6">
        <v>1240000</v>
      </c>
      <c r="N677" s="6">
        <v>960000</v>
      </c>
      <c r="O677" s="2" t="s">
        <v>37</v>
      </c>
    </row>
    <row r="678" spans="1:15" x14ac:dyDescent="0.35">
      <c r="A678" s="2" t="s">
        <v>836</v>
      </c>
      <c r="B678" s="4">
        <v>46087</v>
      </c>
      <c r="C678" s="2" t="s">
        <v>69</v>
      </c>
      <c r="D678" s="2" t="s">
        <v>31</v>
      </c>
      <c r="E678" s="2" t="s">
        <v>41</v>
      </c>
      <c r="F678" s="2" t="s">
        <v>33</v>
      </c>
      <c r="G678" s="2" t="s">
        <v>49</v>
      </c>
      <c r="H678" s="2" t="s">
        <v>50</v>
      </c>
      <c r="I678" s="2" t="s">
        <v>51</v>
      </c>
      <c r="J678" s="2">
        <v>6</v>
      </c>
      <c r="K678" s="5">
        <v>0.15</v>
      </c>
      <c r="L678" s="6">
        <v>1249500</v>
      </c>
      <c r="M678" s="6">
        <v>870000</v>
      </c>
      <c r="N678" s="6">
        <v>379500</v>
      </c>
      <c r="O678" s="2" t="s">
        <v>37</v>
      </c>
    </row>
    <row r="679" spans="1:15" x14ac:dyDescent="0.35">
      <c r="A679" s="2" t="s">
        <v>837</v>
      </c>
      <c r="B679" s="4">
        <v>46203</v>
      </c>
      <c r="C679" s="2" t="s">
        <v>30</v>
      </c>
      <c r="D679" s="2" t="s">
        <v>47</v>
      </c>
      <c r="E679" s="2" t="s">
        <v>48</v>
      </c>
      <c r="F679" s="2" t="s">
        <v>33</v>
      </c>
      <c r="G679" s="2" t="s">
        <v>55</v>
      </c>
      <c r="H679" s="2" t="s">
        <v>56</v>
      </c>
      <c r="I679" s="2" t="s">
        <v>36</v>
      </c>
      <c r="J679" s="2">
        <v>8</v>
      </c>
      <c r="K679" s="5">
        <v>0.15</v>
      </c>
      <c r="L679" s="6">
        <v>12580000</v>
      </c>
      <c r="M679" s="6">
        <v>10560000</v>
      </c>
      <c r="N679" s="6">
        <v>2020000</v>
      </c>
      <c r="O679" s="2" t="s">
        <v>93</v>
      </c>
    </row>
    <row r="680" spans="1:15" x14ac:dyDescent="0.35">
      <c r="A680" s="2" t="s">
        <v>838</v>
      </c>
      <c r="B680" s="4">
        <v>46163</v>
      </c>
      <c r="C680" s="2" t="s">
        <v>30</v>
      </c>
      <c r="D680" s="2" t="s">
        <v>70</v>
      </c>
      <c r="E680" s="2" t="s">
        <v>32</v>
      </c>
      <c r="F680" s="2" t="s">
        <v>33</v>
      </c>
      <c r="G680" s="2" t="s">
        <v>60</v>
      </c>
      <c r="H680" s="2" t="s">
        <v>61</v>
      </c>
      <c r="I680" s="2" t="s">
        <v>62</v>
      </c>
      <c r="J680" s="2">
        <v>7</v>
      </c>
      <c r="K680" s="5">
        <v>0</v>
      </c>
      <c r="L680" s="6">
        <v>455000</v>
      </c>
      <c r="M680" s="6">
        <v>217000</v>
      </c>
      <c r="N680" s="6">
        <v>238000</v>
      </c>
      <c r="O680" s="2" t="s">
        <v>84</v>
      </c>
    </row>
    <row r="681" spans="1:15" x14ac:dyDescent="0.35">
      <c r="A681" s="2" t="s">
        <v>839</v>
      </c>
      <c r="B681" s="4">
        <v>46068</v>
      </c>
      <c r="C681" s="2" t="s">
        <v>30</v>
      </c>
      <c r="D681" s="2" t="s">
        <v>141</v>
      </c>
      <c r="E681" s="2" t="s">
        <v>81</v>
      </c>
      <c r="F681" s="2" t="s">
        <v>33</v>
      </c>
      <c r="G681" s="2" t="s">
        <v>66</v>
      </c>
      <c r="H681" s="2" t="s">
        <v>67</v>
      </c>
      <c r="I681" s="2" t="s">
        <v>51</v>
      </c>
      <c r="J681" s="2">
        <v>1</v>
      </c>
      <c r="K681" s="5">
        <v>0.08</v>
      </c>
      <c r="L681" s="6">
        <v>285200</v>
      </c>
      <c r="M681" s="6">
        <v>190000</v>
      </c>
      <c r="N681" s="6">
        <v>95200</v>
      </c>
      <c r="O681" s="2" t="s">
        <v>37</v>
      </c>
    </row>
    <row r="682" spans="1:15" x14ac:dyDescent="0.35">
      <c r="A682" s="2" t="s">
        <v>840</v>
      </c>
      <c r="B682" s="4">
        <v>46056</v>
      </c>
      <c r="C682" s="2" t="s">
        <v>111</v>
      </c>
      <c r="D682" s="2" t="s">
        <v>70</v>
      </c>
      <c r="E682" s="2" t="s">
        <v>41</v>
      </c>
      <c r="F682" s="2" t="s">
        <v>33</v>
      </c>
      <c r="G682" s="2" t="s">
        <v>71</v>
      </c>
      <c r="H682" s="2" t="s">
        <v>72</v>
      </c>
      <c r="I682" s="2" t="s">
        <v>73</v>
      </c>
      <c r="J682" s="2">
        <v>4</v>
      </c>
      <c r="K682" s="5">
        <v>0</v>
      </c>
      <c r="L682" s="6">
        <v>500000</v>
      </c>
      <c r="M682" s="6">
        <v>280000</v>
      </c>
      <c r="N682" s="6">
        <v>220000</v>
      </c>
      <c r="O682" s="2" t="s">
        <v>52</v>
      </c>
    </row>
    <row r="683" spans="1:15" x14ac:dyDescent="0.35">
      <c r="A683" s="2" t="s">
        <v>841</v>
      </c>
      <c r="B683" s="4">
        <v>46150</v>
      </c>
      <c r="C683" s="2" t="s">
        <v>111</v>
      </c>
      <c r="D683" s="2" t="s">
        <v>31</v>
      </c>
      <c r="E683" s="2" t="s">
        <v>32</v>
      </c>
      <c r="F683" s="2" t="s">
        <v>90</v>
      </c>
      <c r="G683" s="2" t="s">
        <v>78</v>
      </c>
      <c r="H683" s="2" t="s">
        <v>79</v>
      </c>
      <c r="I683" s="2" t="s">
        <v>62</v>
      </c>
      <c r="J683" s="2">
        <v>1</v>
      </c>
      <c r="K683" s="5">
        <v>0.1</v>
      </c>
      <c r="L683" s="6">
        <v>76500</v>
      </c>
      <c r="M683" s="6">
        <v>43000</v>
      </c>
      <c r="N683" s="6">
        <v>33500</v>
      </c>
      <c r="O683" s="2" t="s">
        <v>52</v>
      </c>
    </row>
    <row r="684" spans="1:15" x14ac:dyDescent="0.35">
      <c r="A684" s="2" t="s">
        <v>842</v>
      </c>
      <c r="B684" s="4">
        <v>46127</v>
      </c>
      <c r="C684" s="2" t="s">
        <v>76</v>
      </c>
      <c r="D684" s="2" t="s">
        <v>40</v>
      </c>
      <c r="E684" s="2" t="s">
        <v>32</v>
      </c>
      <c r="F684" s="2" t="s">
        <v>33</v>
      </c>
      <c r="G684" s="2" t="s">
        <v>82</v>
      </c>
      <c r="H684" s="2" t="s">
        <v>83</v>
      </c>
      <c r="I684" s="2" t="s">
        <v>44</v>
      </c>
      <c r="J684" s="2">
        <v>8</v>
      </c>
      <c r="K684" s="5">
        <v>0</v>
      </c>
      <c r="L684" s="6">
        <v>11600000</v>
      </c>
      <c r="M684" s="6">
        <v>7840000</v>
      </c>
      <c r="N684" s="6">
        <v>3760000</v>
      </c>
      <c r="O684" s="2" t="s">
        <v>45</v>
      </c>
    </row>
    <row r="685" spans="1:15" x14ac:dyDescent="0.35">
      <c r="A685" s="2" t="s">
        <v>843</v>
      </c>
      <c r="B685" s="4">
        <v>46035</v>
      </c>
      <c r="C685" s="2" t="s">
        <v>30</v>
      </c>
      <c r="D685" s="2" t="s">
        <v>70</v>
      </c>
      <c r="E685" s="2" t="s">
        <v>41</v>
      </c>
      <c r="F685" s="2" t="s">
        <v>33</v>
      </c>
      <c r="G685" s="2" t="s">
        <v>86</v>
      </c>
      <c r="H685" s="2" t="s">
        <v>87</v>
      </c>
      <c r="I685" s="2" t="s">
        <v>36</v>
      </c>
      <c r="J685" s="2">
        <v>3</v>
      </c>
      <c r="K685" s="5">
        <v>0.03</v>
      </c>
      <c r="L685" s="6">
        <v>1018500</v>
      </c>
      <c r="M685" s="6">
        <v>630000</v>
      </c>
      <c r="N685" s="6">
        <v>388500</v>
      </c>
      <c r="O685" s="2" t="s">
        <v>74</v>
      </c>
    </row>
    <row r="686" spans="1:15" x14ac:dyDescent="0.35">
      <c r="A686" s="2" t="s">
        <v>844</v>
      </c>
      <c r="B686" s="4">
        <v>46193</v>
      </c>
      <c r="C686" s="2" t="s">
        <v>30</v>
      </c>
      <c r="D686" s="2" t="s">
        <v>40</v>
      </c>
      <c r="E686" s="2" t="s">
        <v>48</v>
      </c>
      <c r="F686" s="2" t="s">
        <v>112</v>
      </c>
      <c r="G686" s="2" t="s">
        <v>34</v>
      </c>
      <c r="H686" s="2" t="s">
        <v>35</v>
      </c>
      <c r="I686" s="2" t="s">
        <v>36</v>
      </c>
      <c r="J686" s="2">
        <v>5</v>
      </c>
      <c r="K686" s="5">
        <v>0.05</v>
      </c>
      <c r="L686" s="6">
        <v>0</v>
      </c>
      <c r="M686" s="6">
        <v>1425000</v>
      </c>
      <c r="N686" s="6">
        <v>-1425000</v>
      </c>
      <c r="O686" s="2" t="s">
        <v>84</v>
      </c>
    </row>
    <row r="687" spans="1:15" x14ac:dyDescent="0.35">
      <c r="A687" s="2" t="s">
        <v>845</v>
      </c>
      <c r="B687" s="4">
        <v>46195</v>
      </c>
      <c r="C687" s="2" t="s">
        <v>111</v>
      </c>
      <c r="D687" s="2" t="s">
        <v>47</v>
      </c>
      <c r="E687" s="2" t="s">
        <v>32</v>
      </c>
      <c r="F687" s="2" t="s">
        <v>33</v>
      </c>
      <c r="G687" s="2" t="s">
        <v>42</v>
      </c>
      <c r="H687" s="2" t="s">
        <v>43</v>
      </c>
      <c r="I687" s="2" t="s">
        <v>44</v>
      </c>
      <c r="J687" s="2">
        <v>5</v>
      </c>
      <c r="K687" s="5">
        <v>0.1</v>
      </c>
      <c r="L687" s="6">
        <v>1237500</v>
      </c>
      <c r="M687" s="6">
        <v>775000</v>
      </c>
      <c r="N687" s="6">
        <v>462500</v>
      </c>
      <c r="O687" s="2" t="s">
        <v>63</v>
      </c>
    </row>
    <row r="688" spans="1:15" x14ac:dyDescent="0.35">
      <c r="A688" s="2" t="s">
        <v>846</v>
      </c>
      <c r="B688" s="4">
        <v>46032</v>
      </c>
      <c r="C688" s="2" t="s">
        <v>65</v>
      </c>
      <c r="D688" s="2" t="s">
        <v>59</v>
      </c>
      <c r="E688" s="2" t="s">
        <v>41</v>
      </c>
      <c r="F688" s="2" t="s">
        <v>122</v>
      </c>
      <c r="G688" s="2" t="s">
        <v>49</v>
      </c>
      <c r="H688" s="2" t="s">
        <v>50</v>
      </c>
      <c r="I688" s="2" t="s">
        <v>51</v>
      </c>
      <c r="J688" s="2">
        <v>2</v>
      </c>
      <c r="K688" s="5">
        <v>0.05</v>
      </c>
      <c r="L688" s="6">
        <v>465500</v>
      </c>
      <c r="M688" s="6">
        <v>290000</v>
      </c>
      <c r="N688" s="6">
        <v>175500</v>
      </c>
      <c r="O688" s="2" t="s">
        <v>37</v>
      </c>
    </row>
    <row r="689" spans="1:15" x14ac:dyDescent="0.35">
      <c r="A689" s="2" t="s">
        <v>847</v>
      </c>
      <c r="B689" s="4">
        <v>46097</v>
      </c>
      <c r="C689" s="2" t="s">
        <v>65</v>
      </c>
      <c r="D689" s="2" t="s">
        <v>70</v>
      </c>
      <c r="E689" s="2" t="s">
        <v>81</v>
      </c>
      <c r="F689" s="2" t="s">
        <v>33</v>
      </c>
      <c r="G689" s="2" t="s">
        <v>55</v>
      </c>
      <c r="H689" s="2" t="s">
        <v>56</v>
      </c>
      <c r="I689" s="2" t="s">
        <v>36</v>
      </c>
      <c r="J689" s="2">
        <v>8</v>
      </c>
      <c r="K689" s="5">
        <v>0.03</v>
      </c>
      <c r="L689" s="6">
        <v>14356000</v>
      </c>
      <c r="M689" s="6">
        <v>10560000</v>
      </c>
      <c r="N689" s="6">
        <v>3796000</v>
      </c>
      <c r="O689" s="2" t="s">
        <v>45</v>
      </c>
    </row>
    <row r="690" spans="1:15" x14ac:dyDescent="0.35">
      <c r="A690" s="2" t="s">
        <v>848</v>
      </c>
      <c r="B690" s="4">
        <v>46201</v>
      </c>
      <c r="C690" s="2" t="s">
        <v>111</v>
      </c>
      <c r="D690" s="2" t="s">
        <v>47</v>
      </c>
      <c r="E690" s="2" t="s">
        <v>41</v>
      </c>
      <c r="F690" s="2" t="s">
        <v>33</v>
      </c>
      <c r="G690" s="2" t="s">
        <v>60</v>
      </c>
      <c r="H690" s="2" t="s">
        <v>61</v>
      </c>
      <c r="I690" s="2" t="s">
        <v>377</v>
      </c>
      <c r="J690" s="2">
        <v>4</v>
      </c>
      <c r="K690" s="5">
        <v>0.1</v>
      </c>
      <c r="L690" s="6">
        <v>234000</v>
      </c>
      <c r="M690" s="6">
        <v>124000</v>
      </c>
      <c r="N690" s="6">
        <v>110000</v>
      </c>
      <c r="O690" s="2" t="s">
        <v>57</v>
      </c>
    </row>
    <row r="691" spans="1:15" x14ac:dyDescent="0.35">
      <c r="A691" s="2" t="s">
        <v>849</v>
      </c>
      <c r="B691" s="4">
        <v>46132</v>
      </c>
      <c r="C691" s="2" t="s">
        <v>30</v>
      </c>
      <c r="D691" s="2" t="s">
        <v>47</v>
      </c>
      <c r="E691" s="2" t="s">
        <v>81</v>
      </c>
      <c r="F691" s="2" t="s">
        <v>33</v>
      </c>
      <c r="G691" s="2" t="s">
        <v>66</v>
      </c>
      <c r="H691" s="2" t="s">
        <v>67</v>
      </c>
      <c r="I691" s="2" t="s">
        <v>51</v>
      </c>
      <c r="J691" s="2">
        <v>6</v>
      </c>
      <c r="K691" s="5">
        <v>0.05</v>
      </c>
      <c r="L691" s="6">
        <v>1767000</v>
      </c>
      <c r="M691" s="6">
        <v>1140000</v>
      </c>
      <c r="N691" s="6">
        <v>627000</v>
      </c>
      <c r="O691" s="2" t="s">
        <v>52</v>
      </c>
    </row>
    <row r="692" spans="1:15" x14ac:dyDescent="0.35">
      <c r="A692" s="2" t="s">
        <v>850</v>
      </c>
      <c r="B692" s="4">
        <v>46156</v>
      </c>
      <c r="C692" s="2" t="s">
        <v>76</v>
      </c>
      <c r="D692" s="2" t="s">
        <v>47</v>
      </c>
      <c r="E692" s="2" t="s">
        <v>32</v>
      </c>
      <c r="F692" s="2" t="s">
        <v>90</v>
      </c>
      <c r="G692" s="2" t="s">
        <v>71</v>
      </c>
      <c r="H692" s="2" t="s">
        <v>72</v>
      </c>
      <c r="I692" s="2" t="s">
        <v>73</v>
      </c>
      <c r="J692" s="2">
        <v>8</v>
      </c>
      <c r="K692" s="5">
        <v>0.08</v>
      </c>
      <c r="L692" s="6">
        <v>920000</v>
      </c>
      <c r="M692" s="6">
        <v>560000</v>
      </c>
      <c r="N692" s="6">
        <v>360000</v>
      </c>
      <c r="O692" s="2" t="s">
        <v>45</v>
      </c>
    </row>
    <row r="693" spans="1:15" x14ac:dyDescent="0.35">
      <c r="A693" s="2" t="s">
        <v>851</v>
      </c>
      <c r="B693" s="4">
        <v>46023</v>
      </c>
      <c r="C693" s="2" t="s">
        <v>65</v>
      </c>
      <c r="D693" s="2" t="s">
        <v>40</v>
      </c>
      <c r="E693" s="2" t="s">
        <v>130</v>
      </c>
      <c r="F693" s="2" t="s">
        <v>33</v>
      </c>
      <c r="G693" s="2" t="s">
        <v>78</v>
      </c>
      <c r="H693" s="2" t="s">
        <v>79</v>
      </c>
      <c r="I693" s="2" t="s">
        <v>62</v>
      </c>
      <c r="J693" s="2">
        <v>2</v>
      </c>
      <c r="K693" s="5">
        <v>0</v>
      </c>
      <c r="L693" s="6">
        <v>170000</v>
      </c>
      <c r="M693" s="6">
        <v>86000</v>
      </c>
      <c r="N693" s="6">
        <v>84000</v>
      </c>
      <c r="O693" s="2" t="s">
        <v>93</v>
      </c>
    </row>
    <row r="694" spans="1:15" x14ac:dyDescent="0.35">
      <c r="A694" s="2" t="s">
        <v>852</v>
      </c>
      <c r="B694" s="4">
        <v>46034</v>
      </c>
      <c r="C694" s="2" t="s">
        <v>39</v>
      </c>
      <c r="D694" s="2" t="s">
        <v>31</v>
      </c>
      <c r="E694" s="2" t="s">
        <v>41</v>
      </c>
      <c r="F694" s="2" t="s">
        <v>33</v>
      </c>
      <c r="G694" s="2" t="s">
        <v>82</v>
      </c>
      <c r="H694" s="2" t="s">
        <v>83</v>
      </c>
      <c r="I694" s="2" t="s">
        <v>44</v>
      </c>
      <c r="J694" s="2">
        <v>6</v>
      </c>
      <c r="K694" s="5">
        <v>0.05</v>
      </c>
      <c r="L694" s="6">
        <v>8265000</v>
      </c>
      <c r="M694" s="6">
        <v>5880000</v>
      </c>
      <c r="N694" s="6">
        <v>2385000</v>
      </c>
      <c r="O694" s="2" t="s">
        <v>57</v>
      </c>
    </row>
    <row r="695" spans="1:15" x14ac:dyDescent="0.35">
      <c r="A695" s="2" t="s">
        <v>853</v>
      </c>
      <c r="B695" s="4">
        <v>46088</v>
      </c>
      <c r="C695" s="2" t="s">
        <v>95</v>
      </c>
      <c r="D695" s="2" t="s">
        <v>47</v>
      </c>
      <c r="E695" s="2" t="s">
        <v>81</v>
      </c>
      <c r="F695" s="2" t="s">
        <v>33</v>
      </c>
      <c r="G695" s="2" t="s">
        <v>86</v>
      </c>
      <c r="H695" s="2" t="s">
        <v>87</v>
      </c>
      <c r="I695" s="2" t="s">
        <v>36</v>
      </c>
      <c r="J695" s="2">
        <v>2</v>
      </c>
      <c r="K695" s="5">
        <v>0.05</v>
      </c>
      <c r="L695" s="6">
        <v>665000</v>
      </c>
      <c r="M695" s="6">
        <v>420000</v>
      </c>
      <c r="N695" s="6">
        <v>245000</v>
      </c>
      <c r="O695" s="2" t="s">
        <v>37</v>
      </c>
    </row>
    <row r="696" spans="1:15" x14ac:dyDescent="0.35">
      <c r="A696" s="2" t="s">
        <v>854</v>
      </c>
      <c r="B696" s="4">
        <v>46198</v>
      </c>
      <c r="C696" s="2" t="s">
        <v>30</v>
      </c>
      <c r="D696" s="2" t="s">
        <v>47</v>
      </c>
      <c r="E696" s="2" t="s">
        <v>41</v>
      </c>
      <c r="F696" s="2" t="s">
        <v>33</v>
      </c>
      <c r="G696" s="2" t="s">
        <v>34</v>
      </c>
      <c r="H696" s="2" t="s">
        <v>35</v>
      </c>
      <c r="I696" s="2" t="s">
        <v>36</v>
      </c>
      <c r="J696" s="2">
        <v>6</v>
      </c>
      <c r="K696" s="5">
        <v>0.05</v>
      </c>
      <c r="L696" s="6">
        <v>2707500</v>
      </c>
      <c r="M696" s="6">
        <v>1710000</v>
      </c>
      <c r="N696" s="6">
        <v>997500</v>
      </c>
      <c r="O696" s="2" t="s">
        <v>45</v>
      </c>
    </row>
    <row r="697" spans="1:15" x14ac:dyDescent="0.35">
      <c r="A697" s="2" t="s">
        <v>855</v>
      </c>
      <c r="B697" s="4">
        <v>46107</v>
      </c>
      <c r="C697" s="2" t="s">
        <v>30</v>
      </c>
      <c r="D697" s="2" t="s">
        <v>59</v>
      </c>
      <c r="E697" s="2" t="s">
        <v>41</v>
      </c>
      <c r="F697" s="2" t="s">
        <v>33</v>
      </c>
      <c r="G697" s="2" t="s">
        <v>42</v>
      </c>
      <c r="H697" s="2" t="s">
        <v>43</v>
      </c>
      <c r="I697" s="2" t="s">
        <v>44</v>
      </c>
      <c r="J697" s="2">
        <v>6</v>
      </c>
      <c r="K697" s="5">
        <v>0.15</v>
      </c>
      <c r="L697" s="6">
        <v>1402500</v>
      </c>
      <c r="M697" s="6">
        <v>930000</v>
      </c>
      <c r="N697" s="6">
        <v>472500</v>
      </c>
      <c r="O697" s="2" t="s">
        <v>52</v>
      </c>
    </row>
    <row r="698" spans="1:15" x14ac:dyDescent="0.35">
      <c r="A698" s="2" t="s">
        <v>856</v>
      </c>
      <c r="B698" s="4">
        <v>46062</v>
      </c>
      <c r="C698" s="2" t="s">
        <v>76</v>
      </c>
      <c r="D698" s="2" t="s">
        <v>59</v>
      </c>
      <c r="E698" s="2" t="s">
        <v>41</v>
      </c>
      <c r="F698" s="2" t="s">
        <v>112</v>
      </c>
      <c r="G698" s="2" t="s">
        <v>49</v>
      </c>
      <c r="H698" s="2" t="s">
        <v>50</v>
      </c>
      <c r="I698" s="2" t="s">
        <v>51</v>
      </c>
      <c r="J698" s="2">
        <v>8</v>
      </c>
      <c r="K698" s="5">
        <v>0.1</v>
      </c>
      <c r="L698" s="6">
        <v>441000</v>
      </c>
      <c r="M698" s="6">
        <v>1160000</v>
      </c>
      <c r="N698" s="6">
        <v>-719000</v>
      </c>
      <c r="O698" s="2" t="s">
        <v>63</v>
      </c>
    </row>
    <row r="699" spans="1:15" x14ac:dyDescent="0.35">
      <c r="A699" s="2" t="s">
        <v>857</v>
      </c>
      <c r="B699" s="4">
        <v>46165</v>
      </c>
      <c r="C699" s="2" t="s">
        <v>69</v>
      </c>
      <c r="D699" s="2" t="s">
        <v>70</v>
      </c>
      <c r="E699" s="2" t="s">
        <v>81</v>
      </c>
      <c r="F699" s="2" t="s">
        <v>33</v>
      </c>
      <c r="G699" s="2" t="s">
        <v>55</v>
      </c>
      <c r="H699" s="2" t="s">
        <v>56</v>
      </c>
      <c r="I699" s="2" t="s">
        <v>36</v>
      </c>
      <c r="J699" s="2">
        <v>1</v>
      </c>
      <c r="K699" s="5">
        <v>0.03</v>
      </c>
      <c r="L699" s="6">
        <v>1794500</v>
      </c>
      <c r="M699" s="6">
        <v>1320000</v>
      </c>
      <c r="N699" s="6">
        <v>474500</v>
      </c>
      <c r="O699" s="2" t="s">
        <v>84</v>
      </c>
    </row>
    <row r="700" spans="1:15" x14ac:dyDescent="0.35">
      <c r="A700" s="2" t="s">
        <v>858</v>
      </c>
      <c r="B700" s="4">
        <v>46094</v>
      </c>
      <c r="C700" s="2" t="s">
        <v>65</v>
      </c>
      <c r="D700" s="2" t="s">
        <v>47</v>
      </c>
      <c r="E700" s="2" t="s">
        <v>32</v>
      </c>
      <c r="F700" s="2" t="s">
        <v>77</v>
      </c>
      <c r="G700" s="2" t="s">
        <v>60</v>
      </c>
      <c r="H700" s="2" t="s">
        <v>61</v>
      </c>
      <c r="I700" s="2" t="s">
        <v>62</v>
      </c>
      <c r="J700" s="2">
        <v>1</v>
      </c>
      <c r="K700" s="5">
        <v>0.05</v>
      </c>
      <c r="L700" s="6">
        <v>30875</v>
      </c>
      <c r="M700" s="6">
        <v>31000</v>
      </c>
      <c r="N700" s="6">
        <v>-125</v>
      </c>
      <c r="O700" s="2" t="s">
        <v>84</v>
      </c>
    </row>
    <row r="701" spans="1:15" x14ac:dyDescent="0.35">
      <c r="A701" s="2" t="s">
        <v>859</v>
      </c>
      <c r="B701" s="4">
        <v>46175</v>
      </c>
      <c r="C701" s="2" t="s">
        <v>76</v>
      </c>
      <c r="D701" s="2" t="s">
        <v>70</v>
      </c>
      <c r="E701" s="2" t="s">
        <v>41</v>
      </c>
      <c r="F701" s="2" t="s">
        <v>33</v>
      </c>
      <c r="G701" s="2" t="s">
        <v>66</v>
      </c>
      <c r="H701" s="2" t="s">
        <v>67</v>
      </c>
      <c r="I701" s="2" t="s">
        <v>51</v>
      </c>
      <c r="J701" s="2">
        <v>2</v>
      </c>
      <c r="K701" s="5">
        <v>0.05</v>
      </c>
      <c r="L701" s="6">
        <v>589000</v>
      </c>
      <c r="M701" s="6">
        <v>380000</v>
      </c>
      <c r="N701" s="6">
        <v>209000</v>
      </c>
      <c r="O701" s="2" t="s">
        <v>93</v>
      </c>
    </row>
    <row r="702" spans="1:15" x14ac:dyDescent="0.35">
      <c r="A702" s="2" t="s">
        <v>860</v>
      </c>
      <c r="B702" s="4">
        <v>46045</v>
      </c>
      <c r="C702" s="2" t="s">
        <v>76</v>
      </c>
      <c r="D702" s="2" t="s">
        <v>70</v>
      </c>
      <c r="E702" s="2" t="s">
        <v>32</v>
      </c>
      <c r="F702" s="2" t="s">
        <v>33</v>
      </c>
      <c r="G702" s="2" t="s">
        <v>71</v>
      </c>
      <c r="H702" s="2" t="s">
        <v>72</v>
      </c>
      <c r="I702" s="2" t="s">
        <v>73</v>
      </c>
      <c r="J702" s="2">
        <v>8</v>
      </c>
      <c r="K702" s="5">
        <v>0.03</v>
      </c>
      <c r="L702" s="6" t="s">
        <v>861</v>
      </c>
      <c r="M702" s="6">
        <v>560000</v>
      </c>
      <c r="N702" s="6">
        <v>410000</v>
      </c>
      <c r="O702" s="2" t="s">
        <v>84</v>
      </c>
    </row>
    <row r="703" spans="1:15" x14ac:dyDescent="0.35">
      <c r="A703" s="2" t="s">
        <v>862</v>
      </c>
      <c r="B703" s="4">
        <v>46051</v>
      </c>
      <c r="C703" s="2" t="s">
        <v>95</v>
      </c>
      <c r="D703" s="2" t="s">
        <v>40</v>
      </c>
      <c r="E703" s="2" t="s">
        <v>48</v>
      </c>
      <c r="F703" s="2" t="s">
        <v>33</v>
      </c>
      <c r="G703" s="2" t="s">
        <v>78</v>
      </c>
      <c r="H703" s="2" t="s">
        <v>79</v>
      </c>
      <c r="I703" s="2" t="s">
        <v>62</v>
      </c>
      <c r="J703" s="2">
        <v>6</v>
      </c>
      <c r="K703" s="5">
        <v>0</v>
      </c>
      <c r="L703" s="6">
        <v>510000</v>
      </c>
      <c r="M703" s="6">
        <v>258000</v>
      </c>
      <c r="N703" s="6">
        <v>252000</v>
      </c>
      <c r="O703" s="2" t="s">
        <v>52</v>
      </c>
    </row>
    <row r="704" spans="1:15" x14ac:dyDescent="0.35">
      <c r="A704" s="2" t="s">
        <v>863</v>
      </c>
      <c r="B704" s="4">
        <v>46151</v>
      </c>
      <c r="C704" s="2" t="s">
        <v>54</v>
      </c>
      <c r="D704" s="2" t="s">
        <v>59</v>
      </c>
      <c r="E704" s="2" t="s">
        <v>81</v>
      </c>
      <c r="F704" s="2" t="s">
        <v>33</v>
      </c>
      <c r="G704" s="2" t="s">
        <v>82</v>
      </c>
      <c r="H704" s="2" t="s">
        <v>83</v>
      </c>
      <c r="I704" s="2" t="s">
        <v>44</v>
      </c>
      <c r="J704" s="2">
        <v>3</v>
      </c>
      <c r="K704" s="5">
        <v>0.03</v>
      </c>
      <c r="L704" s="6">
        <v>4219500</v>
      </c>
      <c r="M704" s="6">
        <v>2940000</v>
      </c>
      <c r="N704" s="6">
        <v>1279500</v>
      </c>
      <c r="O704" s="2" t="s">
        <v>84</v>
      </c>
    </row>
    <row r="705" spans="1:15" x14ac:dyDescent="0.35">
      <c r="A705" s="2" t="s">
        <v>864</v>
      </c>
      <c r="B705" s="4">
        <v>46048</v>
      </c>
      <c r="C705" s="2" t="s">
        <v>69</v>
      </c>
      <c r="D705" s="2" t="s">
        <v>59</v>
      </c>
      <c r="E705" s="2" t="s">
        <v>48</v>
      </c>
      <c r="F705" s="2" t="s">
        <v>33</v>
      </c>
      <c r="G705" s="2" t="s">
        <v>86</v>
      </c>
      <c r="H705" s="2" t="s">
        <v>87</v>
      </c>
      <c r="I705" s="2" t="s">
        <v>36</v>
      </c>
      <c r="J705" s="2">
        <v>3</v>
      </c>
      <c r="K705" s="5">
        <v>0.03</v>
      </c>
      <c r="L705" s="6">
        <v>1018500</v>
      </c>
      <c r="M705" s="6">
        <v>630000</v>
      </c>
      <c r="N705" s="6">
        <v>388500</v>
      </c>
      <c r="O705" s="2" t="s">
        <v>74</v>
      </c>
    </row>
    <row r="706" spans="1:15" x14ac:dyDescent="0.35">
      <c r="A706" s="2" t="s">
        <v>865</v>
      </c>
      <c r="B706" s="4">
        <v>46102</v>
      </c>
      <c r="C706" s="2" t="s">
        <v>111</v>
      </c>
      <c r="D706" s="2" t="s">
        <v>40</v>
      </c>
      <c r="E706" s="2" t="s">
        <v>81</v>
      </c>
      <c r="F706" s="2" t="s">
        <v>90</v>
      </c>
      <c r="G706" s="2" t="s">
        <v>34</v>
      </c>
      <c r="H706" s="2" t="s">
        <v>35</v>
      </c>
      <c r="I706" s="2" t="s">
        <v>36</v>
      </c>
      <c r="J706" s="2">
        <v>1</v>
      </c>
      <c r="K706" s="5">
        <v>0.15</v>
      </c>
      <c r="L706" s="6">
        <v>403750</v>
      </c>
      <c r="M706" s="6">
        <v>285000</v>
      </c>
      <c r="N706" s="6">
        <v>118750</v>
      </c>
      <c r="O706" s="2" t="s">
        <v>74</v>
      </c>
    </row>
    <row r="707" spans="1:15" x14ac:dyDescent="0.35">
      <c r="A707" s="2" t="s">
        <v>866</v>
      </c>
      <c r="B707" s="4">
        <v>46049</v>
      </c>
      <c r="C707" s="2" t="s">
        <v>54</v>
      </c>
      <c r="D707" s="2" t="s">
        <v>70</v>
      </c>
      <c r="E707" s="2" t="s">
        <v>32</v>
      </c>
      <c r="F707" s="2" t="s">
        <v>33</v>
      </c>
      <c r="G707" s="2" t="s">
        <v>42</v>
      </c>
      <c r="H707" s="2" t="s">
        <v>43</v>
      </c>
      <c r="I707" s="2" t="s">
        <v>44</v>
      </c>
      <c r="J707" s="2">
        <v>5</v>
      </c>
      <c r="K707" s="5">
        <v>0</v>
      </c>
      <c r="L707" s="6">
        <v>1375000</v>
      </c>
      <c r="M707" s="6">
        <v>775000</v>
      </c>
      <c r="N707" s="6">
        <v>600000</v>
      </c>
      <c r="O707" s="2" t="s">
        <v>45</v>
      </c>
    </row>
    <row r="708" spans="1:15" x14ac:dyDescent="0.35">
      <c r="A708" s="2" t="s">
        <v>867</v>
      </c>
      <c r="B708" s="4">
        <v>46072</v>
      </c>
      <c r="C708" s="2" t="s">
        <v>76</v>
      </c>
      <c r="D708" s="2" t="s">
        <v>59</v>
      </c>
      <c r="E708" s="2" t="s">
        <v>41</v>
      </c>
      <c r="F708" s="2" t="s">
        <v>33</v>
      </c>
      <c r="G708" s="2" t="s">
        <v>49</v>
      </c>
      <c r="H708" s="2" t="s">
        <v>50</v>
      </c>
      <c r="I708" s="2" t="s">
        <v>51</v>
      </c>
      <c r="J708" s="2">
        <v>5</v>
      </c>
      <c r="K708" s="5">
        <v>0.05</v>
      </c>
      <c r="L708" s="6">
        <v>1163750</v>
      </c>
      <c r="M708" s="6">
        <v>725000</v>
      </c>
      <c r="N708" s="6">
        <v>438750</v>
      </c>
      <c r="O708" s="2" t="s">
        <v>84</v>
      </c>
    </row>
    <row r="709" spans="1:15" x14ac:dyDescent="0.35">
      <c r="A709" s="2" t="s">
        <v>868</v>
      </c>
      <c r="B709" s="4">
        <v>46063</v>
      </c>
      <c r="C709" s="2" t="s">
        <v>39</v>
      </c>
      <c r="D709" s="2" t="s">
        <v>47</v>
      </c>
      <c r="E709" s="2" t="s">
        <v>41</v>
      </c>
      <c r="F709" s="2" t="s">
        <v>33</v>
      </c>
      <c r="G709" s="2" t="s">
        <v>55</v>
      </c>
      <c r="H709" s="2" t="s">
        <v>56</v>
      </c>
      <c r="I709" s="2" t="s">
        <v>36</v>
      </c>
      <c r="J709" s="2">
        <v>5</v>
      </c>
      <c r="K709" s="5">
        <v>0</v>
      </c>
      <c r="L709" s="6">
        <v>9250000</v>
      </c>
      <c r="M709" s="6">
        <v>6600000</v>
      </c>
      <c r="N709" s="6">
        <v>2650000</v>
      </c>
      <c r="O709" s="2" t="s">
        <v>63</v>
      </c>
    </row>
    <row r="710" spans="1:15" x14ac:dyDescent="0.35">
      <c r="A710" s="2" t="s">
        <v>869</v>
      </c>
      <c r="B710" s="2" t="s">
        <v>870</v>
      </c>
      <c r="C710" s="2" t="s">
        <v>30</v>
      </c>
      <c r="D710" s="2" t="s">
        <v>70</v>
      </c>
      <c r="E710" s="2" t="s">
        <v>32</v>
      </c>
      <c r="F710" s="2" t="s">
        <v>33</v>
      </c>
      <c r="G710" s="2" t="s">
        <v>60</v>
      </c>
      <c r="H710" s="2" t="s">
        <v>61</v>
      </c>
      <c r="I710" s="2" t="s">
        <v>62</v>
      </c>
      <c r="J710" s="2">
        <v>6</v>
      </c>
      <c r="K710" s="5">
        <v>0.05</v>
      </c>
      <c r="L710" s="6">
        <v>370500</v>
      </c>
      <c r="M710" s="6">
        <v>186000</v>
      </c>
      <c r="N710" s="6">
        <v>184500</v>
      </c>
      <c r="O710" s="2" t="s">
        <v>37</v>
      </c>
    </row>
    <row r="711" spans="1:15" x14ac:dyDescent="0.35">
      <c r="A711" s="2" t="s">
        <v>871</v>
      </c>
      <c r="B711" s="4">
        <v>46102</v>
      </c>
      <c r="C711" s="2" t="s">
        <v>111</v>
      </c>
      <c r="D711" s="2" t="s">
        <v>31</v>
      </c>
      <c r="E711" s="2" t="s">
        <v>41</v>
      </c>
      <c r="F711" s="2" t="s">
        <v>33</v>
      </c>
      <c r="G711" s="2" t="s">
        <v>66</v>
      </c>
      <c r="H711" s="2" t="s">
        <v>67</v>
      </c>
      <c r="I711" s="2" t="s">
        <v>51</v>
      </c>
      <c r="J711" s="2">
        <v>6</v>
      </c>
      <c r="K711" s="5">
        <v>0.1</v>
      </c>
      <c r="L711" s="6">
        <v>1674000</v>
      </c>
      <c r="M711" s="6">
        <v>1140000</v>
      </c>
      <c r="N711" s="6">
        <v>534000</v>
      </c>
      <c r="O711" s="2" t="s">
        <v>74</v>
      </c>
    </row>
    <row r="712" spans="1:15" x14ac:dyDescent="0.35">
      <c r="A712" s="2" t="s">
        <v>872</v>
      </c>
      <c r="B712" s="4">
        <v>46050</v>
      </c>
      <c r="C712" s="2" t="s">
        <v>111</v>
      </c>
      <c r="D712" s="2" t="s">
        <v>59</v>
      </c>
      <c r="E712" s="2" t="s">
        <v>32</v>
      </c>
      <c r="F712" s="2" t="s">
        <v>33</v>
      </c>
      <c r="G712" s="2" t="s">
        <v>71</v>
      </c>
      <c r="H712" s="2" t="s">
        <v>72</v>
      </c>
      <c r="I712" s="2" t="s">
        <v>73</v>
      </c>
      <c r="J712" s="2">
        <v>7</v>
      </c>
      <c r="K712" s="5">
        <v>0</v>
      </c>
      <c r="L712" s="6">
        <v>875000</v>
      </c>
      <c r="M712" s="6">
        <v>490000</v>
      </c>
      <c r="N712" s="6">
        <v>385000</v>
      </c>
      <c r="O712" s="2" t="s">
        <v>63</v>
      </c>
    </row>
    <row r="713" spans="1:15" x14ac:dyDescent="0.35">
      <c r="A713" s="2" t="s">
        <v>873</v>
      </c>
      <c r="B713" s="2" t="s">
        <v>874</v>
      </c>
      <c r="C713" s="2" t="s">
        <v>111</v>
      </c>
      <c r="D713" s="2" t="s">
        <v>47</v>
      </c>
      <c r="E713" s="2" t="s">
        <v>41</v>
      </c>
      <c r="F713" s="2" t="s">
        <v>33</v>
      </c>
      <c r="G713" s="2" t="s">
        <v>78</v>
      </c>
      <c r="H713" s="2" t="s">
        <v>79</v>
      </c>
      <c r="I713" s="2" t="s">
        <v>62</v>
      </c>
      <c r="J713" s="2">
        <v>6</v>
      </c>
      <c r="K713" s="5">
        <v>0.03</v>
      </c>
      <c r="L713" s="6">
        <v>494700</v>
      </c>
      <c r="M713" s="6">
        <v>258000</v>
      </c>
      <c r="N713" s="6">
        <v>236700</v>
      </c>
      <c r="O713" s="2" t="s">
        <v>84</v>
      </c>
    </row>
    <row r="714" spans="1:15" x14ac:dyDescent="0.35">
      <c r="A714" s="2" t="s">
        <v>875</v>
      </c>
      <c r="B714" s="4">
        <v>46046</v>
      </c>
      <c r="C714" s="2" t="s">
        <v>39</v>
      </c>
      <c r="D714" s="2" t="s">
        <v>59</v>
      </c>
      <c r="E714" s="2" t="s">
        <v>48</v>
      </c>
      <c r="F714" s="2" t="s">
        <v>33</v>
      </c>
      <c r="G714" s="2" t="s">
        <v>82</v>
      </c>
      <c r="H714" s="2" t="s">
        <v>83</v>
      </c>
      <c r="I714" s="2" t="s">
        <v>44</v>
      </c>
      <c r="J714" s="2">
        <v>8</v>
      </c>
      <c r="K714" s="5">
        <v>0</v>
      </c>
      <c r="L714" s="6">
        <v>11600000</v>
      </c>
      <c r="M714" s="6">
        <v>7840000</v>
      </c>
      <c r="N714" s="6">
        <v>3760000</v>
      </c>
      <c r="O714" s="2" t="s">
        <v>45</v>
      </c>
    </row>
    <row r="715" spans="1:15" x14ac:dyDescent="0.35">
      <c r="A715" s="2" t="s">
        <v>876</v>
      </c>
      <c r="B715" s="4">
        <v>46059</v>
      </c>
      <c r="C715" s="2" t="s">
        <v>111</v>
      </c>
      <c r="D715" s="2" t="s">
        <v>70</v>
      </c>
      <c r="E715" s="2" t="s">
        <v>81</v>
      </c>
      <c r="F715" s="2" t="s">
        <v>33</v>
      </c>
      <c r="G715" s="2" t="s">
        <v>877</v>
      </c>
      <c r="H715" s="2" t="s">
        <v>87</v>
      </c>
      <c r="I715" s="2" t="s">
        <v>36</v>
      </c>
      <c r="J715" s="2">
        <v>5</v>
      </c>
      <c r="K715" s="5">
        <v>0.05</v>
      </c>
      <c r="L715" s="6">
        <v>1662500</v>
      </c>
      <c r="M715" s="6">
        <v>1050000</v>
      </c>
      <c r="N715" s="6">
        <v>612500</v>
      </c>
      <c r="O715" s="2" t="s">
        <v>52</v>
      </c>
    </row>
    <row r="716" spans="1:15" x14ac:dyDescent="0.35">
      <c r="A716" s="2" t="s">
        <v>878</v>
      </c>
      <c r="B716" s="4">
        <v>46030</v>
      </c>
      <c r="C716" s="2" t="s">
        <v>30</v>
      </c>
      <c r="D716" s="2" t="s">
        <v>59</v>
      </c>
      <c r="E716" s="2" t="s">
        <v>48</v>
      </c>
      <c r="F716" s="2" t="s">
        <v>33</v>
      </c>
      <c r="G716" s="2" t="s">
        <v>34</v>
      </c>
      <c r="H716" s="2" t="s">
        <v>35</v>
      </c>
      <c r="I716" s="2" t="s">
        <v>36</v>
      </c>
      <c r="J716" s="2">
        <v>2</v>
      </c>
      <c r="K716" s="5">
        <v>0.08</v>
      </c>
      <c r="L716" s="6">
        <v>874000</v>
      </c>
      <c r="M716" s="6">
        <v>570000</v>
      </c>
      <c r="N716" s="6">
        <v>304000</v>
      </c>
      <c r="O716" s="2" t="s">
        <v>57</v>
      </c>
    </row>
    <row r="717" spans="1:15" x14ac:dyDescent="0.35">
      <c r="A717" s="2" t="s">
        <v>879</v>
      </c>
      <c r="B717" s="4">
        <v>46112</v>
      </c>
      <c r="C717" s="2" t="s">
        <v>69</v>
      </c>
      <c r="D717" s="2" t="s">
        <v>40</v>
      </c>
      <c r="E717" s="2" t="s">
        <v>81</v>
      </c>
      <c r="F717" s="2" t="s">
        <v>33</v>
      </c>
      <c r="G717" s="2" t="s">
        <v>42</v>
      </c>
      <c r="H717" s="2" t="s">
        <v>43</v>
      </c>
      <c r="I717" s="2" t="s">
        <v>44</v>
      </c>
      <c r="J717" s="2"/>
      <c r="K717" s="5">
        <v>0.1</v>
      </c>
      <c r="L717" s="6">
        <v>742500</v>
      </c>
      <c r="M717" s="6">
        <v>465000</v>
      </c>
      <c r="N717" s="6">
        <v>277500</v>
      </c>
      <c r="O717" s="2" t="s">
        <v>57</v>
      </c>
    </row>
    <row r="718" spans="1:15" x14ac:dyDescent="0.35">
      <c r="A718" s="2" t="s">
        <v>880</v>
      </c>
      <c r="B718" s="4">
        <v>46159</v>
      </c>
      <c r="C718" s="2" t="s">
        <v>30</v>
      </c>
      <c r="D718" s="2" t="s">
        <v>31</v>
      </c>
      <c r="E718" s="2" t="s">
        <v>32</v>
      </c>
      <c r="F718" s="2" t="s">
        <v>33</v>
      </c>
      <c r="G718" s="2" t="s">
        <v>49</v>
      </c>
      <c r="H718" s="2" t="s">
        <v>50</v>
      </c>
      <c r="I718" s="2" t="s">
        <v>51</v>
      </c>
      <c r="J718" s="2">
        <v>8</v>
      </c>
      <c r="K718" s="5">
        <v>0.08</v>
      </c>
      <c r="L718" s="6">
        <v>1803200</v>
      </c>
      <c r="M718" s="6">
        <v>1160000</v>
      </c>
      <c r="N718" s="6">
        <v>643200</v>
      </c>
      <c r="O718" s="2" t="s">
        <v>52</v>
      </c>
    </row>
    <row r="719" spans="1:15" x14ac:dyDescent="0.35">
      <c r="A719" s="2" t="s">
        <v>881</v>
      </c>
      <c r="B719" s="4">
        <v>46121</v>
      </c>
      <c r="C719" s="2" t="s">
        <v>65</v>
      </c>
      <c r="D719" s="2" t="s">
        <v>47</v>
      </c>
      <c r="E719" s="2" t="s">
        <v>48</v>
      </c>
      <c r="F719" s="2" t="s">
        <v>33</v>
      </c>
      <c r="G719" s="2" t="s">
        <v>55</v>
      </c>
      <c r="H719" s="2" t="s">
        <v>56</v>
      </c>
      <c r="I719" s="2" t="s">
        <v>36</v>
      </c>
      <c r="J719" s="2">
        <v>2</v>
      </c>
      <c r="K719" s="5">
        <v>0.05</v>
      </c>
      <c r="L719" s="6">
        <v>3515000</v>
      </c>
      <c r="M719" s="6">
        <v>2640000</v>
      </c>
      <c r="N719" s="6">
        <v>875000</v>
      </c>
      <c r="O719" s="2" t="s">
        <v>63</v>
      </c>
    </row>
    <row r="720" spans="1:15" x14ac:dyDescent="0.35">
      <c r="A720" s="2" t="s">
        <v>882</v>
      </c>
      <c r="B720" s="4">
        <v>46162</v>
      </c>
      <c r="C720" s="2" t="s">
        <v>69</v>
      </c>
      <c r="D720" s="2" t="s">
        <v>40</v>
      </c>
      <c r="E720" s="2" t="s">
        <v>48</v>
      </c>
      <c r="F720" s="2" t="s">
        <v>33</v>
      </c>
      <c r="G720" s="2" t="s">
        <v>60</v>
      </c>
      <c r="H720" s="2" t="s">
        <v>61</v>
      </c>
      <c r="I720" s="2" t="s">
        <v>62</v>
      </c>
      <c r="J720" s="2">
        <v>4</v>
      </c>
      <c r="K720" s="5">
        <v>0.03</v>
      </c>
      <c r="L720" s="6">
        <v>252200</v>
      </c>
      <c r="M720" s="6">
        <v>124000</v>
      </c>
      <c r="N720" s="6">
        <v>128200</v>
      </c>
      <c r="O720" s="2" t="s">
        <v>52</v>
      </c>
    </row>
    <row r="721" spans="1:15" x14ac:dyDescent="0.35">
      <c r="A721" s="2" t="s">
        <v>883</v>
      </c>
      <c r="B721" s="4">
        <v>46106</v>
      </c>
      <c r="C721" s="2" t="s">
        <v>69</v>
      </c>
      <c r="D721" s="2" t="s">
        <v>59</v>
      </c>
      <c r="E721" s="2" t="s">
        <v>41</v>
      </c>
      <c r="F721" s="2" t="s">
        <v>33</v>
      </c>
      <c r="G721" s="2" t="s">
        <v>66</v>
      </c>
      <c r="H721" s="2" t="s">
        <v>67</v>
      </c>
      <c r="I721" s="2" t="s">
        <v>51</v>
      </c>
      <c r="J721" s="2">
        <v>2</v>
      </c>
      <c r="K721" s="5">
        <v>0.08</v>
      </c>
      <c r="L721" s="6">
        <v>570400</v>
      </c>
      <c r="M721" s="6">
        <v>380000</v>
      </c>
      <c r="N721" s="6">
        <v>190400</v>
      </c>
      <c r="O721" s="2" t="s">
        <v>93</v>
      </c>
    </row>
    <row r="722" spans="1:15" x14ac:dyDescent="0.35">
      <c r="A722" s="2" t="s">
        <v>884</v>
      </c>
      <c r="B722" s="4">
        <v>46106</v>
      </c>
      <c r="C722" s="2" t="s">
        <v>30</v>
      </c>
      <c r="D722" s="2" t="s">
        <v>40</v>
      </c>
      <c r="E722" s="2" t="s">
        <v>32</v>
      </c>
      <c r="F722" s="2" t="s">
        <v>33</v>
      </c>
      <c r="G722" s="2" t="s">
        <v>71</v>
      </c>
      <c r="H722" s="2" t="s">
        <v>72</v>
      </c>
      <c r="I722" s="2" t="s">
        <v>73</v>
      </c>
      <c r="J722" s="2">
        <v>8</v>
      </c>
      <c r="K722" s="5">
        <v>0.15</v>
      </c>
      <c r="L722" s="6">
        <v>850000</v>
      </c>
      <c r="M722" s="6">
        <v>560000</v>
      </c>
      <c r="N722" s="6">
        <v>290000</v>
      </c>
      <c r="O722" s="2" t="s">
        <v>74</v>
      </c>
    </row>
    <row r="723" spans="1:15" x14ac:dyDescent="0.35">
      <c r="A723" s="2" t="s">
        <v>885</v>
      </c>
      <c r="B723" s="4">
        <v>46060</v>
      </c>
      <c r="C723" s="2" t="s">
        <v>39</v>
      </c>
      <c r="D723" s="2" t="s">
        <v>59</v>
      </c>
      <c r="E723" s="2" t="s">
        <v>48</v>
      </c>
      <c r="F723" s="2" t="s">
        <v>33</v>
      </c>
      <c r="G723" s="2" t="s">
        <v>78</v>
      </c>
      <c r="H723" s="2" t="s">
        <v>79</v>
      </c>
      <c r="I723" s="2" t="s">
        <v>62</v>
      </c>
      <c r="J723" s="2">
        <v>3</v>
      </c>
      <c r="K723" s="5">
        <v>0.08</v>
      </c>
      <c r="L723" s="6">
        <v>234600</v>
      </c>
      <c r="M723" s="6">
        <v>129000</v>
      </c>
      <c r="N723" s="6">
        <v>105600</v>
      </c>
      <c r="O723" s="2" t="s">
        <v>45</v>
      </c>
    </row>
    <row r="724" spans="1:15" x14ac:dyDescent="0.35">
      <c r="A724" s="2" t="s">
        <v>886</v>
      </c>
      <c r="B724" s="4">
        <v>46197</v>
      </c>
      <c r="C724" s="2" t="s">
        <v>54</v>
      </c>
      <c r="D724" s="2" t="s">
        <v>70</v>
      </c>
      <c r="E724" s="2" t="s">
        <v>48</v>
      </c>
      <c r="F724" s="2" t="s">
        <v>33</v>
      </c>
      <c r="G724" s="2" t="s">
        <v>82</v>
      </c>
      <c r="H724" s="2" t="s">
        <v>83</v>
      </c>
      <c r="I724" s="2" t="s">
        <v>44</v>
      </c>
      <c r="J724" s="2">
        <v>6</v>
      </c>
      <c r="K724" s="5">
        <v>0.05</v>
      </c>
      <c r="L724" s="6">
        <v>8265000</v>
      </c>
      <c r="M724" s="6">
        <v>5880000</v>
      </c>
      <c r="N724" s="6">
        <v>2385000</v>
      </c>
      <c r="O724" s="2" t="s">
        <v>37</v>
      </c>
    </row>
    <row r="725" spans="1:15" x14ac:dyDescent="0.35">
      <c r="A725" s="2" t="s">
        <v>887</v>
      </c>
      <c r="B725" s="4">
        <v>46172</v>
      </c>
      <c r="C725" s="2" t="s">
        <v>95</v>
      </c>
      <c r="D725" s="2" t="s">
        <v>31</v>
      </c>
      <c r="E725" s="2" t="s">
        <v>81</v>
      </c>
      <c r="F725" s="2" t="s">
        <v>77</v>
      </c>
      <c r="G725" s="2" t="s">
        <v>86</v>
      </c>
      <c r="H725" s="2" t="s">
        <v>87</v>
      </c>
      <c r="I725" s="2" t="s">
        <v>36</v>
      </c>
      <c r="J725" s="2">
        <v>1</v>
      </c>
      <c r="K725" s="5">
        <v>0.1</v>
      </c>
      <c r="L725" s="6">
        <v>78750</v>
      </c>
      <c r="M725" s="6">
        <v>210000</v>
      </c>
      <c r="N725" s="6">
        <v>-131250</v>
      </c>
      <c r="O725" s="2" t="s">
        <v>63</v>
      </c>
    </row>
    <row r="726" spans="1:15" x14ac:dyDescent="0.35">
      <c r="A726" s="2" t="s">
        <v>105</v>
      </c>
      <c r="B726" s="4">
        <v>46094</v>
      </c>
      <c r="C726" s="2" t="s">
        <v>39</v>
      </c>
      <c r="D726" s="2" t="s">
        <v>47</v>
      </c>
      <c r="E726" s="2" t="s">
        <v>48</v>
      </c>
      <c r="F726" s="2" t="s">
        <v>33</v>
      </c>
      <c r="G726" s="2" t="s">
        <v>60</v>
      </c>
      <c r="H726" s="2" t="s">
        <v>61</v>
      </c>
      <c r="I726" s="2" t="s">
        <v>62</v>
      </c>
      <c r="J726" s="2">
        <v>8</v>
      </c>
      <c r="K726" s="5">
        <v>0.03</v>
      </c>
      <c r="L726" s="6">
        <v>504400</v>
      </c>
      <c r="M726" s="6">
        <v>248000</v>
      </c>
      <c r="N726" s="6">
        <v>256400</v>
      </c>
      <c r="O726" s="2" t="s">
        <v>52</v>
      </c>
    </row>
    <row r="727" spans="1:15" x14ac:dyDescent="0.35">
      <c r="A727" s="2" t="s">
        <v>252</v>
      </c>
      <c r="B727" s="4">
        <v>46056</v>
      </c>
      <c r="C727" s="2" t="s">
        <v>95</v>
      </c>
      <c r="D727" s="2" t="s">
        <v>40</v>
      </c>
      <c r="E727" s="2" t="s">
        <v>32</v>
      </c>
      <c r="F727" s="2" t="s">
        <v>33</v>
      </c>
      <c r="G727" s="2" t="s">
        <v>55</v>
      </c>
      <c r="H727" s="2" t="s">
        <v>56</v>
      </c>
      <c r="I727" s="2" t="s">
        <v>36</v>
      </c>
      <c r="J727" s="2">
        <v>5</v>
      </c>
      <c r="K727" s="5">
        <v>0.03</v>
      </c>
      <c r="L727" s="6">
        <v>8972500</v>
      </c>
      <c r="M727" s="6">
        <v>6600000</v>
      </c>
      <c r="N727" s="6">
        <v>2372500</v>
      </c>
      <c r="O727" s="2" t="s">
        <v>63</v>
      </c>
    </row>
    <row r="728" spans="1:15" x14ac:dyDescent="0.35">
      <c r="A728" s="2" t="s">
        <v>415</v>
      </c>
      <c r="B728" s="4">
        <v>46150</v>
      </c>
      <c r="C728" s="2" t="s">
        <v>111</v>
      </c>
      <c r="D728" s="2" t="s">
        <v>59</v>
      </c>
      <c r="E728" s="2" t="s">
        <v>48</v>
      </c>
      <c r="F728" s="2" t="s">
        <v>33</v>
      </c>
      <c r="G728" s="2" t="s">
        <v>78</v>
      </c>
      <c r="H728" s="2" t="s">
        <v>79</v>
      </c>
      <c r="I728" s="2" t="s">
        <v>62</v>
      </c>
      <c r="J728" s="2">
        <v>6</v>
      </c>
      <c r="K728" s="5">
        <v>0.05</v>
      </c>
      <c r="L728" s="6">
        <v>484500</v>
      </c>
      <c r="M728" s="6">
        <v>258000</v>
      </c>
      <c r="N728" s="6">
        <v>226500</v>
      </c>
      <c r="O728" s="2" t="s">
        <v>84</v>
      </c>
    </row>
    <row r="729" spans="1:15" x14ac:dyDescent="0.35">
      <c r="A729" s="2" t="s">
        <v>600</v>
      </c>
      <c r="B729" s="4">
        <v>46058</v>
      </c>
      <c r="C729" s="2" t="s">
        <v>30</v>
      </c>
      <c r="D729" s="2" t="s">
        <v>47</v>
      </c>
      <c r="E729" s="2" t="s">
        <v>48</v>
      </c>
      <c r="F729" s="2" t="s">
        <v>33</v>
      </c>
      <c r="G729" s="2" t="s">
        <v>60</v>
      </c>
      <c r="H729" s="2" t="s">
        <v>61</v>
      </c>
      <c r="I729" s="2" t="s">
        <v>62</v>
      </c>
      <c r="J729" s="2">
        <v>4</v>
      </c>
      <c r="K729" s="5">
        <v>0.05</v>
      </c>
      <c r="L729" s="6">
        <v>247000</v>
      </c>
      <c r="M729" s="6">
        <v>124000</v>
      </c>
      <c r="N729" s="6">
        <v>123000</v>
      </c>
      <c r="O729" s="2" t="s">
        <v>63</v>
      </c>
    </row>
    <row r="730" spans="1:15" x14ac:dyDescent="0.35">
      <c r="A730" s="2" t="s">
        <v>770</v>
      </c>
      <c r="B730" s="4">
        <v>46093</v>
      </c>
      <c r="C730" s="2" t="s">
        <v>111</v>
      </c>
      <c r="D730" s="2" t="s">
        <v>40</v>
      </c>
      <c r="E730" s="2" t="s">
        <v>41</v>
      </c>
      <c r="F730" s="2" t="s">
        <v>90</v>
      </c>
      <c r="G730" s="2" t="s">
        <v>42</v>
      </c>
      <c r="H730" s="2" t="s">
        <v>43</v>
      </c>
      <c r="I730" s="2" t="s">
        <v>44</v>
      </c>
      <c r="J730" s="2">
        <v>2</v>
      </c>
      <c r="K730" s="5">
        <v>0.08</v>
      </c>
      <c r="L730" s="6">
        <v>506000</v>
      </c>
      <c r="M730" s="6">
        <v>310000</v>
      </c>
      <c r="N730" s="6">
        <v>196000</v>
      </c>
      <c r="O730" s="2" t="s">
        <v>84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workbookViewId="0">
      <selection sqref="A1:H1"/>
    </sheetView>
  </sheetViews>
  <sheetFormatPr defaultRowHeight="14.5" x14ac:dyDescent="0.35"/>
  <cols>
    <col min="1" max="1" width="22" customWidth="1"/>
    <col min="2" max="2" width="58" customWidth="1"/>
    <col min="3" max="3" width="24" customWidth="1"/>
  </cols>
  <sheetData>
    <row r="1" spans="1:8" ht="30" customHeight="1" x14ac:dyDescent="0.35">
      <c r="A1" s="60" t="s">
        <v>888</v>
      </c>
      <c r="B1" s="59"/>
      <c r="C1" s="59"/>
      <c r="D1" s="59"/>
      <c r="E1" s="59"/>
      <c r="F1" s="59"/>
      <c r="G1" s="59"/>
      <c r="H1" s="59"/>
    </row>
    <row r="2" spans="1:8" x14ac:dyDescent="0.35">
      <c r="A2" s="58" t="s">
        <v>889</v>
      </c>
      <c r="B2" s="59"/>
      <c r="C2" s="59"/>
      <c r="D2" s="59"/>
      <c r="E2" s="59"/>
      <c r="F2" s="59"/>
      <c r="G2" s="59"/>
      <c r="H2" s="59"/>
    </row>
    <row r="5" spans="1:8" x14ac:dyDescent="0.35">
      <c r="A5" s="1" t="s">
        <v>890</v>
      </c>
      <c r="B5" s="1" t="s">
        <v>891</v>
      </c>
      <c r="C5" s="1" t="s">
        <v>892</v>
      </c>
    </row>
    <row r="6" spans="1:8" x14ac:dyDescent="0.35">
      <c r="A6" s="2" t="s">
        <v>14</v>
      </c>
      <c r="B6" s="2" t="s">
        <v>893</v>
      </c>
      <c r="C6" s="2" t="s">
        <v>29</v>
      </c>
    </row>
    <row r="7" spans="1:8" x14ac:dyDescent="0.35">
      <c r="A7" s="2" t="s">
        <v>15</v>
      </c>
      <c r="B7" s="2" t="s">
        <v>894</v>
      </c>
      <c r="C7" s="2" t="s">
        <v>895</v>
      </c>
    </row>
    <row r="8" spans="1:8" x14ac:dyDescent="0.35">
      <c r="A8" s="2" t="s">
        <v>16</v>
      </c>
      <c r="B8" s="2" t="s">
        <v>896</v>
      </c>
      <c r="C8" s="2" t="s">
        <v>95</v>
      </c>
    </row>
    <row r="9" spans="1:8" x14ac:dyDescent="0.35">
      <c r="A9" s="2" t="s">
        <v>17</v>
      </c>
      <c r="B9" s="2" t="s">
        <v>897</v>
      </c>
      <c r="C9" s="2" t="s">
        <v>40</v>
      </c>
    </row>
    <row r="10" spans="1:8" x14ac:dyDescent="0.35">
      <c r="A10" s="2" t="s">
        <v>18</v>
      </c>
      <c r="B10" s="2" t="s">
        <v>898</v>
      </c>
      <c r="C10" s="2" t="s">
        <v>41</v>
      </c>
    </row>
    <row r="11" spans="1:8" x14ac:dyDescent="0.35">
      <c r="A11" s="2" t="s">
        <v>19</v>
      </c>
      <c r="B11" s="2" t="s">
        <v>899</v>
      </c>
      <c r="C11" s="2" t="s">
        <v>33</v>
      </c>
    </row>
    <row r="12" spans="1:8" x14ac:dyDescent="0.35">
      <c r="A12" s="2" t="s">
        <v>20</v>
      </c>
      <c r="B12" s="2" t="s">
        <v>900</v>
      </c>
      <c r="C12" s="2" t="s">
        <v>86</v>
      </c>
    </row>
    <row r="13" spans="1:8" x14ac:dyDescent="0.35">
      <c r="A13" s="2" t="s">
        <v>21</v>
      </c>
      <c r="B13" s="2" t="s">
        <v>901</v>
      </c>
      <c r="C13" s="2" t="s">
        <v>87</v>
      </c>
    </row>
    <row r="14" spans="1:8" x14ac:dyDescent="0.35">
      <c r="A14" s="2" t="s">
        <v>22</v>
      </c>
      <c r="B14" s="2" t="s">
        <v>902</v>
      </c>
      <c r="C14" s="2" t="s">
        <v>36</v>
      </c>
    </row>
    <row r="15" spans="1:8" x14ac:dyDescent="0.35">
      <c r="A15" s="2" t="s">
        <v>23</v>
      </c>
      <c r="B15" s="2" t="s">
        <v>903</v>
      </c>
      <c r="C15" s="2" t="s">
        <v>904</v>
      </c>
    </row>
    <row r="16" spans="1:8" x14ac:dyDescent="0.35">
      <c r="A16" s="2" t="s">
        <v>24</v>
      </c>
      <c r="B16" s="2" t="s">
        <v>905</v>
      </c>
      <c r="C16" s="2" t="s">
        <v>906</v>
      </c>
    </row>
    <row r="17" spans="1:3" x14ac:dyDescent="0.35">
      <c r="A17" s="2" t="s">
        <v>25</v>
      </c>
      <c r="B17" s="2" t="s">
        <v>907</v>
      </c>
      <c r="C17" s="2" t="s">
        <v>908</v>
      </c>
    </row>
    <row r="18" spans="1:3" x14ac:dyDescent="0.35">
      <c r="A18" s="2" t="s">
        <v>26</v>
      </c>
      <c r="B18" s="2" t="s">
        <v>909</v>
      </c>
      <c r="C18" s="2" t="s">
        <v>910</v>
      </c>
    </row>
    <row r="19" spans="1:3" x14ac:dyDescent="0.35">
      <c r="A19" s="2" t="s">
        <v>27</v>
      </c>
      <c r="B19" s="2" t="s">
        <v>911</v>
      </c>
      <c r="C19" s="2" t="s">
        <v>912</v>
      </c>
    </row>
    <row r="20" spans="1:3" x14ac:dyDescent="0.35">
      <c r="A20" s="2" t="s">
        <v>28</v>
      </c>
      <c r="B20" s="2" t="s">
        <v>913</v>
      </c>
      <c r="C20" s="2" t="s">
        <v>74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tabSelected="1" topLeftCell="B3" workbookViewId="0">
      <selection activeCell="C10" sqref="C10"/>
    </sheetView>
  </sheetViews>
  <sheetFormatPr defaultRowHeight="14.5" x14ac:dyDescent="0.35"/>
  <cols>
    <col min="1" max="1" width="56" customWidth="1"/>
    <col min="2" max="2" width="70" customWidth="1"/>
    <col min="3" max="3" width="66.453125" customWidth="1"/>
  </cols>
  <sheetData>
    <row r="1" spans="1:8" ht="30" customHeight="1" x14ac:dyDescent="0.35">
      <c r="A1" s="60" t="s">
        <v>914</v>
      </c>
      <c r="B1" s="59"/>
      <c r="C1" s="59"/>
      <c r="D1" s="59"/>
      <c r="E1" s="59"/>
      <c r="F1" s="59"/>
      <c r="G1" s="59"/>
      <c r="H1" s="59"/>
    </row>
    <row r="2" spans="1:8" x14ac:dyDescent="0.35">
      <c r="A2" s="58" t="s">
        <v>915</v>
      </c>
      <c r="B2" s="59"/>
      <c r="C2" s="59"/>
      <c r="D2" s="59"/>
      <c r="E2" s="59"/>
      <c r="F2" s="59"/>
      <c r="G2" s="59"/>
      <c r="H2" s="59"/>
    </row>
    <row r="5" spans="1:8" x14ac:dyDescent="0.35">
      <c r="A5" s="1" t="s">
        <v>916</v>
      </c>
      <c r="B5" s="1" t="s">
        <v>917</v>
      </c>
      <c r="C5" s="62" t="s">
        <v>986</v>
      </c>
    </row>
    <row r="6" spans="1:8" ht="26.5" x14ac:dyDescent="0.35">
      <c r="A6" s="2" t="s">
        <v>918</v>
      </c>
      <c r="B6" s="2" t="s">
        <v>919</v>
      </c>
      <c r="C6" s="61" t="s">
        <v>987</v>
      </c>
    </row>
    <row r="7" spans="1:8" ht="26.5" x14ac:dyDescent="0.35">
      <c r="A7" s="2" t="s">
        <v>920</v>
      </c>
      <c r="B7" s="2" t="s">
        <v>921</v>
      </c>
      <c r="C7" s="61" t="s">
        <v>1009</v>
      </c>
    </row>
    <row r="8" spans="1:8" ht="26.5" x14ac:dyDescent="0.35">
      <c r="A8" s="2" t="s">
        <v>922</v>
      </c>
      <c r="B8" s="2" t="s">
        <v>923</v>
      </c>
      <c r="C8" s="61" t="s">
        <v>988</v>
      </c>
    </row>
    <row r="9" spans="1:8" ht="26.5" x14ac:dyDescent="0.35">
      <c r="A9" s="2" t="s">
        <v>924</v>
      </c>
      <c r="B9" s="2" t="s">
        <v>925</v>
      </c>
      <c r="C9" s="61" t="s">
        <v>1008</v>
      </c>
    </row>
    <row r="10" spans="1:8" ht="26.5" x14ac:dyDescent="0.35">
      <c r="A10" s="3" t="s">
        <v>926</v>
      </c>
      <c r="B10" s="2" t="s">
        <v>927</v>
      </c>
      <c r="C10" s="61" t="s">
        <v>989</v>
      </c>
    </row>
    <row r="11" spans="1:8" ht="26.5" x14ac:dyDescent="0.35">
      <c r="A11" s="2" t="s">
        <v>928</v>
      </c>
      <c r="B11" s="2" t="s">
        <v>929</v>
      </c>
      <c r="C11" s="61" t="s">
        <v>990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topLeftCell="A2" workbookViewId="0">
      <selection activeCell="C8" sqref="C8"/>
    </sheetView>
  </sheetViews>
  <sheetFormatPr defaultRowHeight="14.5" x14ac:dyDescent="0.35"/>
  <cols>
    <col min="1" max="1" width="26" customWidth="1"/>
    <col min="2" max="2" width="34" customWidth="1"/>
    <col min="3" max="4" width="42" customWidth="1"/>
  </cols>
  <sheetData>
    <row r="1" spans="1:8" ht="30" customHeight="1" x14ac:dyDescent="0.35">
      <c r="A1" s="60" t="s">
        <v>930</v>
      </c>
      <c r="B1" s="59"/>
      <c r="C1" s="59"/>
      <c r="D1" s="59"/>
      <c r="E1" s="59"/>
      <c r="F1" s="59"/>
      <c r="G1" s="59"/>
      <c r="H1" s="59"/>
    </row>
    <row r="2" spans="1:8" x14ac:dyDescent="0.35">
      <c r="A2" s="58" t="s">
        <v>931</v>
      </c>
      <c r="B2" s="59"/>
      <c r="C2" s="59"/>
      <c r="D2" s="59"/>
      <c r="E2" s="59"/>
      <c r="F2" s="59"/>
      <c r="G2" s="59"/>
      <c r="H2" s="59"/>
    </row>
    <row r="5" spans="1:8" x14ac:dyDescent="0.35">
      <c r="A5" s="1" t="s">
        <v>932</v>
      </c>
      <c r="B5" s="1" t="s">
        <v>933</v>
      </c>
      <c r="C5" s="1" t="s">
        <v>934</v>
      </c>
      <c r="D5" s="1" t="s">
        <v>935</v>
      </c>
    </row>
    <row r="6" spans="1:8" ht="26" x14ac:dyDescent="0.35">
      <c r="A6" s="2" t="s">
        <v>936</v>
      </c>
      <c r="B6" s="3" t="s">
        <v>991</v>
      </c>
      <c r="C6" s="3" t="s">
        <v>992</v>
      </c>
      <c r="D6" s="3" t="s">
        <v>993</v>
      </c>
    </row>
    <row r="7" spans="1:8" ht="26" x14ac:dyDescent="0.35">
      <c r="A7" s="2" t="s">
        <v>937</v>
      </c>
      <c r="B7" s="3" t="s">
        <v>994</v>
      </c>
      <c r="C7" s="3" t="s">
        <v>995</v>
      </c>
      <c r="D7" s="3" t="s">
        <v>996</v>
      </c>
    </row>
    <row r="8" spans="1:8" ht="39" x14ac:dyDescent="0.35">
      <c r="A8" s="2" t="s">
        <v>938</v>
      </c>
      <c r="B8" s="63" t="s">
        <v>1010</v>
      </c>
      <c r="C8" s="3" t="s">
        <v>997</v>
      </c>
      <c r="D8" s="3" t="s">
        <v>998</v>
      </c>
    </row>
    <row r="9" spans="1:8" ht="26" x14ac:dyDescent="0.35">
      <c r="A9" s="2" t="s">
        <v>939</v>
      </c>
      <c r="B9" s="3" t="s">
        <v>999</v>
      </c>
      <c r="C9" s="3" t="s">
        <v>1000</v>
      </c>
      <c r="D9" s="3" t="s">
        <v>1001</v>
      </c>
    </row>
    <row r="10" spans="1:8" ht="26" x14ac:dyDescent="0.35">
      <c r="A10" s="2" t="s">
        <v>940</v>
      </c>
      <c r="B10" s="3" t="s">
        <v>1002</v>
      </c>
      <c r="C10" s="3" t="s">
        <v>1003</v>
      </c>
      <c r="D10" s="3" t="s">
        <v>1004</v>
      </c>
    </row>
    <row r="11" spans="1:8" ht="26" x14ac:dyDescent="0.35">
      <c r="A11" s="2" t="s">
        <v>941</v>
      </c>
      <c r="B11" s="3" t="s">
        <v>1005</v>
      </c>
      <c r="C11" s="3" t="s">
        <v>1006</v>
      </c>
      <c r="D11" s="3" t="s">
        <v>1007</v>
      </c>
    </row>
  </sheetData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DAE8C8-08EB-4A2B-B3ED-8F7C5A7EDD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Pivot Table</vt:lpstr>
      <vt:lpstr>Cleaned Data</vt:lpstr>
      <vt:lpstr>Sales Orders Raw</vt:lpstr>
      <vt:lpstr>Data Dictionary</vt:lpstr>
      <vt:lpstr>Business Questions</vt:lpstr>
      <vt:lpstr>Cleaning Log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Firdausi</cp:lastModifiedBy>
  <dcterms:created xsi:type="dcterms:W3CDTF">2026-07-14T11:04:43Z</dcterms:created>
  <dcterms:modified xsi:type="dcterms:W3CDTF">2026-09-07T05:52:59Z</dcterms:modified>
</cp:coreProperties>
</file>